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51AFDC3-E76C-4213-ABBE-A1B20FA7B15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ver" sheetId="1" r:id="rId1"/>
    <sheet name="Raw Price Data" sheetId="2" r:id="rId2"/>
    <sheet name="Daily Returns" sheetId="3" r:id="rId3"/>
    <sheet name="Summary Statistics" sheetId="4" r:id="rId4"/>
    <sheet name="Beta &amp; Regression" sheetId="5" r:id="rId5"/>
    <sheet name="Portfolio Analysis" sheetId="6" r:id="rId6"/>
    <sheet name="SML &amp; Valuation" sheetId="7" r:id="rId7"/>
    <sheet name="Scatter Data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28" i="8" l="1"/>
  <c r="D1828" i="8"/>
  <c r="C1828" i="8"/>
  <c r="B1828" i="8"/>
  <c r="A1828" i="8"/>
  <c r="B44" i="7"/>
  <c r="B43" i="7"/>
  <c r="D11" i="7"/>
  <c r="D44" i="7" s="1"/>
  <c r="C11" i="7"/>
  <c r="B22" i="6"/>
  <c r="B18" i="6"/>
  <c r="D17" i="6"/>
  <c r="D16" i="6"/>
  <c r="D15" i="6"/>
  <c r="F1827" i="3"/>
  <c r="A1827" i="8" s="1"/>
  <c r="E1827" i="3"/>
  <c r="E1827" i="8" s="1"/>
  <c r="D1827" i="3"/>
  <c r="D1827" i="8" s="1"/>
  <c r="C1827" i="3"/>
  <c r="C1827" i="8" s="1"/>
  <c r="B1827" i="3"/>
  <c r="B1827" i="8" s="1"/>
  <c r="F1826" i="3"/>
  <c r="A1826" i="8" s="1"/>
  <c r="E1826" i="3"/>
  <c r="E1826" i="8" s="1"/>
  <c r="D1826" i="3"/>
  <c r="D1826" i="8" s="1"/>
  <c r="C1826" i="3"/>
  <c r="C1826" i="8" s="1"/>
  <c r="B1826" i="3"/>
  <c r="B1826" i="8" s="1"/>
  <c r="F1825" i="3"/>
  <c r="A1825" i="8" s="1"/>
  <c r="E1825" i="3"/>
  <c r="E1825" i="8" s="1"/>
  <c r="D1825" i="3"/>
  <c r="D1825" i="8" s="1"/>
  <c r="C1825" i="3"/>
  <c r="C1825" i="8" s="1"/>
  <c r="B1825" i="3"/>
  <c r="B1825" i="8" s="1"/>
  <c r="F1824" i="3"/>
  <c r="A1824" i="8" s="1"/>
  <c r="E1824" i="3"/>
  <c r="E1824" i="8" s="1"/>
  <c r="D1824" i="3"/>
  <c r="D1824" i="8" s="1"/>
  <c r="C1824" i="3"/>
  <c r="C1824" i="8" s="1"/>
  <c r="B1824" i="3"/>
  <c r="B1824" i="8" s="1"/>
  <c r="F1823" i="3"/>
  <c r="A1823" i="8" s="1"/>
  <c r="E1823" i="3"/>
  <c r="E1823" i="8" s="1"/>
  <c r="D1823" i="3"/>
  <c r="D1823" i="8" s="1"/>
  <c r="C1823" i="3"/>
  <c r="C1823" i="8" s="1"/>
  <c r="B1823" i="3"/>
  <c r="B1823" i="8" s="1"/>
  <c r="F1822" i="3"/>
  <c r="A1822" i="8" s="1"/>
  <c r="E1822" i="3"/>
  <c r="E1822" i="8" s="1"/>
  <c r="D1822" i="3"/>
  <c r="D1822" i="8" s="1"/>
  <c r="C1822" i="3"/>
  <c r="C1822" i="8" s="1"/>
  <c r="B1822" i="3"/>
  <c r="B1822" i="8" s="1"/>
  <c r="F1821" i="3"/>
  <c r="A1821" i="8" s="1"/>
  <c r="E1821" i="3"/>
  <c r="E1821" i="8" s="1"/>
  <c r="D1821" i="3"/>
  <c r="D1821" i="8" s="1"/>
  <c r="C1821" i="3"/>
  <c r="C1821" i="8" s="1"/>
  <c r="B1821" i="3"/>
  <c r="B1821" i="8" s="1"/>
  <c r="F1820" i="3"/>
  <c r="A1820" i="8" s="1"/>
  <c r="E1820" i="3"/>
  <c r="E1820" i="8" s="1"/>
  <c r="D1820" i="3"/>
  <c r="D1820" i="8" s="1"/>
  <c r="C1820" i="3"/>
  <c r="C1820" i="8" s="1"/>
  <c r="B1820" i="3"/>
  <c r="B1820" i="8" s="1"/>
  <c r="F1819" i="3"/>
  <c r="A1819" i="8" s="1"/>
  <c r="E1819" i="3"/>
  <c r="E1819" i="8" s="1"/>
  <c r="D1819" i="3"/>
  <c r="D1819" i="8" s="1"/>
  <c r="C1819" i="3"/>
  <c r="C1819" i="8" s="1"/>
  <c r="B1819" i="3"/>
  <c r="B1819" i="8" s="1"/>
  <c r="F1818" i="3"/>
  <c r="A1818" i="8" s="1"/>
  <c r="E1818" i="3"/>
  <c r="E1818" i="8" s="1"/>
  <c r="D1818" i="3"/>
  <c r="D1818" i="8" s="1"/>
  <c r="C1818" i="3"/>
  <c r="C1818" i="8" s="1"/>
  <c r="B1818" i="3"/>
  <c r="B1818" i="8" s="1"/>
  <c r="F1817" i="3"/>
  <c r="A1817" i="8" s="1"/>
  <c r="E1817" i="3"/>
  <c r="E1817" i="8" s="1"/>
  <c r="D1817" i="3"/>
  <c r="D1817" i="8" s="1"/>
  <c r="C1817" i="3"/>
  <c r="C1817" i="8" s="1"/>
  <c r="B1817" i="3"/>
  <c r="B1817" i="8" s="1"/>
  <c r="F1816" i="3"/>
  <c r="A1816" i="8" s="1"/>
  <c r="E1816" i="3"/>
  <c r="E1816" i="8" s="1"/>
  <c r="D1816" i="3"/>
  <c r="D1816" i="8" s="1"/>
  <c r="C1816" i="3"/>
  <c r="C1816" i="8" s="1"/>
  <c r="B1816" i="3"/>
  <c r="B1816" i="8" s="1"/>
  <c r="F1815" i="3"/>
  <c r="A1815" i="8" s="1"/>
  <c r="E1815" i="3"/>
  <c r="E1815" i="8" s="1"/>
  <c r="D1815" i="3"/>
  <c r="D1815" i="8" s="1"/>
  <c r="C1815" i="3"/>
  <c r="C1815" i="8" s="1"/>
  <c r="B1815" i="3"/>
  <c r="B1815" i="8" s="1"/>
  <c r="F1814" i="3"/>
  <c r="A1814" i="8" s="1"/>
  <c r="E1814" i="3"/>
  <c r="E1814" i="8" s="1"/>
  <c r="D1814" i="3"/>
  <c r="D1814" i="8" s="1"/>
  <c r="C1814" i="3"/>
  <c r="C1814" i="8" s="1"/>
  <c r="B1814" i="3"/>
  <c r="B1814" i="8" s="1"/>
  <c r="F1813" i="3"/>
  <c r="A1813" i="8" s="1"/>
  <c r="E1813" i="3"/>
  <c r="E1813" i="8" s="1"/>
  <c r="D1813" i="3"/>
  <c r="D1813" i="8" s="1"/>
  <c r="C1813" i="3"/>
  <c r="C1813" i="8" s="1"/>
  <c r="B1813" i="3"/>
  <c r="B1813" i="8" s="1"/>
  <c r="F1812" i="3"/>
  <c r="A1812" i="8" s="1"/>
  <c r="E1812" i="3"/>
  <c r="E1812" i="8" s="1"/>
  <c r="D1812" i="3"/>
  <c r="D1812" i="8" s="1"/>
  <c r="C1812" i="3"/>
  <c r="C1812" i="8" s="1"/>
  <c r="B1812" i="3"/>
  <c r="B1812" i="8" s="1"/>
  <c r="F1811" i="3"/>
  <c r="A1811" i="8" s="1"/>
  <c r="E1811" i="3"/>
  <c r="E1811" i="8" s="1"/>
  <c r="D1811" i="3"/>
  <c r="D1811" i="8" s="1"/>
  <c r="C1811" i="3"/>
  <c r="C1811" i="8" s="1"/>
  <c r="B1811" i="3"/>
  <c r="B1811" i="8" s="1"/>
  <c r="F1810" i="3"/>
  <c r="A1810" i="8" s="1"/>
  <c r="E1810" i="3"/>
  <c r="E1810" i="8" s="1"/>
  <c r="D1810" i="3"/>
  <c r="D1810" i="8" s="1"/>
  <c r="C1810" i="3"/>
  <c r="C1810" i="8" s="1"/>
  <c r="B1810" i="3"/>
  <c r="B1810" i="8" s="1"/>
  <c r="F1809" i="3"/>
  <c r="A1809" i="8" s="1"/>
  <c r="E1809" i="3"/>
  <c r="E1809" i="8" s="1"/>
  <c r="D1809" i="3"/>
  <c r="D1809" i="8" s="1"/>
  <c r="C1809" i="3"/>
  <c r="C1809" i="8" s="1"/>
  <c r="B1809" i="3"/>
  <c r="B1809" i="8" s="1"/>
  <c r="F1808" i="3"/>
  <c r="A1808" i="8" s="1"/>
  <c r="E1808" i="3"/>
  <c r="E1808" i="8" s="1"/>
  <c r="D1808" i="3"/>
  <c r="D1808" i="8" s="1"/>
  <c r="C1808" i="3"/>
  <c r="C1808" i="8" s="1"/>
  <c r="B1808" i="3"/>
  <c r="B1808" i="8" s="1"/>
  <c r="F1807" i="3"/>
  <c r="A1807" i="8" s="1"/>
  <c r="E1807" i="3"/>
  <c r="E1807" i="8" s="1"/>
  <c r="D1807" i="3"/>
  <c r="D1807" i="8" s="1"/>
  <c r="C1807" i="3"/>
  <c r="C1807" i="8" s="1"/>
  <c r="B1807" i="3"/>
  <c r="B1807" i="8" s="1"/>
  <c r="F1806" i="3"/>
  <c r="A1806" i="8" s="1"/>
  <c r="E1806" i="3"/>
  <c r="E1806" i="8" s="1"/>
  <c r="D1806" i="3"/>
  <c r="D1806" i="8" s="1"/>
  <c r="C1806" i="3"/>
  <c r="C1806" i="8" s="1"/>
  <c r="B1806" i="3"/>
  <c r="B1806" i="8" s="1"/>
  <c r="F1805" i="3"/>
  <c r="A1805" i="8" s="1"/>
  <c r="E1805" i="3"/>
  <c r="E1805" i="8" s="1"/>
  <c r="D1805" i="3"/>
  <c r="D1805" i="8" s="1"/>
  <c r="C1805" i="3"/>
  <c r="C1805" i="8" s="1"/>
  <c r="B1805" i="3"/>
  <c r="B1805" i="8" s="1"/>
  <c r="F1804" i="3"/>
  <c r="A1804" i="8" s="1"/>
  <c r="E1804" i="3"/>
  <c r="E1804" i="8" s="1"/>
  <c r="D1804" i="3"/>
  <c r="D1804" i="8" s="1"/>
  <c r="C1804" i="3"/>
  <c r="C1804" i="8" s="1"/>
  <c r="B1804" i="3"/>
  <c r="B1804" i="8" s="1"/>
  <c r="F1803" i="3"/>
  <c r="A1803" i="8" s="1"/>
  <c r="E1803" i="3"/>
  <c r="E1803" i="8" s="1"/>
  <c r="D1803" i="3"/>
  <c r="D1803" i="8" s="1"/>
  <c r="C1803" i="3"/>
  <c r="C1803" i="8" s="1"/>
  <c r="B1803" i="3"/>
  <c r="B1803" i="8" s="1"/>
  <c r="F1802" i="3"/>
  <c r="A1802" i="8" s="1"/>
  <c r="E1802" i="3"/>
  <c r="E1802" i="8" s="1"/>
  <c r="D1802" i="3"/>
  <c r="D1802" i="8" s="1"/>
  <c r="C1802" i="3"/>
  <c r="C1802" i="8" s="1"/>
  <c r="B1802" i="3"/>
  <c r="B1802" i="8" s="1"/>
  <c r="F1801" i="3"/>
  <c r="A1801" i="8" s="1"/>
  <c r="E1801" i="3"/>
  <c r="E1801" i="8" s="1"/>
  <c r="D1801" i="3"/>
  <c r="D1801" i="8" s="1"/>
  <c r="C1801" i="3"/>
  <c r="C1801" i="8" s="1"/>
  <c r="B1801" i="3"/>
  <c r="B1801" i="8" s="1"/>
  <c r="F1800" i="3"/>
  <c r="A1800" i="8" s="1"/>
  <c r="E1800" i="3"/>
  <c r="E1800" i="8" s="1"/>
  <c r="D1800" i="3"/>
  <c r="D1800" i="8" s="1"/>
  <c r="C1800" i="3"/>
  <c r="C1800" i="8" s="1"/>
  <c r="B1800" i="3"/>
  <c r="B1800" i="8" s="1"/>
  <c r="F1799" i="3"/>
  <c r="A1799" i="8" s="1"/>
  <c r="E1799" i="3"/>
  <c r="E1799" i="8" s="1"/>
  <c r="D1799" i="3"/>
  <c r="D1799" i="8" s="1"/>
  <c r="C1799" i="3"/>
  <c r="C1799" i="8" s="1"/>
  <c r="B1799" i="3"/>
  <c r="B1799" i="8" s="1"/>
  <c r="F1798" i="3"/>
  <c r="A1798" i="8" s="1"/>
  <c r="E1798" i="3"/>
  <c r="E1798" i="8" s="1"/>
  <c r="D1798" i="3"/>
  <c r="D1798" i="8" s="1"/>
  <c r="C1798" i="3"/>
  <c r="C1798" i="8" s="1"/>
  <c r="B1798" i="3"/>
  <c r="B1798" i="8" s="1"/>
  <c r="F1797" i="3"/>
  <c r="A1797" i="8" s="1"/>
  <c r="E1797" i="3"/>
  <c r="E1797" i="8" s="1"/>
  <c r="D1797" i="3"/>
  <c r="D1797" i="8" s="1"/>
  <c r="C1797" i="3"/>
  <c r="C1797" i="8" s="1"/>
  <c r="B1797" i="3"/>
  <c r="B1797" i="8" s="1"/>
  <c r="F1796" i="3"/>
  <c r="A1796" i="8" s="1"/>
  <c r="E1796" i="3"/>
  <c r="E1796" i="8" s="1"/>
  <c r="D1796" i="3"/>
  <c r="D1796" i="8" s="1"/>
  <c r="C1796" i="3"/>
  <c r="C1796" i="8" s="1"/>
  <c r="B1796" i="3"/>
  <c r="B1796" i="8" s="1"/>
  <c r="F1795" i="3"/>
  <c r="A1795" i="8" s="1"/>
  <c r="E1795" i="3"/>
  <c r="E1795" i="8" s="1"/>
  <c r="D1795" i="3"/>
  <c r="D1795" i="8" s="1"/>
  <c r="C1795" i="3"/>
  <c r="C1795" i="8" s="1"/>
  <c r="B1795" i="3"/>
  <c r="B1795" i="8" s="1"/>
  <c r="F1794" i="3"/>
  <c r="A1794" i="8" s="1"/>
  <c r="E1794" i="3"/>
  <c r="E1794" i="8" s="1"/>
  <c r="D1794" i="3"/>
  <c r="D1794" i="8" s="1"/>
  <c r="C1794" i="3"/>
  <c r="C1794" i="8" s="1"/>
  <c r="B1794" i="3"/>
  <c r="B1794" i="8" s="1"/>
  <c r="F1793" i="3"/>
  <c r="A1793" i="8" s="1"/>
  <c r="E1793" i="3"/>
  <c r="E1793" i="8" s="1"/>
  <c r="D1793" i="3"/>
  <c r="D1793" i="8" s="1"/>
  <c r="C1793" i="3"/>
  <c r="C1793" i="8" s="1"/>
  <c r="B1793" i="3"/>
  <c r="B1793" i="8" s="1"/>
  <c r="F1792" i="3"/>
  <c r="A1792" i="8" s="1"/>
  <c r="E1792" i="3"/>
  <c r="E1792" i="8" s="1"/>
  <c r="D1792" i="3"/>
  <c r="D1792" i="8" s="1"/>
  <c r="C1792" i="3"/>
  <c r="C1792" i="8" s="1"/>
  <c r="B1792" i="3"/>
  <c r="B1792" i="8" s="1"/>
  <c r="F1791" i="3"/>
  <c r="A1791" i="8" s="1"/>
  <c r="E1791" i="3"/>
  <c r="E1791" i="8" s="1"/>
  <c r="D1791" i="3"/>
  <c r="D1791" i="8" s="1"/>
  <c r="C1791" i="3"/>
  <c r="C1791" i="8" s="1"/>
  <c r="B1791" i="3"/>
  <c r="B1791" i="8" s="1"/>
  <c r="F1790" i="3"/>
  <c r="A1790" i="8" s="1"/>
  <c r="E1790" i="3"/>
  <c r="E1790" i="8" s="1"/>
  <c r="D1790" i="3"/>
  <c r="D1790" i="8" s="1"/>
  <c r="C1790" i="3"/>
  <c r="C1790" i="8" s="1"/>
  <c r="B1790" i="3"/>
  <c r="B1790" i="8" s="1"/>
  <c r="F1789" i="3"/>
  <c r="A1789" i="8" s="1"/>
  <c r="E1789" i="3"/>
  <c r="E1789" i="8" s="1"/>
  <c r="D1789" i="3"/>
  <c r="D1789" i="8" s="1"/>
  <c r="C1789" i="3"/>
  <c r="C1789" i="8" s="1"/>
  <c r="B1789" i="3"/>
  <c r="B1789" i="8" s="1"/>
  <c r="F1788" i="3"/>
  <c r="A1788" i="8" s="1"/>
  <c r="E1788" i="3"/>
  <c r="E1788" i="8" s="1"/>
  <c r="D1788" i="3"/>
  <c r="D1788" i="8" s="1"/>
  <c r="C1788" i="3"/>
  <c r="C1788" i="8" s="1"/>
  <c r="B1788" i="3"/>
  <c r="B1788" i="8" s="1"/>
  <c r="F1787" i="3"/>
  <c r="A1787" i="8" s="1"/>
  <c r="E1787" i="3"/>
  <c r="E1787" i="8" s="1"/>
  <c r="D1787" i="3"/>
  <c r="D1787" i="8" s="1"/>
  <c r="C1787" i="3"/>
  <c r="C1787" i="8" s="1"/>
  <c r="B1787" i="3"/>
  <c r="B1787" i="8" s="1"/>
  <c r="F1786" i="3"/>
  <c r="A1786" i="8" s="1"/>
  <c r="E1786" i="3"/>
  <c r="E1786" i="8" s="1"/>
  <c r="D1786" i="3"/>
  <c r="D1786" i="8" s="1"/>
  <c r="C1786" i="3"/>
  <c r="C1786" i="8" s="1"/>
  <c r="B1786" i="3"/>
  <c r="B1786" i="8" s="1"/>
  <c r="F1785" i="3"/>
  <c r="A1785" i="8" s="1"/>
  <c r="E1785" i="3"/>
  <c r="E1785" i="8" s="1"/>
  <c r="D1785" i="3"/>
  <c r="D1785" i="8" s="1"/>
  <c r="C1785" i="3"/>
  <c r="C1785" i="8" s="1"/>
  <c r="B1785" i="3"/>
  <c r="B1785" i="8" s="1"/>
  <c r="F1784" i="3"/>
  <c r="A1784" i="8" s="1"/>
  <c r="E1784" i="3"/>
  <c r="E1784" i="8" s="1"/>
  <c r="D1784" i="3"/>
  <c r="D1784" i="8" s="1"/>
  <c r="C1784" i="3"/>
  <c r="C1784" i="8" s="1"/>
  <c r="B1784" i="3"/>
  <c r="B1784" i="8" s="1"/>
  <c r="F1783" i="3"/>
  <c r="A1783" i="8" s="1"/>
  <c r="E1783" i="3"/>
  <c r="E1783" i="8" s="1"/>
  <c r="D1783" i="3"/>
  <c r="D1783" i="8" s="1"/>
  <c r="C1783" i="3"/>
  <c r="C1783" i="8" s="1"/>
  <c r="B1783" i="3"/>
  <c r="B1783" i="8" s="1"/>
  <c r="F1782" i="3"/>
  <c r="A1782" i="8" s="1"/>
  <c r="E1782" i="3"/>
  <c r="E1782" i="8" s="1"/>
  <c r="D1782" i="3"/>
  <c r="D1782" i="8" s="1"/>
  <c r="C1782" i="3"/>
  <c r="C1782" i="8" s="1"/>
  <c r="B1782" i="3"/>
  <c r="B1782" i="8" s="1"/>
  <c r="F1781" i="3"/>
  <c r="A1781" i="8" s="1"/>
  <c r="E1781" i="3"/>
  <c r="E1781" i="8" s="1"/>
  <c r="D1781" i="3"/>
  <c r="D1781" i="8" s="1"/>
  <c r="C1781" i="3"/>
  <c r="C1781" i="8" s="1"/>
  <c r="B1781" i="3"/>
  <c r="B1781" i="8" s="1"/>
  <c r="F1780" i="3"/>
  <c r="A1780" i="8" s="1"/>
  <c r="E1780" i="3"/>
  <c r="E1780" i="8" s="1"/>
  <c r="D1780" i="3"/>
  <c r="D1780" i="8" s="1"/>
  <c r="C1780" i="3"/>
  <c r="C1780" i="8" s="1"/>
  <c r="B1780" i="3"/>
  <c r="B1780" i="8" s="1"/>
  <c r="F1779" i="3"/>
  <c r="A1779" i="8" s="1"/>
  <c r="E1779" i="3"/>
  <c r="E1779" i="8" s="1"/>
  <c r="D1779" i="3"/>
  <c r="D1779" i="8" s="1"/>
  <c r="C1779" i="3"/>
  <c r="C1779" i="8" s="1"/>
  <c r="B1779" i="3"/>
  <c r="B1779" i="8" s="1"/>
  <c r="F1778" i="3"/>
  <c r="A1778" i="8" s="1"/>
  <c r="E1778" i="3"/>
  <c r="E1778" i="8" s="1"/>
  <c r="D1778" i="3"/>
  <c r="D1778" i="8" s="1"/>
  <c r="C1778" i="3"/>
  <c r="C1778" i="8" s="1"/>
  <c r="B1778" i="3"/>
  <c r="B1778" i="8" s="1"/>
  <c r="F1777" i="3"/>
  <c r="A1777" i="8" s="1"/>
  <c r="E1777" i="3"/>
  <c r="E1777" i="8" s="1"/>
  <c r="D1777" i="3"/>
  <c r="D1777" i="8" s="1"/>
  <c r="C1777" i="3"/>
  <c r="C1777" i="8" s="1"/>
  <c r="B1777" i="3"/>
  <c r="B1777" i="8" s="1"/>
  <c r="F1776" i="3"/>
  <c r="A1776" i="8" s="1"/>
  <c r="E1776" i="3"/>
  <c r="E1776" i="8" s="1"/>
  <c r="D1776" i="3"/>
  <c r="D1776" i="8" s="1"/>
  <c r="C1776" i="3"/>
  <c r="C1776" i="8" s="1"/>
  <c r="B1776" i="3"/>
  <c r="B1776" i="8" s="1"/>
  <c r="F1775" i="3"/>
  <c r="A1775" i="8" s="1"/>
  <c r="E1775" i="3"/>
  <c r="E1775" i="8" s="1"/>
  <c r="D1775" i="3"/>
  <c r="D1775" i="8" s="1"/>
  <c r="C1775" i="3"/>
  <c r="C1775" i="8" s="1"/>
  <c r="B1775" i="3"/>
  <c r="B1775" i="8" s="1"/>
  <c r="F1774" i="3"/>
  <c r="A1774" i="8" s="1"/>
  <c r="E1774" i="3"/>
  <c r="E1774" i="8" s="1"/>
  <c r="D1774" i="3"/>
  <c r="D1774" i="8" s="1"/>
  <c r="C1774" i="3"/>
  <c r="C1774" i="8" s="1"/>
  <c r="B1774" i="3"/>
  <c r="B1774" i="8" s="1"/>
  <c r="F1773" i="3"/>
  <c r="A1773" i="8" s="1"/>
  <c r="E1773" i="3"/>
  <c r="E1773" i="8" s="1"/>
  <c r="D1773" i="3"/>
  <c r="D1773" i="8" s="1"/>
  <c r="C1773" i="3"/>
  <c r="C1773" i="8" s="1"/>
  <c r="B1773" i="3"/>
  <c r="B1773" i="8" s="1"/>
  <c r="F1772" i="3"/>
  <c r="A1772" i="8" s="1"/>
  <c r="E1772" i="3"/>
  <c r="E1772" i="8" s="1"/>
  <c r="D1772" i="3"/>
  <c r="D1772" i="8" s="1"/>
  <c r="C1772" i="3"/>
  <c r="C1772" i="8" s="1"/>
  <c r="B1772" i="3"/>
  <c r="B1772" i="8" s="1"/>
  <c r="F1771" i="3"/>
  <c r="A1771" i="8" s="1"/>
  <c r="E1771" i="3"/>
  <c r="E1771" i="8" s="1"/>
  <c r="D1771" i="3"/>
  <c r="D1771" i="8" s="1"/>
  <c r="C1771" i="3"/>
  <c r="C1771" i="8" s="1"/>
  <c r="B1771" i="3"/>
  <c r="B1771" i="8" s="1"/>
  <c r="F1770" i="3"/>
  <c r="A1770" i="8" s="1"/>
  <c r="E1770" i="3"/>
  <c r="E1770" i="8" s="1"/>
  <c r="D1770" i="3"/>
  <c r="D1770" i="8" s="1"/>
  <c r="C1770" i="3"/>
  <c r="C1770" i="8" s="1"/>
  <c r="B1770" i="3"/>
  <c r="B1770" i="8" s="1"/>
  <c r="F1769" i="3"/>
  <c r="A1769" i="8" s="1"/>
  <c r="E1769" i="3"/>
  <c r="E1769" i="8" s="1"/>
  <c r="D1769" i="3"/>
  <c r="D1769" i="8" s="1"/>
  <c r="C1769" i="3"/>
  <c r="C1769" i="8" s="1"/>
  <c r="B1769" i="3"/>
  <c r="B1769" i="8" s="1"/>
  <c r="F1768" i="3"/>
  <c r="A1768" i="8" s="1"/>
  <c r="E1768" i="3"/>
  <c r="E1768" i="8" s="1"/>
  <c r="D1768" i="3"/>
  <c r="D1768" i="8" s="1"/>
  <c r="C1768" i="3"/>
  <c r="C1768" i="8" s="1"/>
  <c r="B1768" i="3"/>
  <c r="B1768" i="8" s="1"/>
  <c r="F1767" i="3"/>
  <c r="A1767" i="8" s="1"/>
  <c r="E1767" i="3"/>
  <c r="E1767" i="8" s="1"/>
  <c r="D1767" i="3"/>
  <c r="D1767" i="8" s="1"/>
  <c r="C1767" i="3"/>
  <c r="C1767" i="8" s="1"/>
  <c r="B1767" i="3"/>
  <c r="B1767" i="8" s="1"/>
  <c r="F1766" i="3"/>
  <c r="A1766" i="8" s="1"/>
  <c r="E1766" i="3"/>
  <c r="E1766" i="8" s="1"/>
  <c r="D1766" i="3"/>
  <c r="D1766" i="8" s="1"/>
  <c r="C1766" i="3"/>
  <c r="C1766" i="8" s="1"/>
  <c r="B1766" i="3"/>
  <c r="B1766" i="8" s="1"/>
  <c r="F1765" i="3"/>
  <c r="A1765" i="8" s="1"/>
  <c r="E1765" i="3"/>
  <c r="E1765" i="8" s="1"/>
  <c r="D1765" i="3"/>
  <c r="D1765" i="8" s="1"/>
  <c r="C1765" i="3"/>
  <c r="C1765" i="8" s="1"/>
  <c r="B1765" i="3"/>
  <c r="B1765" i="8" s="1"/>
  <c r="F1764" i="3"/>
  <c r="A1764" i="8" s="1"/>
  <c r="E1764" i="3"/>
  <c r="E1764" i="8" s="1"/>
  <c r="D1764" i="3"/>
  <c r="D1764" i="8" s="1"/>
  <c r="C1764" i="3"/>
  <c r="C1764" i="8" s="1"/>
  <c r="B1764" i="3"/>
  <c r="B1764" i="8" s="1"/>
  <c r="F1763" i="3"/>
  <c r="A1763" i="8" s="1"/>
  <c r="E1763" i="3"/>
  <c r="E1763" i="8" s="1"/>
  <c r="D1763" i="3"/>
  <c r="D1763" i="8" s="1"/>
  <c r="C1763" i="3"/>
  <c r="C1763" i="8" s="1"/>
  <c r="B1763" i="3"/>
  <c r="B1763" i="8" s="1"/>
  <c r="F1762" i="3"/>
  <c r="A1762" i="8" s="1"/>
  <c r="E1762" i="3"/>
  <c r="E1762" i="8" s="1"/>
  <c r="D1762" i="3"/>
  <c r="D1762" i="8" s="1"/>
  <c r="C1762" i="3"/>
  <c r="C1762" i="8" s="1"/>
  <c r="B1762" i="3"/>
  <c r="B1762" i="8" s="1"/>
  <c r="F1761" i="3"/>
  <c r="A1761" i="8" s="1"/>
  <c r="E1761" i="3"/>
  <c r="E1761" i="8" s="1"/>
  <c r="D1761" i="3"/>
  <c r="D1761" i="8" s="1"/>
  <c r="C1761" i="3"/>
  <c r="C1761" i="8" s="1"/>
  <c r="B1761" i="3"/>
  <c r="B1761" i="8" s="1"/>
  <c r="F1760" i="3"/>
  <c r="A1760" i="8" s="1"/>
  <c r="E1760" i="3"/>
  <c r="E1760" i="8" s="1"/>
  <c r="D1760" i="3"/>
  <c r="D1760" i="8" s="1"/>
  <c r="C1760" i="3"/>
  <c r="C1760" i="8" s="1"/>
  <c r="B1760" i="3"/>
  <c r="B1760" i="8" s="1"/>
  <c r="F1759" i="3"/>
  <c r="A1759" i="8" s="1"/>
  <c r="E1759" i="3"/>
  <c r="E1759" i="8" s="1"/>
  <c r="D1759" i="3"/>
  <c r="D1759" i="8" s="1"/>
  <c r="C1759" i="3"/>
  <c r="C1759" i="8" s="1"/>
  <c r="B1759" i="3"/>
  <c r="B1759" i="8" s="1"/>
  <c r="F1758" i="3"/>
  <c r="A1758" i="8" s="1"/>
  <c r="E1758" i="3"/>
  <c r="E1758" i="8" s="1"/>
  <c r="D1758" i="3"/>
  <c r="D1758" i="8" s="1"/>
  <c r="C1758" i="3"/>
  <c r="C1758" i="8" s="1"/>
  <c r="B1758" i="3"/>
  <c r="B1758" i="8" s="1"/>
  <c r="F1757" i="3"/>
  <c r="A1757" i="8" s="1"/>
  <c r="E1757" i="3"/>
  <c r="E1757" i="8" s="1"/>
  <c r="D1757" i="3"/>
  <c r="D1757" i="8" s="1"/>
  <c r="C1757" i="3"/>
  <c r="C1757" i="8" s="1"/>
  <c r="B1757" i="3"/>
  <c r="B1757" i="8" s="1"/>
  <c r="F1756" i="3"/>
  <c r="A1756" i="8" s="1"/>
  <c r="E1756" i="3"/>
  <c r="E1756" i="8" s="1"/>
  <c r="D1756" i="3"/>
  <c r="D1756" i="8" s="1"/>
  <c r="C1756" i="3"/>
  <c r="C1756" i="8" s="1"/>
  <c r="B1756" i="3"/>
  <c r="B1756" i="8" s="1"/>
  <c r="F1755" i="3"/>
  <c r="A1755" i="8" s="1"/>
  <c r="E1755" i="3"/>
  <c r="E1755" i="8" s="1"/>
  <c r="D1755" i="3"/>
  <c r="D1755" i="8" s="1"/>
  <c r="C1755" i="3"/>
  <c r="C1755" i="8" s="1"/>
  <c r="B1755" i="3"/>
  <c r="B1755" i="8" s="1"/>
  <c r="F1754" i="3"/>
  <c r="A1754" i="8" s="1"/>
  <c r="E1754" i="3"/>
  <c r="E1754" i="8" s="1"/>
  <c r="D1754" i="3"/>
  <c r="D1754" i="8" s="1"/>
  <c r="C1754" i="3"/>
  <c r="C1754" i="8" s="1"/>
  <c r="B1754" i="3"/>
  <c r="B1754" i="8" s="1"/>
  <c r="F1753" i="3"/>
  <c r="A1753" i="8" s="1"/>
  <c r="E1753" i="3"/>
  <c r="E1753" i="8" s="1"/>
  <c r="D1753" i="3"/>
  <c r="D1753" i="8" s="1"/>
  <c r="C1753" i="3"/>
  <c r="C1753" i="8" s="1"/>
  <c r="B1753" i="3"/>
  <c r="B1753" i="8" s="1"/>
  <c r="F1752" i="3"/>
  <c r="A1752" i="8" s="1"/>
  <c r="E1752" i="3"/>
  <c r="E1752" i="8" s="1"/>
  <c r="D1752" i="3"/>
  <c r="D1752" i="8" s="1"/>
  <c r="C1752" i="3"/>
  <c r="C1752" i="8" s="1"/>
  <c r="B1752" i="3"/>
  <c r="B1752" i="8" s="1"/>
  <c r="F1751" i="3"/>
  <c r="A1751" i="8" s="1"/>
  <c r="E1751" i="3"/>
  <c r="E1751" i="8" s="1"/>
  <c r="D1751" i="3"/>
  <c r="D1751" i="8" s="1"/>
  <c r="C1751" i="3"/>
  <c r="C1751" i="8" s="1"/>
  <c r="B1751" i="3"/>
  <c r="B1751" i="8" s="1"/>
  <c r="F1750" i="3"/>
  <c r="A1750" i="8" s="1"/>
  <c r="E1750" i="3"/>
  <c r="E1750" i="8" s="1"/>
  <c r="D1750" i="3"/>
  <c r="D1750" i="8" s="1"/>
  <c r="C1750" i="3"/>
  <c r="C1750" i="8" s="1"/>
  <c r="B1750" i="3"/>
  <c r="B1750" i="8" s="1"/>
  <c r="F1749" i="3"/>
  <c r="A1749" i="8" s="1"/>
  <c r="E1749" i="3"/>
  <c r="E1749" i="8" s="1"/>
  <c r="D1749" i="3"/>
  <c r="D1749" i="8" s="1"/>
  <c r="C1749" i="3"/>
  <c r="C1749" i="8" s="1"/>
  <c r="B1749" i="3"/>
  <c r="B1749" i="8" s="1"/>
  <c r="F1748" i="3"/>
  <c r="A1748" i="8" s="1"/>
  <c r="E1748" i="3"/>
  <c r="E1748" i="8" s="1"/>
  <c r="D1748" i="3"/>
  <c r="D1748" i="8" s="1"/>
  <c r="C1748" i="3"/>
  <c r="C1748" i="8" s="1"/>
  <c r="B1748" i="3"/>
  <c r="B1748" i="8" s="1"/>
  <c r="F1747" i="3"/>
  <c r="A1747" i="8" s="1"/>
  <c r="E1747" i="3"/>
  <c r="E1747" i="8" s="1"/>
  <c r="D1747" i="3"/>
  <c r="D1747" i="8" s="1"/>
  <c r="C1747" i="3"/>
  <c r="C1747" i="8" s="1"/>
  <c r="B1747" i="3"/>
  <c r="B1747" i="8" s="1"/>
  <c r="F1746" i="3"/>
  <c r="A1746" i="8" s="1"/>
  <c r="E1746" i="3"/>
  <c r="E1746" i="8" s="1"/>
  <c r="D1746" i="3"/>
  <c r="D1746" i="8" s="1"/>
  <c r="C1746" i="3"/>
  <c r="C1746" i="8" s="1"/>
  <c r="B1746" i="3"/>
  <c r="B1746" i="8" s="1"/>
  <c r="F1745" i="3"/>
  <c r="A1745" i="8" s="1"/>
  <c r="E1745" i="3"/>
  <c r="E1745" i="8" s="1"/>
  <c r="D1745" i="3"/>
  <c r="D1745" i="8" s="1"/>
  <c r="C1745" i="3"/>
  <c r="C1745" i="8" s="1"/>
  <c r="B1745" i="3"/>
  <c r="B1745" i="8" s="1"/>
  <c r="F1744" i="3"/>
  <c r="A1744" i="8" s="1"/>
  <c r="E1744" i="3"/>
  <c r="E1744" i="8" s="1"/>
  <c r="D1744" i="3"/>
  <c r="D1744" i="8" s="1"/>
  <c r="C1744" i="3"/>
  <c r="C1744" i="8" s="1"/>
  <c r="B1744" i="3"/>
  <c r="B1744" i="8" s="1"/>
  <c r="F1743" i="3"/>
  <c r="A1743" i="8" s="1"/>
  <c r="E1743" i="3"/>
  <c r="E1743" i="8" s="1"/>
  <c r="D1743" i="3"/>
  <c r="D1743" i="8" s="1"/>
  <c r="C1743" i="3"/>
  <c r="C1743" i="8" s="1"/>
  <c r="B1743" i="3"/>
  <c r="B1743" i="8" s="1"/>
  <c r="F1742" i="3"/>
  <c r="A1742" i="8" s="1"/>
  <c r="E1742" i="3"/>
  <c r="E1742" i="8" s="1"/>
  <c r="D1742" i="3"/>
  <c r="D1742" i="8" s="1"/>
  <c r="C1742" i="3"/>
  <c r="C1742" i="8" s="1"/>
  <c r="B1742" i="3"/>
  <c r="B1742" i="8" s="1"/>
  <c r="F1741" i="3"/>
  <c r="A1741" i="8" s="1"/>
  <c r="E1741" i="3"/>
  <c r="E1741" i="8" s="1"/>
  <c r="D1741" i="3"/>
  <c r="D1741" i="8" s="1"/>
  <c r="C1741" i="3"/>
  <c r="C1741" i="8" s="1"/>
  <c r="B1741" i="3"/>
  <c r="B1741" i="8" s="1"/>
  <c r="F1740" i="3"/>
  <c r="A1740" i="8" s="1"/>
  <c r="E1740" i="3"/>
  <c r="E1740" i="8" s="1"/>
  <c r="D1740" i="3"/>
  <c r="D1740" i="8" s="1"/>
  <c r="C1740" i="3"/>
  <c r="C1740" i="8" s="1"/>
  <c r="B1740" i="3"/>
  <c r="B1740" i="8" s="1"/>
  <c r="F1739" i="3"/>
  <c r="A1739" i="8" s="1"/>
  <c r="E1739" i="3"/>
  <c r="E1739" i="8" s="1"/>
  <c r="D1739" i="3"/>
  <c r="D1739" i="8" s="1"/>
  <c r="C1739" i="3"/>
  <c r="C1739" i="8" s="1"/>
  <c r="B1739" i="3"/>
  <c r="B1739" i="8" s="1"/>
  <c r="F1738" i="3"/>
  <c r="A1738" i="8" s="1"/>
  <c r="E1738" i="3"/>
  <c r="E1738" i="8" s="1"/>
  <c r="D1738" i="3"/>
  <c r="D1738" i="8" s="1"/>
  <c r="C1738" i="3"/>
  <c r="C1738" i="8" s="1"/>
  <c r="B1738" i="3"/>
  <c r="B1738" i="8" s="1"/>
  <c r="F1737" i="3"/>
  <c r="A1737" i="8" s="1"/>
  <c r="E1737" i="3"/>
  <c r="E1737" i="8" s="1"/>
  <c r="D1737" i="3"/>
  <c r="D1737" i="8" s="1"/>
  <c r="C1737" i="3"/>
  <c r="C1737" i="8" s="1"/>
  <c r="B1737" i="3"/>
  <c r="B1737" i="8" s="1"/>
  <c r="F1736" i="3"/>
  <c r="A1736" i="8" s="1"/>
  <c r="E1736" i="3"/>
  <c r="E1736" i="8" s="1"/>
  <c r="D1736" i="3"/>
  <c r="D1736" i="8" s="1"/>
  <c r="C1736" i="3"/>
  <c r="C1736" i="8" s="1"/>
  <c r="B1736" i="3"/>
  <c r="B1736" i="8" s="1"/>
  <c r="F1735" i="3"/>
  <c r="A1735" i="8" s="1"/>
  <c r="E1735" i="3"/>
  <c r="E1735" i="8" s="1"/>
  <c r="D1735" i="3"/>
  <c r="D1735" i="8" s="1"/>
  <c r="C1735" i="3"/>
  <c r="C1735" i="8" s="1"/>
  <c r="B1735" i="3"/>
  <c r="B1735" i="8" s="1"/>
  <c r="F1734" i="3"/>
  <c r="A1734" i="8" s="1"/>
  <c r="E1734" i="3"/>
  <c r="E1734" i="8" s="1"/>
  <c r="D1734" i="3"/>
  <c r="D1734" i="8" s="1"/>
  <c r="C1734" i="3"/>
  <c r="C1734" i="8" s="1"/>
  <c r="B1734" i="3"/>
  <c r="B1734" i="8" s="1"/>
  <c r="F1733" i="3"/>
  <c r="A1733" i="8" s="1"/>
  <c r="E1733" i="3"/>
  <c r="E1733" i="8" s="1"/>
  <c r="D1733" i="3"/>
  <c r="D1733" i="8" s="1"/>
  <c r="C1733" i="3"/>
  <c r="C1733" i="8" s="1"/>
  <c r="B1733" i="3"/>
  <c r="B1733" i="8" s="1"/>
  <c r="F1732" i="3"/>
  <c r="A1732" i="8" s="1"/>
  <c r="E1732" i="3"/>
  <c r="E1732" i="8" s="1"/>
  <c r="D1732" i="3"/>
  <c r="D1732" i="8" s="1"/>
  <c r="C1732" i="3"/>
  <c r="C1732" i="8" s="1"/>
  <c r="B1732" i="3"/>
  <c r="B1732" i="8" s="1"/>
  <c r="F1731" i="3"/>
  <c r="A1731" i="8" s="1"/>
  <c r="E1731" i="3"/>
  <c r="E1731" i="8" s="1"/>
  <c r="D1731" i="3"/>
  <c r="D1731" i="8" s="1"/>
  <c r="C1731" i="3"/>
  <c r="C1731" i="8" s="1"/>
  <c r="B1731" i="3"/>
  <c r="B1731" i="8" s="1"/>
  <c r="F1730" i="3"/>
  <c r="A1730" i="8" s="1"/>
  <c r="E1730" i="3"/>
  <c r="E1730" i="8" s="1"/>
  <c r="D1730" i="3"/>
  <c r="D1730" i="8" s="1"/>
  <c r="C1730" i="3"/>
  <c r="C1730" i="8" s="1"/>
  <c r="B1730" i="3"/>
  <c r="B1730" i="8" s="1"/>
  <c r="F1729" i="3"/>
  <c r="A1729" i="8" s="1"/>
  <c r="E1729" i="3"/>
  <c r="E1729" i="8" s="1"/>
  <c r="D1729" i="3"/>
  <c r="D1729" i="8" s="1"/>
  <c r="C1729" i="3"/>
  <c r="C1729" i="8" s="1"/>
  <c r="B1729" i="3"/>
  <c r="B1729" i="8" s="1"/>
  <c r="F1728" i="3"/>
  <c r="A1728" i="8" s="1"/>
  <c r="E1728" i="3"/>
  <c r="E1728" i="8" s="1"/>
  <c r="D1728" i="3"/>
  <c r="D1728" i="8" s="1"/>
  <c r="C1728" i="3"/>
  <c r="C1728" i="8" s="1"/>
  <c r="B1728" i="3"/>
  <c r="B1728" i="8" s="1"/>
  <c r="F1727" i="3"/>
  <c r="A1727" i="8" s="1"/>
  <c r="E1727" i="3"/>
  <c r="E1727" i="8" s="1"/>
  <c r="D1727" i="3"/>
  <c r="D1727" i="8" s="1"/>
  <c r="C1727" i="3"/>
  <c r="C1727" i="8" s="1"/>
  <c r="B1727" i="3"/>
  <c r="B1727" i="8" s="1"/>
  <c r="F1726" i="3"/>
  <c r="A1726" i="8" s="1"/>
  <c r="E1726" i="3"/>
  <c r="E1726" i="8" s="1"/>
  <c r="D1726" i="3"/>
  <c r="D1726" i="8" s="1"/>
  <c r="C1726" i="3"/>
  <c r="C1726" i="8" s="1"/>
  <c r="B1726" i="3"/>
  <c r="B1726" i="8" s="1"/>
  <c r="F1725" i="3"/>
  <c r="A1725" i="8" s="1"/>
  <c r="E1725" i="3"/>
  <c r="E1725" i="8" s="1"/>
  <c r="D1725" i="3"/>
  <c r="D1725" i="8" s="1"/>
  <c r="C1725" i="3"/>
  <c r="C1725" i="8" s="1"/>
  <c r="B1725" i="3"/>
  <c r="B1725" i="8" s="1"/>
  <c r="F1724" i="3"/>
  <c r="A1724" i="8" s="1"/>
  <c r="E1724" i="3"/>
  <c r="E1724" i="8" s="1"/>
  <c r="D1724" i="3"/>
  <c r="D1724" i="8" s="1"/>
  <c r="C1724" i="3"/>
  <c r="C1724" i="8" s="1"/>
  <c r="B1724" i="3"/>
  <c r="B1724" i="8" s="1"/>
  <c r="F1723" i="3"/>
  <c r="A1723" i="8" s="1"/>
  <c r="E1723" i="3"/>
  <c r="E1723" i="8" s="1"/>
  <c r="D1723" i="3"/>
  <c r="D1723" i="8" s="1"/>
  <c r="C1723" i="3"/>
  <c r="C1723" i="8" s="1"/>
  <c r="B1723" i="3"/>
  <c r="B1723" i="8" s="1"/>
  <c r="F1722" i="3"/>
  <c r="A1722" i="8" s="1"/>
  <c r="E1722" i="3"/>
  <c r="E1722" i="8" s="1"/>
  <c r="D1722" i="3"/>
  <c r="D1722" i="8" s="1"/>
  <c r="C1722" i="3"/>
  <c r="C1722" i="8" s="1"/>
  <c r="B1722" i="3"/>
  <c r="B1722" i="8" s="1"/>
  <c r="F1721" i="3"/>
  <c r="A1721" i="8" s="1"/>
  <c r="E1721" i="3"/>
  <c r="E1721" i="8" s="1"/>
  <c r="D1721" i="3"/>
  <c r="D1721" i="8" s="1"/>
  <c r="C1721" i="3"/>
  <c r="C1721" i="8" s="1"/>
  <c r="B1721" i="3"/>
  <c r="B1721" i="8" s="1"/>
  <c r="F1720" i="3"/>
  <c r="A1720" i="8" s="1"/>
  <c r="E1720" i="3"/>
  <c r="E1720" i="8" s="1"/>
  <c r="D1720" i="3"/>
  <c r="D1720" i="8" s="1"/>
  <c r="C1720" i="3"/>
  <c r="C1720" i="8" s="1"/>
  <c r="B1720" i="3"/>
  <c r="B1720" i="8" s="1"/>
  <c r="F1719" i="3"/>
  <c r="A1719" i="8" s="1"/>
  <c r="E1719" i="3"/>
  <c r="E1719" i="8" s="1"/>
  <c r="D1719" i="3"/>
  <c r="D1719" i="8" s="1"/>
  <c r="C1719" i="3"/>
  <c r="C1719" i="8" s="1"/>
  <c r="B1719" i="3"/>
  <c r="B1719" i="8" s="1"/>
  <c r="F1718" i="3"/>
  <c r="A1718" i="8" s="1"/>
  <c r="E1718" i="3"/>
  <c r="E1718" i="8" s="1"/>
  <c r="D1718" i="3"/>
  <c r="D1718" i="8" s="1"/>
  <c r="C1718" i="3"/>
  <c r="C1718" i="8" s="1"/>
  <c r="B1718" i="3"/>
  <c r="B1718" i="8" s="1"/>
  <c r="F1717" i="3"/>
  <c r="A1717" i="8" s="1"/>
  <c r="E1717" i="3"/>
  <c r="E1717" i="8" s="1"/>
  <c r="D1717" i="3"/>
  <c r="D1717" i="8" s="1"/>
  <c r="C1717" i="3"/>
  <c r="C1717" i="8" s="1"/>
  <c r="B1717" i="3"/>
  <c r="B1717" i="8" s="1"/>
  <c r="F1716" i="3"/>
  <c r="A1716" i="8" s="1"/>
  <c r="E1716" i="3"/>
  <c r="E1716" i="8" s="1"/>
  <c r="D1716" i="3"/>
  <c r="D1716" i="8" s="1"/>
  <c r="C1716" i="3"/>
  <c r="C1716" i="8" s="1"/>
  <c r="B1716" i="3"/>
  <c r="B1716" i="8" s="1"/>
  <c r="F1715" i="3"/>
  <c r="A1715" i="8" s="1"/>
  <c r="E1715" i="3"/>
  <c r="E1715" i="8" s="1"/>
  <c r="D1715" i="3"/>
  <c r="D1715" i="8" s="1"/>
  <c r="C1715" i="3"/>
  <c r="C1715" i="8" s="1"/>
  <c r="B1715" i="3"/>
  <c r="B1715" i="8" s="1"/>
  <c r="F1714" i="3"/>
  <c r="A1714" i="8" s="1"/>
  <c r="E1714" i="3"/>
  <c r="E1714" i="8" s="1"/>
  <c r="D1714" i="3"/>
  <c r="D1714" i="8" s="1"/>
  <c r="C1714" i="3"/>
  <c r="C1714" i="8" s="1"/>
  <c r="B1714" i="3"/>
  <c r="B1714" i="8" s="1"/>
  <c r="F1713" i="3"/>
  <c r="A1713" i="8" s="1"/>
  <c r="E1713" i="3"/>
  <c r="E1713" i="8" s="1"/>
  <c r="D1713" i="3"/>
  <c r="D1713" i="8" s="1"/>
  <c r="C1713" i="3"/>
  <c r="C1713" i="8" s="1"/>
  <c r="B1713" i="3"/>
  <c r="B1713" i="8" s="1"/>
  <c r="F1712" i="3"/>
  <c r="A1712" i="8" s="1"/>
  <c r="E1712" i="3"/>
  <c r="E1712" i="8" s="1"/>
  <c r="D1712" i="3"/>
  <c r="D1712" i="8" s="1"/>
  <c r="C1712" i="3"/>
  <c r="C1712" i="8" s="1"/>
  <c r="B1712" i="3"/>
  <c r="B1712" i="8" s="1"/>
  <c r="F1711" i="3"/>
  <c r="A1711" i="8" s="1"/>
  <c r="E1711" i="3"/>
  <c r="E1711" i="8" s="1"/>
  <c r="D1711" i="3"/>
  <c r="D1711" i="8" s="1"/>
  <c r="C1711" i="3"/>
  <c r="C1711" i="8" s="1"/>
  <c r="B1711" i="3"/>
  <c r="B1711" i="8" s="1"/>
  <c r="F1710" i="3"/>
  <c r="A1710" i="8" s="1"/>
  <c r="E1710" i="3"/>
  <c r="E1710" i="8" s="1"/>
  <c r="D1710" i="3"/>
  <c r="D1710" i="8" s="1"/>
  <c r="C1710" i="3"/>
  <c r="C1710" i="8" s="1"/>
  <c r="B1710" i="3"/>
  <c r="B1710" i="8" s="1"/>
  <c r="F1709" i="3"/>
  <c r="A1709" i="8" s="1"/>
  <c r="E1709" i="3"/>
  <c r="E1709" i="8" s="1"/>
  <c r="D1709" i="3"/>
  <c r="D1709" i="8" s="1"/>
  <c r="C1709" i="3"/>
  <c r="C1709" i="8" s="1"/>
  <c r="B1709" i="3"/>
  <c r="B1709" i="8" s="1"/>
  <c r="F1708" i="3"/>
  <c r="A1708" i="8" s="1"/>
  <c r="E1708" i="3"/>
  <c r="E1708" i="8" s="1"/>
  <c r="D1708" i="3"/>
  <c r="D1708" i="8" s="1"/>
  <c r="C1708" i="3"/>
  <c r="C1708" i="8" s="1"/>
  <c r="B1708" i="3"/>
  <c r="B1708" i="8" s="1"/>
  <c r="F1707" i="3"/>
  <c r="A1707" i="8" s="1"/>
  <c r="E1707" i="3"/>
  <c r="E1707" i="8" s="1"/>
  <c r="D1707" i="3"/>
  <c r="D1707" i="8" s="1"/>
  <c r="C1707" i="3"/>
  <c r="C1707" i="8" s="1"/>
  <c r="B1707" i="3"/>
  <c r="B1707" i="8" s="1"/>
  <c r="F1706" i="3"/>
  <c r="A1706" i="8" s="1"/>
  <c r="E1706" i="3"/>
  <c r="E1706" i="8" s="1"/>
  <c r="D1706" i="3"/>
  <c r="D1706" i="8" s="1"/>
  <c r="C1706" i="3"/>
  <c r="C1706" i="8" s="1"/>
  <c r="B1706" i="3"/>
  <c r="B1706" i="8" s="1"/>
  <c r="F1705" i="3"/>
  <c r="A1705" i="8" s="1"/>
  <c r="E1705" i="3"/>
  <c r="E1705" i="8" s="1"/>
  <c r="D1705" i="3"/>
  <c r="D1705" i="8" s="1"/>
  <c r="C1705" i="3"/>
  <c r="C1705" i="8" s="1"/>
  <c r="B1705" i="3"/>
  <c r="B1705" i="8" s="1"/>
  <c r="F1704" i="3"/>
  <c r="A1704" i="8" s="1"/>
  <c r="E1704" i="3"/>
  <c r="E1704" i="8" s="1"/>
  <c r="D1704" i="3"/>
  <c r="D1704" i="8" s="1"/>
  <c r="C1704" i="3"/>
  <c r="C1704" i="8" s="1"/>
  <c r="B1704" i="3"/>
  <c r="B1704" i="8" s="1"/>
  <c r="F1703" i="3"/>
  <c r="A1703" i="8" s="1"/>
  <c r="E1703" i="3"/>
  <c r="E1703" i="8" s="1"/>
  <c r="D1703" i="3"/>
  <c r="D1703" i="8" s="1"/>
  <c r="C1703" i="3"/>
  <c r="C1703" i="8" s="1"/>
  <c r="B1703" i="3"/>
  <c r="B1703" i="8" s="1"/>
  <c r="F1702" i="3"/>
  <c r="A1702" i="8" s="1"/>
  <c r="E1702" i="3"/>
  <c r="E1702" i="8" s="1"/>
  <c r="D1702" i="3"/>
  <c r="D1702" i="8" s="1"/>
  <c r="C1702" i="3"/>
  <c r="C1702" i="8" s="1"/>
  <c r="B1702" i="3"/>
  <c r="B1702" i="8" s="1"/>
  <c r="F1701" i="3"/>
  <c r="A1701" i="8" s="1"/>
  <c r="E1701" i="3"/>
  <c r="E1701" i="8" s="1"/>
  <c r="D1701" i="3"/>
  <c r="D1701" i="8" s="1"/>
  <c r="C1701" i="3"/>
  <c r="C1701" i="8" s="1"/>
  <c r="B1701" i="3"/>
  <c r="B1701" i="8" s="1"/>
  <c r="F1700" i="3"/>
  <c r="A1700" i="8" s="1"/>
  <c r="E1700" i="3"/>
  <c r="E1700" i="8" s="1"/>
  <c r="D1700" i="3"/>
  <c r="D1700" i="8" s="1"/>
  <c r="C1700" i="3"/>
  <c r="C1700" i="8" s="1"/>
  <c r="B1700" i="3"/>
  <c r="B1700" i="8" s="1"/>
  <c r="F1699" i="3"/>
  <c r="A1699" i="8" s="1"/>
  <c r="E1699" i="3"/>
  <c r="E1699" i="8" s="1"/>
  <c r="D1699" i="3"/>
  <c r="D1699" i="8" s="1"/>
  <c r="C1699" i="3"/>
  <c r="C1699" i="8" s="1"/>
  <c r="B1699" i="3"/>
  <c r="B1699" i="8" s="1"/>
  <c r="F1698" i="3"/>
  <c r="A1698" i="8" s="1"/>
  <c r="E1698" i="3"/>
  <c r="E1698" i="8" s="1"/>
  <c r="D1698" i="3"/>
  <c r="D1698" i="8" s="1"/>
  <c r="C1698" i="3"/>
  <c r="C1698" i="8" s="1"/>
  <c r="B1698" i="3"/>
  <c r="B1698" i="8" s="1"/>
  <c r="F1697" i="3"/>
  <c r="A1697" i="8" s="1"/>
  <c r="E1697" i="3"/>
  <c r="E1697" i="8" s="1"/>
  <c r="D1697" i="3"/>
  <c r="D1697" i="8" s="1"/>
  <c r="C1697" i="3"/>
  <c r="C1697" i="8" s="1"/>
  <c r="B1697" i="3"/>
  <c r="B1697" i="8" s="1"/>
  <c r="F1696" i="3"/>
  <c r="A1696" i="8" s="1"/>
  <c r="E1696" i="3"/>
  <c r="E1696" i="8" s="1"/>
  <c r="D1696" i="3"/>
  <c r="D1696" i="8" s="1"/>
  <c r="C1696" i="3"/>
  <c r="C1696" i="8" s="1"/>
  <c r="B1696" i="3"/>
  <c r="B1696" i="8" s="1"/>
  <c r="F1695" i="3"/>
  <c r="A1695" i="8" s="1"/>
  <c r="E1695" i="3"/>
  <c r="E1695" i="8" s="1"/>
  <c r="D1695" i="3"/>
  <c r="D1695" i="8" s="1"/>
  <c r="C1695" i="3"/>
  <c r="C1695" i="8" s="1"/>
  <c r="B1695" i="3"/>
  <c r="B1695" i="8" s="1"/>
  <c r="F1694" i="3"/>
  <c r="A1694" i="8" s="1"/>
  <c r="E1694" i="3"/>
  <c r="E1694" i="8" s="1"/>
  <c r="D1694" i="3"/>
  <c r="D1694" i="8" s="1"/>
  <c r="C1694" i="3"/>
  <c r="C1694" i="8" s="1"/>
  <c r="B1694" i="3"/>
  <c r="B1694" i="8" s="1"/>
  <c r="F1693" i="3"/>
  <c r="A1693" i="8" s="1"/>
  <c r="E1693" i="3"/>
  <c r="E1693" i="8" s="1"/>
  <c r="D1693" i="3"/>
  <c r="D1693" i="8" s="1"/>
  <c r="C1693" i="3"/>
  <c r="C1693" i="8" s="1"/>
  <c r="B1693" i="3"/>
  <c r="B1693" i="8" s="1"/>
  <c r="F1692" i="3"/>
  <c r="A1692" i="8" s="1"/>
  <c r="E1692" i="3"/>
  <c r="E1692" i="8" s="1"/>
  <c r="D1692" i="3"/>
  <c r="D1692" i="8" s="1"/>
  <c r="C1692" i="3"/>
  <c r="C1692" i="8" s="1"/>
  <c r="B1692" i="3"/>
  <c r="B1692" i="8" s="1"/>
  <c r="F1691" i="3"/>
  <c r="A1691" i="8" s="1"/>
  <c r="E1691" i="3"/>
  <c r="E1691" i="8" s="1"/>
  <c r="D1691" i="3"/>
  <c r="D1691" i="8" s="1"/>
  <c r="C1691" i="3"/>
  <c r="C1691" i="8" s="1"/>
  <c r="B1691" i="3"/>
  <c r="B1691" i="8" s="1"/>
  <c r="F1690" i="3"/>
  <c r="A1690" i="8" s="1"/>
  <c r="E1690" i="3"/>
  <c r="E1690" i="8" s="1"/>
  <c r="D1690" i="3"/>
  <c r="D1690" i="8" s="1"/>
  <c r="C1690" i="3"/>
  <c r="C1690" i="8" s="1"/>
  <c r="B1690" i="3"/>
  <c r="B1690" i="8" s="1"/>
  <c r="F1689" i="3"/>
  <c r="A1689" i="8" s="1"/>
  <c r="E1689" i="3"/>
  <c r="E1689" i="8" s="1"/>
  <c r="D1689" i="3"/>
  <c r="D1689" i="8" s="1"/>
  <c r="C1689" i="3"/>
  <c r="C1689" i="8" s="1"/>
  <c r="B1689" i="3"/>
  <c r="B1689" i="8" s="1"/>
  <c r="F1688" i="3"/>
  <c r="A1688" i="8" s="1"/>
  <c r="E1688" i="3"/>
  <c r="E1688" i="8" s="1"/>
  <c r="D1688" i="3"/>
  <c r="D1688" i="8" s="1"/>
  <c r="C1688" i="3"/>
  <c r="C1688" i="8" s="1"/>
  <c r="B1688" i="3"/>
  <c r="B1688" i="8" s="1"/>
  <c r="F1687" i="3"/>
  <c r="A1687" i="8" s="1"/>
  <c r="E1687" i="3"/>
  <c r="E1687" i="8" s="1"/>
  <c r="D1687" i="3"/>
  <c r="D1687" i="8" s="1"/>
  <c r="C1687" i="3"/>
  <c r="C1687" i="8" s="1"/>
  <c r="B1687" i="3"/>
  <c r="B1687" i="8" s="1"/>
  <c r="F1686" i="3"/>
  <c r="A1686" i="8" s="1"/>
  <c r="E1686" i="3"/>
  <c r="E1686" i="8" s="1"/>
  <c r="D1686" i="3"/>
  <c r="D1686" i="8" s="1"/>
  <c r="C1686" i="3"/>
  <c r="C1686" i="8" s="1"/>
  <c r="B1686" i="3"/>
  <c r="B1686" i="8" s="1"/>
  <c r="F1685" i="3"/>
  <c r="A1685" i="8" s="1"/>
  <c r="E1685" i="3"/>
  <c r="E1685" i="8" s="1"/>
  <c r="D1685" i="3"/>
  <c r="D1685" i="8" s="1"/>
  <c r="C1685" i="3"/>
  <c r="C1685" i="8" s="1"/>
  <c r="B1685" i="3"/>
  <c r="B1685" i="8" s="1"/>
  <c r="F1684" i="3"/>
  <c r="A1684" i="8" s="1"/>
  <c r="E1684" i="3"/>
  <c r="E1684" i="8" s="1"/>
  <c r="D1684" i="3"/>
  <c r="D1684" i="8" s="1"/>
  <c r="C1684" i="3"/>
  <c r="C1684" i="8" s="1"/>
  <c r="B1684" i="3"/>
  <c r="B1684" i="8" s="1"/>
  <c r="F1683" i="3"/>
  <c r="A1683" i="8" s="1"/>
  <c r="E1683" i="3"/>
  <c r="E1683" i="8" s="1"/>
  <c r="D1683" i="3"/>
  <c r="D1683" i="8" s="1"/>
  <c r="C1683" i="3"/>
  <c r="C1683" i="8" s="1"/>
  <c r="B1683" i="3"/>
  <c r="B1683" i="8" s="1"/>
  <c r="F1682" i="3"/>
  <c r="A1682" i="8" s="1"/>
  <c r="E1682" i="3"/>
  <c r="E1682" i="8" s="1"/>
  <c r="D1682" i="3"/>
  <c r="D1682" i="8" s="1"/>
  <c r="C1682" i="3"/>
  <c r="C1682" i="8" s="1"/>
  <c r="B1682" i="3"/>
  <c r="B1682" i="8" s="1"/>
  <c r="F1681" i="3"/>
  <c r="A1681" i="8" s="1"/>
  <c r="E1681" i="3"/>
  <c r="E1681" i="8" s="1"/>
  <c r="D1681" i="3"/>
  <c r="D1681" i="8" s="1"/>
  <c r="C1681" i="3"/>
  <c r="C1681" i="8" s="1"/>
  <c r="B1681" i="3"/>
  <c r="B1681" i="8" s="1"/>
  <c r="F1680" i="3"/>
  <c r="A1680" i="8" s="1"/>
  <c r="E1680" i="3"/>
  <c r="E1680" i="8" s="1"/>
  <c r="D1680" i="3"/>
  <c r="D1680" i="8" s="1"/>
  <c r="C1680" i="3"/>
  <c r="C1680" i="8" s="1"/>
  <c r="B1680" i="3"/>
  <c r="B1680" i="8" s="1"/>
  <c r="F1679" i="3"/>
  <c r="A1679" i="8" s="1"/>
  <c r="E1679" i="3"/>
  <c r="E1679" i="8" s="1"/>
  <c r="D1679" i="3"/>
  <c r="D1679" i="8" s="1"/>
  <c r="C1679" i="3"/>
  <c r="C1679" i="8" s="1"/>
  <c r="B1679" i="3"/>
  <c r="B1679" i="8" s="1"/>
  <c r="F1678" i="3"/>
  <c r="A1678" i="8" s="1"/>
  <c r="E1678" i="3"/>
  <c r="E1678" i="8" s="1"/>
  <c r="D1678" i="3"/>
  <c r="D1678" i="8" s="1"/>
  <c r="C1678" i="3"/>
  <c r="C1678" i="8" s="1"/>
  <c r="B1678" i="3"/>
  <c r="B1678" i="8" s="1"/>
  <c r="F1677" i="3"/>
  <c r="A1677" i="8" s="1"/>
  <c r="E1677" i="3"/>
  <c r="E1677" i="8" s="1"/>
  <c r="D1677" i="3"/>
  <c r="D1677" i="8" s="1"/>
  <c r="C1677" i="3"/>
  <c r="C1677" i="8" s="1"/>
  <c r="B1677" i="3"/>
  <c r="B1677" i="8" s="1"/>
  <c r="F1676" i="3"/>
  <c r="A1676" i="8" s="1"/>
  <c r="E1676" i="3"/>
  <c r="E1676" i="8" s="1"/>
  <c r="D1676" i="3"/>
  <c r="D1676" i="8" s="1"/>
  <c r="C1676" i="3"/>
  <c r="C1676" i="8" s="1"/>
  <c r="B1676" i="3"/>
  <c r="B1676" i="8" s="1"/>
  <c r="F1675" i="3"/>
  <c r="A1675" i="8" s="1"/>
  <c r="E1675" i="3"/>
  <c r="E1675" i="8" s="1"/>
  <c r="D1675" i="3"/>
  <c r="D1675" i="8" s="1"/>
  <c r="C1675" i="3"/>
  <c r="C1675" i="8" s="1"/>
  <c r="B1675" i="3"/>
  <c r="B1675" i="8" s="1"/>
  <c r="F1674" i="3"/>
  <c r="A1674" i="8" s="1"/>
  <c r="E1674" i="3"/>
  <c r="E1674" i="8" s="1"/>
  <c r="D1674" i="3"/>
  <c r="D1674" i="8" s="1"/>
  <c r="C1674" i="3"/>
  <c r="C1674" i="8" s="1"/>
  <c r="B1674" i="3"/>
  <c r="B1674" i="8" s="1"/>
  <c r="F1673" i="3"/>
  <c r="A1673" i="8" s="1"/>
  <c r="E1673" i="3"/>
  <c r="E1673" i="8" s="1"/>
  <c r="D1673" i="3"/>
  <c r="D1673" i="8" s="1"/>
  <c r="C1673" i="3"/>
  <c r="C1673" i="8" s="1"/>
  <c r="B1673" i="3"/>
  <c r="B1673" i="8" s="1"/>
  <c r="F1672" i="3"/>
  <c r="A1672" i="8" s="1"/>
  <c r="E1672" i="3"/>
  <c r="E1672" i="8" s="1"/>
  <c r="D1672" i="3"/>
  <c r="D1672" i="8" s="1"/>
  <c r="C1672" i="3"/>
  <c r="C1672" i="8" s="1"/>
  <c r="B1672" i="3"/>
  <c r="B1672" i="8" s="1"/>
  <c r="F1671" i="3"/>
  <c r="A1671" i="8" s="1"/>
  <c r="E1671" i="3"/>
  <c r="E1671" i="8" s="1"/>
  <c r="D1671" i="3"/>
  <c r="D1671" i="8" s="1"/>
  <c r="C1671" i="3"/>
  <c r="C1671" i="8" s="1"/>
  <c r="B1671" i="3"/>
  <c r="B1671" i="8" s="1"/>
  <c r="F1670" i="3"/>
  <c r="A1670" i="8" s="1"/>
  <c r="E1670" i="3"/>
  <c r="E1670" i="8" s="1"/>
  <c r="D1670" i="3"/>
  <c r="D1670" i="8" s="1"/>
  <c r="C1670" i="3"/>
  <c r="C1670" i="8" s="1"/>
  <c r="B1670" i="3"/>
  <c r="B1670" i="8" s="1"/>
  <c r="F1669" i="3"/>
  <c r="A1669" i="8" s="1"/>
  <c r="E1669" i="3"/>
  <c r="E1669" i="8" s="1"/>
  <c r="D1669" i="3"/>
  <c r="D1669" i="8" s="1"/>
  <c r="C1669" i="3"/>
  <c r="C1669" i="8" s="1"/>
  <c r="B1669" i="3"/>
  <c r="B1669" i="8" s="1"/>
  <c r="F1668" i="3"/>
  <c r="A1668" i="8" s="1"/>
  <c r="E1668" i="3"/>
  <c r="E1668" i="8" s="1"/>
  <c r="D1668" i="3"/>
  <c r="D1668" i="8" s="1"/>
  <c r="C1668" i="3"/>
  <c r="C1668" i="8" s="1"/>
  <c r="B1668" i="3"/>
  <c r="B1668" i="8" s="1"/>
  <c r="F1667" i="3"/>
  <c r="A1667" i="8" s="1"/>
  <c r="E1667" i="3"/>
  <c r="E1667" i="8" s="1"/>
  <c r="D1667" i="3"/>
  <c r="D1667" i="8" s="1"/>
  <c r="C1667" i="3"/>
  <c r="C1667" i="8" s="1"/>
  <c r="B1667" i="3"/>
  <c r="B1667" i="8" s="1"/>
  <c r="F1666" i="3"/>
  <c r="A1666" i="8" s="1"/>
  <c r="E1666" i="3"/>
  <c r="E1666" i="8" s="1"/>
  <c r="D1666" i="3"/>
  <c r="D1666" i="8" s="1"/>
  <c r="C1666" i="3"/>
  <c r="C1666" i="8" s="1"/>
  <c r="B1666" i="3"/>
  <c r="B1666" i="8" s="1"/>
  <c r="F1665" i="3"/>
  <c r="A1665" i="8" s="1"/>
  <c r="E1665" i="3"/>
  <c r="E1665" i="8" s="1"/>
  <c r="D1665" i="3"/>
  <c r="D1665" i="8" s="1"/>
  <c r="C1665" i="3"/>
  <c r="C1665" i="8" s="1"/>
  <c r="B1665" i="3"/>
  <c r="B1665" i="8" s="1"/>
  <c r="F1664" i="3"/>
  <c r="A1664" i="8" s="1"/>
  <c r="E1664" i="3"/>
  <c r="E1664" i="8" s="1"/>
  <c r="D1664" i="3"/>
  <c r="D1664" i="8" s="1"/>
  <c r="C1664" i="3"/>
  <c r="C1664" i="8" s="1"/>
  <c r="B1664" i="3"/>
  <c r="B1664" i="8" s="1"/>
  <c r="F1663" i="3"/>
  <c r="A1663" i="8" s="1"/>
  <c r="E1663" i="3"/>
  <c r="E1663" i="8" s="1"/>
  <c r="D1663" i="3"/>
  <c r="D1663" i="8" s="1"/>
  <c r="C1663" i="3"/>
  <c r="C1663" i="8" s="1"/>
  <c r="B1663" i="3"/>
  <c r="B1663" i="8" s="1"/>
  <c r="F1662" i="3"/>
  <c r="A1662" i="8" s="1"/>
  <c r="E1662" i="3"/>
  <c r="E1662" i="8" s="1"/>
  <c r="D1662" i="3"/>
  <c r="D1662" i="8" s="1"/>
  <c r="C1662" i="3"/>
  <c r="C1662" i="8" s="1"/>
  <c r="B1662" i="3"/>
  <c r="B1662" i="8" s="1"/>
  <c r="F1661" i="3"/>
  <c r="A1661" i="8" s="1"/>
  <c r="E1661" i="3"/>
  <c r="E1661" i="8" s="1"/>
  <c r="D1661" i="3"/>
  <c r="D1661" i="8" s="1"/>
  <c r="C1661" i="3"/>
  <c r="C1661" i="8" s="1"/>
  <c r="B1661" i="3"/>
  <c r="B1661" i="8" s="1"/>
  <c r="F1660" i="3"/>
  <c r="A1660" i="8" s="1"/>
  <c r="E1660" i="3"/>
  <c r="E1660" i="8" s="1"/>
  <c r="D1660" i="3"/>
  <c r="D1660" i="8" s="1"/>
  <c r="C1660" i="3"/>
  <c r="C1660" i="8" s="1"/>
  <c r="B1660" i="3"/>
  <c r="B1660" i="8" s="1"/>
  <c r="F1659" i="3"/>
  <c r="A1659" i="8" s="1"/>
  <c r="E1659" i="3"/>
  <c r="E1659" i="8" s="1"/>
  <c r="D1659" i="3"/>
  <c r="D1659" i="8" s="1"/>
  <c r="C1659" i="3"/>
  <c r="C1659" i="8" s="1"/>
  <c r="B1659" i="3"/>
  <c r="B1659" i="8" s="1"/>
  <c r="F1658" i="3"/>
  <c r="A1658" i="8" s="1"/>
  <c r="E1658" i="3"/>
  <c r="E1658" i="8" s="1"/>
  <c r="D1658" i="3"/>
  <c r="D1658" i="8" s="1"/>
  <c r="C1658" i="3"/>
  <c r="C1658" i="8" s="1"/>
  <c r="B1658" i="3"/>
  <c r="B1658" i="8" s="1"/>
  <c r="F1657" i="3"/>
  <c r="A1657" i="8" s="1"/>
  <c r="E1657" i="3"/>
  <c r="E1657" i="8" s="1"/>
  <c r="D1657" i="3"/>
  <c r="D1657" i="8" s="1"/>
  <c r="C1657" i="3"/>
  <c r="C1657" i="8" s="1"/>
  <c r="B1657" i="3"/>
  <c r="B1657" i="8" s="1"/>
  <c r="F1656" i="3"/>
  <c r="A1656" i="8" s="1"/>
  <c r="E1656" i="3"/>
  <c r="E1656" i="8" s="1"/>
  <c r="D1656" i="3"/>
  <c r="D1656" i="8" s="1"/>
  <c r="C1656" i="3"/>
  <c r="C1656" i="8" s="1"/>
  <c r="B1656" i="3"/>
  <c r="B1656" i="8" s="1"/>
  <c r="F1655" i="3"/>
  <c r="A1655" i="8" s="1"/>
  <c r="E1655" i="3"/>
  <c r="E1655" i="8" s="1"/>
  <c r="D1655" i="3"/>
  <c r="D1655" i="8" s="1"/>
  <c r="C1655" i="3"/>
  <c r="C1655" i="8" s="1"/>
  <c r="B1655" i="3"/>
  <c r="B1655" i="8" s="1"/>
  <c r="F1654" i="3"/>
  <c r="A1654" i="8" s="1"/>
  <c r="E1654" i="3"/>
  <c r="E1654" i="8" s="1"/>
  <c r="D1654" i="3"/>
  <c r="D1654" i="8" s="1"/>
  <c r="C1654" i="3"/>
  <c r="C1654" i="8" s="1"/>
  <c r="B1654" i="3"/>
  <c r="B1654" i="8" s="1"/>
  <c r="F1653" i="3"/>
  <c r="A1653" i="8" s="1"/>
  <c r="E1653" i="3"/>
  <c r="E1653" i="8" s="1"/>
  <c r="D1653" i="3"/>
  <c r="D1653" i="8" s="1"/>
  <c r="C1653" i="3"/>
  <c r="C1653" i="8" s="1"/>
  <c r="B1653" i="3"/>
  <c r="B1653" i="8" s="1"/>
  <c r="F1652" i="3"/>
  <c r="A1652" i="8" s="1"/>
  <c r="E1652" i="3"/>
  <c r="E1652" i="8" s="1"/>
  <c r="D1652" i="3"/>
  <c r="D1652" i="8" s="1"/>
  <c r="C1652" i="3"/>
  <c r="C1652" i="8" s="1"/>
  <c r="B1652" i="3"/>
  <c r="B1652" i="8" s="1"/>
  <c r="F1651" i="3"/>
  <c r="A1651" i="8" s="1"/>
  <c r="E1651" i="3"/>
  <c r="E1651" i="8" s="1"/>
  <c r="D1651" i="3"/>
  <c r="D1651" i="8" s="1"/>
  <c r="C1651" i="3"/>
  <c r="C1651" i="8" s="1"/>
  <c r="B1651" i="3"/>
  <c r="B1651" i="8" s="1"/>
  <c r="F1650" i="3"/>
  <c r="A1650" i="8" s="1"/>
  <c r="E1650" i="3"/>
  <c r="E1650" i="8" s="1"/>
  <c r="D1650" i="3"/>
  <c r="D1650" i="8" s="1"/>
  <c r="C1650" i="3"/>
  <c r="C1650" i="8" s="1"/>
  <c r="B1650" i="3"/>
  <c r="B1650" i="8" s="1"/>
  <c r="F1649" i="3"/>
  <c r="A1649" i="8" s="1"/>
  <c r="E1649" i="3"/>
  <c r="E1649" i="8" s="1"/>
  <c r="D1649" i="3"/>
  <c r="D1649" i="8" s="1"/>
  <c r="C1649" i="3"/>
  <c r="C1649" i="8" s="1"/>
  <c r="B1649" i="3"/>
  <c r="B1649" i="8" s="1"/>
  <c r="F1648" i="3"/>
  <c r="A1648" i="8" s="1"/>
  <c r="E1648" i="3"/>
  <c r="E1648" i="8" s="1"/>
  <c r="D1648" i="3"/>
  <c r="D1648" i="8" s="1"/>
  <c r="C1648" i="3"/>
  <c r="C1648" i="8" s="1"/>
  <c r="B1648" i="3"/>
  <c r="B1648" i="8" s="1"/>
  <c r="F1647" i="3"/>
  <c r="A1647" i="8" s="1"/>
  <c r="E1647" i="3"/>
  <c r="E1647" i="8" s="1"/>
  <c r="D1647" i="3"/>
  <c r="D1647" i="8" s="1"/>
  <c r="C1647" i="3"/>
  <c r="C1647" i="8" s="1"/>
  <c r="B1647" i="3"/>
  <c r="B1647" i="8" s="1"/>
  <c r="F1646" i="3"/>
  <c r="A1646" i="8" s="1"/>
  <c r="E1646" i="3"/>
  <c r="E1646" i="8" s="1"/>
  <c r="D1646" i="3"/>
  <c r="D1646" i="8" s="1"/>
  <c r="C1646" i="3"/>
  <c r="C1646" i="8" s="1"/>
  <c r="B1646" i="3"/>
  <c r="B1646" i="8" s="1"/>
  <c r="F1645" i="3"/>
  <c r="A1645" i="8" s="1"/>
  <c r="E1645" i="3"/>
  <c r="E1645" i="8" s="1"/>
  <c r="D1645" i="3"/>
  <c r="D1645" i="8" s="1"/>
  <c r="C1645" i="3"/>
  <c r="C1645" i="8" s="1"/>
  <c r="B1645" i="3"/>
  <c r="B1645" i="8" s="1"/>
  <c r="F1644" i="3"/>
  <c r="A1644" i="8" s="1"/>
  <c r="E1644" i="3"/>
  <c r="E1644" i="8" s="1"/>
  <c r="D1644" i="3"/>
  <c r="D1644" i="8" s="1"/>
  <c r="C1644" i="3"/>
  <c r="C1644" i="8" s="1"/>
  <c r="B1644" i="3"/>
  <c r="B1644" i="8" s="1"/>
  <c r="F1643" i="3"/>
  <c r="A1643" i="8" s="1"/>
  <c r="E1643" i="3"/>
  <c r="E1643" i="8" s="1"/>
  <c r="D1643" i="3"/>
  <c r="D1643" i="8" s="1"/>
  <c r="C1643" i="3"/>
  <c r="C1643" i="8" s="1"/>
  <c r="B1643" i="3"/>
  <c r="B1643" i="8" s="1"/>
  <c r="F1642" i="3"/>
  <c r="A1642" i="8" s="1"/>
  <c r="E1642" i="3"/>
  <c r="E1642" i="8" s="1"/>
  <c r="D1642" i="3"/>
  <c r="D1642" i="8" s="1"/>
  <c r="C1642" i="3"/>
  <c r="C1642" i="8" s="1"/>
  <c r="B1642" i="3"/>
  <c r="B1642" i="8" s="1"/>
  <c r="F1641" i="3"/>
  <c r="A1641" i="8" s="1"/>
  <c r="E1641" i="3"/>
  <c r="E1641" i="8" s="1"/>
  <c r="D1641" i="3"/>
  <c r="D1641" i="8" s="1"/>
  <c r="C1641" i="3"/>
  <c r="C1641" i="8" s="1"/>
  <c r="B1641" i="3"/>
  <c r="B1641" i="8" s="1"/>
  <c r="F1640" i="3"/>
  <c r="A1640" i="8" s="1"/>
  <c r="E1640" i="3"/>
  <c r="E1640" i="8" s="1"/>
  <c r="D1640" i="3"/>
  <c r="D1640" i="8" s="1"/>
  <c r="C1640" i="3"/>
  <c r="C1640" i="8" s="1"/>
  <c r="B1640" i="3"/>
  <c r="B1640" i="8" s="1"/>
  <c r="F1639" i="3"/>
  <c r="A1639" i="8" s="1"/>
  <c r="E1639" i="3"/>
  <c r="E1639" i="8" s="1"/>
  <c r="D1639" i="3"/>
  <c r="D1639" i="8" s="1"/>
  <c r="C1639" i="3"/>
  <c r="C1639" i="8" s="1"/>
  <c r="B1639" i="3"/>
  <c r="B1639" i="8" s="1"/>
  <c r="F1638" i="3"/>
  <c r="A1638" i="8" s="1"/>
  <c r="E1638" i="3"/>
  <c r="E1638" i="8" s="1"/>
  <c r="D1638" i="3"/>
  <c r="D1638" i="8" s="1"/>
  <c r="C1638" i="3"/>
  <c r="C1638" i="8" s="1"/>
  <c r="B1638" i="3"/>
  <c r="B1638" i="8" s="1"/>
  <c r="F1637" i="3"/>
  <c r="A1637" i="8" s="1"/>
  <c r="E1637" i="3"/>
  <c r="E1637" i="8" s="1"/>
  <c r="D1637" i="3"/>
  <c r="D1637" i="8" s="1"/>
  <c r="C1637" i="3"/>
  <c r="C1637" i="8" s="1"/>
  <c r="B1637" i="3"/>
  <c r="B1637" i="8" s="1"/>
  <c r="F1636" i="3"/>
  <c r="A1636" i="8" s="1"/>
  <c r="E1636" i="3"/>
  <c r="E1636" i="8" s="1"/>
  <c r="D1636" i="3"/>
  <c r="D1636" i="8" s="1"/>
  <c r="C1636" i="3"/>
  <c r="C1636" i="8" s="1"/>
  <c r="B1636" i="3"/>
  <c r="B1636" i="8" s="1"/>
  <c r="F1635" i="3"/>
  <c r="A1635" i="8" s="1"/>
  <c r="E1635" i="3"/>
  <c r="E1635" i="8" s="1"/>
  <c r="D1635" i="3"/>
  <c r="D1635" i="8" s="1"/>
  <c r="C1635" i="3"/>
  <c r="C1635" i="8" s="1"/>
  <c r="B1635" i="3"/>
  <c r="B1635" i="8" s="1"/>
  <c r="F1634" i="3"/>
  <c r="A1634" i="8" s="1"/>
  <c r="E1634" i="3"/>
  <c r="E1634" i="8" s="1"/>
  <c r="D1634" i="3"/>
  <c r="D1634" i="8" s="1"/>
  <c r="C1634" i="3"/>
  <c r="C1634" i="8" s="1"/>
  <c r="B1634" i="3"/>
  <c r="B1634" i="8" s="1"/>
  <c r="F1633" i="3"/>
  <c r="A1633" i="8" s="1"/>
  <c r="E1633" i="3"/>
  <c r="E1633" i="8" s="1"/>
  <c r="D1633" i="3"/>
  <c r="D1633" i="8" s="1"/>
  <c r="C1633" i="3"/>
  <c r="C1633" i="8" s="1"/>
  <c r="B1633" i="3"/>
  <c r="B1633" i="8" s="1"/>
  <c r="F1632" i="3"/>
  <c r="A1632" i="8" s="1"/>
  <c r="E1632" i="3"/>
  <c r="E1632" i="8" s="1"/>
  <c r="D1632" i="3"/>
  <c r="D1632" i="8" s="1"/>
  <c r="C1632" i="3"/>
  <c r="C1632" i="8" s="1"/>
  <c r="B1632" i="3"/>
  <c r="B1632" i="8" s="1"/>
  <c r="F1631" i="3"/>
  <c r="A1631" i="8" s="1"/>
  <c r="E1631" i="3"/>
  <c r="E1631" i="8" s="1"/>
  <c r="D1631" i="3"/>
  <c r="D1631" i="8" s="1"/>
  <c r="C1631" i="3"/>
  <c r="C1631" i="8" s="1"/>
  <c r="B1631" i="3"/>
  <c r="B1631" i="8" s="1"/>
  <c r="F1630" i="3"/>
  <c r="A1630" i="8" s="1"/>
  <c r="E1630" i="3"/>
  <c r="E1630" i="8" s="1"/>
  <c r="D1630" i="3"/>
  <c r="D1630" i="8" s="1"/>
  <c r="C1630" i="3"/>
  <c r="C1630" i="8" s="1"/>
  <c r="B1630" i="3"/>
  <c r="B1630" i="8" s="1"/>
  <c r="F1629" i="3"/>
  <c r="A1629" i="8" s="1"/>
  <c r="E1629" i="3"/>
  <c r="E1629" i="8" s="1"/>
  <c r="D1629" i="3"/>
  <c r="D1629" i="8" s="1"/>
  <c r="C1629" i="3"/>
  <c r="C1629" i="8" s="1"/>
  <c r="B1629" i="3"/>
  <c r="B1629" i="8" s="1"/>
  <c r="F1628" i="3"/>
  <c r="A1628" i="8" s="1"/>
  <c r="E1628" i="3"/>
  <c r="E1628" i="8" s="1"/>
  <c r="D1628" i="3"/>
  <c r="D1628" i="8" s="1"/>
  <c r="C1628" i="3"/>
  <c r="C1628" i="8" s="1"/>
  <c r="B1628" i="3"/>
  <c r="B1628" i="8" s="1"/>
  <c r="F1627" i="3"/>
  <c r="A1627" i="8" s="1"/>
  <c r="E1627" i="3"/>
  <c r="E1627" i="8" s="1"/>
  <c r="D1627" i="3"/>
  <c r="D1627" i="8" s="1"/>
  <c r="C1627" i="3"/>
  <c r="C1627" i="8" s="1"/>
  <c r="B1627" i="3"/>
  <c r="B1627" i="8" s="1"/>
  <c r="F1626" i="3"/>
  <c r="A1626" i="8" s="1"/>
  <c r="E1626" i="3"/>
  <c r="E1626" i="8" s="1"/>
  <c r="D1626" i="3"/>
  <c r="D1626" i="8" s="1"/>
  <c r="C1626" i="3"/>
  <c r="C1626" i="8" s="1"/>
  <c r="B1626" i="3"/>
  <c r="B1626" i="8" s="1"/>
  <c r="F1625" i="3"/>
  <c r="A1625" i="8" s="1"/>
  <c r="E1625" i="3"/>
  <c r="E1625" i="8" s="1"/>
  <c r="D1625" i="3"/>
  <c r="D1625" i="8" s="1"/>
  <c r="C1625" i="3"/>
  <c r="C1625" i="8" s="1"/>
  <c r="B1625" i="3"/>
  <c r="B1625" i="8" s="1"/>
  <c r="F1624" i="3"/>
  <c r="A1624" i="8" s="1"/>
  <c r="E1624" i="3"/>
  <c r="E1624" i="8" s="1"/>
  <c r="D1624" i="3"/>
  <c r="D1624" i="8" s="1"/>
  <c r="C1624" i="3"/>
  <c r="C1624" i="8" s="1"/>
  <c r="B1624" i="3"/>
  <c r="B1624" i="8" s="1"/>
  <c r="F1623" i="3"/>
  <c r="A1623" i="8" s="1"/>
  <c r="E1623" i="3"/>
  <c r="E1623" i="8" s="1"/>
  <c r="D1623" i="3"/>
  <c r="D1623" i="8" s="1"/>
  <c r="C1623" i="3"/>
  <c r="C1623" i="8" s="1"/>
  <c r="B1623" i="3"/>
  <c r="B1623" i="8" s="1"/>
  <c r="F1622" i="3"/>
  <c r="A1622" i="8" s="1"/>
  <c r="E1622" i="3"/>
  <c r="E1622" i="8" s="1"/>
  <c r="D1622" i="3"/>
  <c r="D1622" i="8" s="1"/>
  <c r="C1622" i="3"/>
  <c r="C1622" i="8" s="1"/>
  <c r="B1622" i="3"/>
  <c r="B1622" i="8" s="1"/>
  <c r="F1621" i="3"/>
  <c r="A1621" i="8" s="1"/>
  <c r="E1621" i="3"/>
  <c r="E1621" i="8" s="1"/>
  <c r="D1621" i="3"/>
  <c r="D1621" i="8" s="1"/>
  <c r="C1621" i="3"/>
  <c r="C1621" i="8" s="1"/>
  <c r="B1621" i="3"/>
  <c r="B1621" i="8" s="1"/>
  <c r="F1620" i="3"/>
  <c r="A1620" i="8" s="1"/>
  <c r="E1620" i="3"/>
  <c r="E1620" i="8" s="1"/>
  <c r="D1620" i="3"/>
  <c r="D1620" i="8" s="1"/>
  <c r="C1620" i="3"/>
  <c r="C1620" i="8" s="1"/>
  <c r="B1620" i="3"/>
  <c r="B1620" i="8" s="1"/>
  <c r="F1619" i="3"/>
  <c r="A1619" i="8" s="1"/>
  <c r="E1619" i="3"/>
  <c r="E1619" i="8" s="1"/>
  <c r="D1619" i="3"/>
  <c r="D1619" i="8" s="1"/>
  <c r="C1619" i="3"/>
  <c r="C1619" i="8" s="1"/>
  <c r="B1619" i="3"/>
  <c r="B1619" i="8" s="1"/>
  <c r="F1618" i="3"/>
  <c r="A1618" i="8" s="1"/>
  <c r="E1618" i="3"/>
  <c r="E1618" i="8" s="1"/>
  <c r="D1618" i="3"/>
  <c r="D1618" i="8" s="1"/>
  <c r="C1618" i="3"/>
  <c r="C1618" i="8" s="1"/>
  <c r="B1618" i="3"/>
  <c r="B1618" i="8" s="1"/>
  <c r="F1617" i="3"/>
  <c r="A1617" i="8" s="1"/>
  <c r="E1617" i="3"/>
  <c r="E1617" i="8" s="1"/>
  <c r="D1617" i="3"/>
  <c r="D1617" i="8" s="1"/>
  <c r="C1617" i="3"/>
  <c r="C1617" i="8" s="1"/>
  <c r="B1617" i="3"/>
  <c r="B1617" i="8" s="1"/>
  <c r="F1616" i="3"/>
  <c r="A1616" i="8" s="1"/>
  <c r="E1616" i="3"/>
  <c r="E1616" i="8" s="1"/>
  <c r="D1616" i="3"/>
  <c r="D1616" i="8" s="1"/>
  <c r="C1616" i="3"/>
  <c r="C1616" i="8" s="1"/>
  <c r="B1616" i="3"/>
  <c r="B1616" i="8" s="1"/>
  <c r="F1615" i="3"/>
  <c r="A1615" i="8" s="1"/>
  <c r="E1615" i="3"/>
  <c r="E1615" i="8" s="1"/>
  <c r="D1615" i="3"/>
  <c r="D1615" i="8" s="1"/>
  <c r="C1615" i="3"/>
  <c r="C1615" i="8" s="1"/>
  <c r="B1615" i="3"/>
  <c r="B1615" i="8" s="1"/>
  <c r="F1614" i="3"/>
  <c r="A1614" i="8" s="1"/>
  <c r="E1614" i="3"/>
  <c r="E1614" i="8" s="1"/>
  <c r="D1614" i="3"/>
  <c r="D1614" i="8" s="1"/>
  <c r="C1614" i="3"/>
  <c r="C1614" i="8" s="1"/>
  <c r="B1614" i="3"/>
  <c r="B1614" i="8" s="1"/>
  <c r="F1613" i="3"/>
  <c r="A1613" i="8" s="1"/>
  <c r="E1613" i="3"/>
  <c r="E1613" i="8" s="1"/>
  <c r="D1613" i="3"/>
  <c r="D1613" i="8" s="1"/>
  <c r="C1613" i="3"/>
  <c r="C1613" i="8" s="1"/>
  <c r="B1613" i="3"/>
  <c r="B1613" i="8" s="1"/>
  <c r="F1612" i="3"/>
  <c r="A1612" i="8" s="1"/>
  <c r="E1612" i="3"/>
  <c r="E1612" i="8" s="1"/>
  <c r="D1612" i="3"/>
  <c r="D1612" i="8" s="1"/>
  <c r="C1612" i="3"/>
  <c r="C1612" i="8" s="1"/>
  <c r="B1612" i="3"/>
  <c r="B1612" i="8" s="1"/>
  <c r="F1611" i="3"/>
  <c r="A1611" i="8" s="1"/>
  <c r="E1611" i="3"/>
  <c r="E1611" i="8" s="1"/>
  <c r="D1611" i="3"/>
  <c r="D1611" i="8" s="1"/>
  <c r="C1611" i="3"/>
  <c r="C1611" i="8" s="1"/>
  <c r="B1611" i="3"/>
  <c r="B1611" i="8" s="1"/>
  <c r="F1610" i="3"/>
  <c r="A1610" i="8" s="1"/>
  <c r="E1610" i="3"/>
  <c r="E1610" i="8" s="1"/>
  <c r="D1610" i="3"/>
  <c r="D1610" i="8" s="1"/>
  <c r="C1610" i="3"/>
  <c r="C1610" i="8" s="1"/>
  <c r="B1610" i="3"/>
  <c r="B1610" i="8" s="1"/>
  <c r="F1609" i="3"/>
  <c r="A1609" i="8" s="1"/>
  <c r="E1609" i="3"/>
  <c r="E1609" i="8" s="1"/>
  <c r="D1609" i="3"/>
  <c r="D1609" i="8" s="1"/>
  <c r="C1609" i="3"/>
  <c r="C1609" i="8" s="1"/>
  <c r="B1609" i="3"/>
  <c r="B1609" i="8" s="1"/>
  <c r="F1608" i="3"/>
  <c r="A1608" i="8" s="1"/>
  <c r="E1608" i="3"/>
  <c r="E1608" i="8" s="1"/>
  <c r="D1608" i="3"/>
  <c r="D1608" i="8" s="1"/>
  <c r="C1608" i="3"/>
  <c r="C1608" i="8" s="1"/>
  <c r="B1608" i="3"/>
  <c r="B1608" i="8" s="1"/>
  <c r="F1607" i="3"/>
  <c r="A1607" i="8" s="1"/>
  <c r="E1607" i="3"/>
  <c r="E1607" i="8" s="1"/>
  <c r="D1607" i="3"/>
  <c r="D1607" i="8" s="1"/>
  <c r="C1607" i="3"/>
  <c r="C1607" i="8" s="1"/>
  <c r="B1607" i="3"/>
  <c r="B1607" i="8" s="1"/>
  <c r="F1606" i="3"/>
  <c r="A1606" i="8" s="1"/>
  <c r="E1606" i="3"/>
  <c r="E1606" i="8" s="1"/>
  <c r="D1606" i="3"/>
  <c r="D1606" i="8" s="1"/>
  <c r="C1606" i="3"/>
  <c r="C1606" i="8" s="1"/>
  <c r="B1606" i="3"/>
  <c r="B1606" i="8" s="1"/>
  <c r="F1605" i="3"/>
  <c r="A1605" i="8" s="1"/>
  <c r="E1605" i="3"/>
  <c r="E1605" i="8" s="1"/>
  <c r="D1605" i="3"/>
  <c r="D1605" i="8" s="1"/>
  <c r="C1605" i="3"/>
  <c r="C1605" i="8" s="1"/>
  <c r="B1605" i="3"/>
  <c r="B1605" i="8" s="1"/>
  <c r="F1604" i="3"/>
  <c r="A1604" i="8" s="1"/>
  <c r="E1604" i="3"/>
  <c r="E1604" i="8" s="1"/>
  <c r="D1604" i="3"/>
  <c r="D1604" i="8" s="1"/>
  <c r="C1604" i="3"/>
  <c r="C1604" i="8" s="1"/>
  <c r="B1604" i="3"/>
  <c r="B1604" i="8" s="1"/>
  <c r="F1603" i="3"/>
  <c r="A1603" i="8" s="1"/>
  <c r="E1603" i="3"/>
  <c r="E1603" i="8" s="1"/>
  <c r="D1603" i="3"/>
  <c r="D1603" i="8" s="1"/>
  <c r="C1603" i="3"/>
  <c r="C1603" i="8" s="1"/>
  <c r="B1603" i="3"/>
  <c r="B1603" i="8" s="1"/>
  <c r="F1602" i="3"/>
  <c r="A1602" i="8" s="1"/>
  <c r="E1602" i="3"/>
  <c r="E1602" i="8" s="1"/>
  <c r="D1602" i="3"/>
  <c r="D1602" i="8" s="1"/>
  <c r="C1602" i="3"/>
  <c r="C1602" i="8" s="1"/>
  <c r="B1602" i="3"/>
  <c r="B1602" i="8" s="1"/>
  <c r="F1601" i="3"/>
  <c r="A1601" i="8" s="1"/>
  <c r="E1601" i="3"/>
  <c r="E1601" i="8" s="1"/>
  <c r="D1601" i="3"/>
  <c r="D1601" i="8" s="1"/>
  <c r="C1601" i="3"/>
  <c r="C1601" i="8" s="1"/>
  <c r="B1601" i="3"/>
  <c r="B1601" i="8" s="1"/>
  <c r="F1600" i="3"/>
  <c r="A1600" i="8" s="1"/>
  <c r="E1600" i="3"/>
  <c r="E1600" i="8" s="1"/>
  <c r="D1600" i="3"/>
  <c r="D1600" i="8" s="1"/>
  <c r="C1600" i="3"/>
  <c r="C1600" i="8" s="1"/>
  <c r="B1600" i="3"/>
  <c r="B1600" i="8" s="1"/>
  <c r="F1599" i="3"/>
  <c r="A1599" i="8" s="1"/>
  <c r="E1599" i="3"/>
  <c r="E1599" i="8" s="1"/>
  <c r="D1599" i="3"/>
  <c r="D1599" i="8" s="1"/>
  <c r="C1599" i="3"/>
  <c r="C1599" i="8" s="1"/>
  <c r="B1599" i="3"/>
  <c r="B1599" i="8" s="1"/>
  <c r="F1598" i="3"/>
  <c r="A1598" i="8" s="1"/>
  <c r="E1598" i="3"/>
  <c r="E1598" i="8" s="1"/>
  <c r="D1598" i="3"/>
  <c r="D1598" i="8" s="1"/>
  <c r="C1598" i="3"/>
  <c r="C1598" i="8" s="1"/>
  <c r="B1598" i="3"/>
  <c r="B1598" i="8" s="1"/>
  <c r="F1597" i="3"/>
  <c r="A1597" i="8" s="1"/>
  <c r="E1597" i="3"/>
  <c r="E1597" i="8" s="1"/>
  <c r="D1597" i="3"/>
  <c r="D1597" i="8" s="1"/>
  <c r="C1597" i="3"/>
  <c r="C1597" i="8" s="1"/>
  <c r="B1597" i="3"/>
  <c r="B1597" i="8" s="1"/>
  <c r="F1596" i="3"/>
  <c r="A1596" i="8" s="1"/>
  <c r="E1596" i="3"/>
  <c r="E1596" i="8" s="1"/>
  <c r="D1596" i="3"/>
  <c r="D1596" i="8" s="1"/>
  <c r="C1596" i="3"/>
  <c r="C1596" i="8" s="1"/>
  <c r="B1596" i="3"/>
  <c r="B1596" i="8" s="1"/>
  <c r="F1595" i="3"/>
  <c r="A1595" i="8" s="1"/>
  <c r="E1595" i="3"/>
  <c r="E1595" i="8" s="1"/>
  <c r="D1595" i="3"/>
  <c r="D1595" i="8" s="1"/>
  <c r="C1595" i="3"/>
  <c r="C1595" i="8" s="1"/>
  <c r="B1595" i="3"/>
  <c r="B1595" i="8" s="1"/>
  <c r="F1594" i="3"/>
  <c r="A1594" i="8" s="1"/>
  <c r="E1594" i="3"/>
  <c r="E1594" i="8" s="1"/>
  <c r="D1594" i="3"/>
  <c r="D1594" i="8" s="1"/>
  <c r="C1594" i="3"/>
  <c r="C1594" i="8" s="1"/>
  <c r="B1594" i="3"/>
  <c r="B1594" i="8" s="1"/>
  <c r="F1593" i="3"/>
  <c r="A1593" i="8" s="1"/>
  <c r="E1593" i="3"/>
  <c r="E1593" i="8" s="1"/>
  <c r="D1593" i="3"/>
  <c r="D1593" i="8" s="1"/>
  <c r="C1593" i="3"/>
  <c r="C1593" i="8" s="1"/>
  <c r="B1593" i="3"/>
  <c r="B1593" i="8" s="1"/>
  <c r="F1592" i="3"/>
  <c r="A1592" i="8" s="1"/>
  <c r="E1592" i="3"/>
  <c r="E1592" i="8" s="1"/>
  <c r="D1592" i="3"/>
  <c r="D1592" i="8" s="1"/>
  <c r="C1592" i="3"/>
  <c r="C1592" i="8" s="1"/>
  <c r="B1592" i="3"/>
  <c r="B1592" i="8" s="1"/>
  <c r="F1591" i="3"/>
  <c r="A1591" i="8" s="1"/>
  <c r="E1591" i="3"/>
  <c r="E1591" i="8" s="1"/>
  <c r="D1591" i="3"/>
  <c r="D1591" i="8" s="1"/>
  <c r="C1591" i="3"/>
  <c r="C1591" i="8" s="1"/>
  <c r="B1591" i="3"/>
  <c r="B1591" i="8" s="1"/>
  <c r="F1590" i="3"/>
  <c r="A1590" i="8" s="1"/>
  <c r="E1590" i="3"/>
  <c r="E1590" i="8" s="1"/>
  <c r="D1590" i="3"/>
  <c r="D1590" i="8" s="1"/>
  <c r="C1590" i="3"/>
  <c r="C1590" i="8" s="1"/>
  <c r="B1590" i="3"/>
  <c r="B1590" i="8" s="1"/>
  <c r="F1589" i="3"/>
  <c r="A1589" i="8" s="1"/>
  <c r="E1589" i="3"/>
  <c r="E1589" i="8" s="1"/>
  <c r="D1589" i="3"/>
  <c r="D1589" i="8" s="1"/>
  <c r="C1589" i="3"/>
  <c r="C1589" i="8" s="1"/>
  <c r="B1589" i="3"/>
  <c r="B1589" i="8" s="1"/>
  <c r="F1588" i="3"/>
  <c r="A1588" i="8" s="1"/>
  <c r="E1588" i="3"/>
  <c r="E1588" i="8" s="1"/>
  <c r="D1588" i="3"/>
  <c r="D1588" i="8" s="1"/>
  <c r="C1588" i="3"/>
  <c r="C1588" i="8" s="1"/>
  <c r="B1588" i="3"/>
  <c r="B1588" i="8" s="1"/>
  <c r="F1587" i="3"/>
  <c r="A1587" i="8" s="1"/>
  <c r="E1587" i="3"/>
  <c r="E1587" i="8" s="1"/>
  <c r="D1587" i="3"/>
  <c r="D1587" i="8" s="1"/>
  <c r="C1587" i="3"/>
  <c r="C1587" i="8" s="1"/>
  <c r="B1587" i="3"/>
  <c r="B1587" i="8" s="1"/>
  <c r="F1586" i="3"/>
  <c r="A1586" i="8" s="1"/>
  <c r="E1586" i="3"/>
  <c r="E1586" i="8" s="1"/>
  <c r="D1586" i="3"/>
  <c r="D1586" i="8" s="1"/>
  <c r="C1586" i="3"/>
  <c r="C1586" i="8" s="1"/>
  <c r="B1586" i="3"/>
  <c r="B1586" i="8" s="1"/>
  <c r="F1585" i="3"/>
  <c r="A1585" i="8" s="1"/>
  <c r="E1585" i="3"/>
  <c r="E1585" i="8" s="1"/>
  <c r="D1585" i="3"/>
  <c r="D1585" i="8" s="1"/>
  <c r="C1585" i="3"/>
  <c r="C1585" i="8" s="1"/>
  <c r="B1585" i="3"/>
  <c r="B1585" i="8" s="1"/>
  <c r="F1584" i="3"/>
  <c r="A1584" i="8" s="1"/>
  <c r="E1584" i="3"/>
  <c r="E1584" i="8" s="1"/>
  <c r="D1584" i="3"/>
  <c r="D1584" i="8" s="1"/>
  <c r="C1584" i="3"/>
  <c r="C1584" i="8" s="1"/>
  <c r="B1584" i="3"/>
  <c r="B1584" i="8" s="1"/>
  <c r="F1583" i="3"/>
  <c r="A1583" i="8" s="1"/>
  <c r="E1583" i="3"/>
  <c r="E1583" i="8" s="1"/>
  <c r="D1583" i="3"/>
  <c r="D1583" i="8" s="1"/>
  <c r="C1583" i="3"/>
  <c r="C1583" i="8" s="1"/>
  <c r="B1583" i="3"/>
  <c r="B1583" i="8" s="1"/>
  <c r="F1582" i="3"/>
  <c r="A1582" i="8" s="1"/>
  <c r="E1582" i="3"/>
  <c r="E1582" i="8" s="1"/>
  <c r="D1582" i="3"/>
  <c r="D1582" i="8" s="1"/>
  <c r="C1582" i="3"/>
  <c r="C1582" i="8" s="1"/>
  <c r="B1582" i="3"/>
  <c r="B1582" i="8" s="1"/>
  <c r="F1581" i="3"/>
  <c r="A1581" i="8" s="1"/>
  <c r="E1581" i="3"/>
  <c r="E1581" i="8" s="1"/>
  <c r="D1581" i="3"/>
  <c r="D1581" i="8" s="1"/>
  <c r="C1581" i="3"/>
  <c r="C1581" i="8" s="1"/>
  <c r="B1581" i="3"/>
  <c r="B1581" i="8" s="1"/>
  <c r="F1580" i="3"/>
  <c r="A1580" i="8" s="1"/>
  <c r="E1580" i="3"/>
  <c r="E1580" i="8" s="1"/>
  <c r="D1580" i="3"/>
  <c r="D1580" i="8" s="1"/>
  <c r="C1580" i="3"/>
  <c r="C1580" i="8" s="1"/>
  <c r="B1580" i="3"/>
  <c r="B1580" i="8" s="1"/>
  <c r="F1579" i="3"/>
  <c r="A1579" i="8" s="1"/>
  <c r="E1579" i="3"/>
  <c r="E1579" i="8" s="1"/>
  <c r="D1579" i="3"/>
  <c r="D1579" i="8" s="1"/>
  <c r="C1579" i="3"/>
  <c r="C1579" i="8" s="1"/>
  <c r="B1579" i="3"/>
  <c r="B1579" i="8" s="1"/>
  <c r="F1578" i="3"/>
  <c r="A1578" i="8" s="1"/>
  <c r="E1578" i="3"/>
  <c r="E1578" i="8" s="1"/>
  <c r="D1578" i="3"/>
  <c r="D1578" i="8" s="1"/>
  <c r="C1578" i="3"/>
  <c r="C1578" i="8" s="1"/>
  <c r="B1578" i="3"/>
  <c r="B1578" i="8" s="1"/>
  <c r="F1577" i="3"/>
  <c r="A1577" i="8" s="1"/>
  <c r="E1577" i="3"/>
  <c r="E1577" i="8" s="1"/>
  <c r="D1577" i="3"/>
  <c r="D1577" i="8" s="1"/>
  <c r="C1577" i="3"/>
  <c r="C1577" i="8" s="1"/>
  <c r="B1577" i="3"/>
  <c r="B1577" i="8" s="1"/>
  <c r="F1576" i="3"/>
  <c r="A1576" i="8" s="1"/>
  <c r="E1576" i="3"/>
  <c r="E1576" i="8" s="1"/>
  <c r="D1576" i="3"/>
  <c r="D1576" i="8" s="1"/>
  <c r="C1576" i="3"/>
  <c r="C1576" i="8" s="1"/>
  <c r="B1576" i="3"/>
  <c r="B1576" i="8" s="1"/>
  <c r="F1575" i="3"/>
  <c r="A1575" i="8" s="1"/>
  <c r="E1575" i="3"/>
  <c r="E1575" i="8" s="1"/>
  <c r="D1575" i="3"/>
  <c r="D1575" i="8" s="1"/>
  <c r="C1575" i="3"/>
  <c r="C1575" i="8" s="1"/>
  <c r="B1575" i="3"/>
  <c r="B1575" i="8" s="1"/>
  <c r="F1574" i="3"/>
  <c r="A1574" i="8" s="1"/>
  <c r="E1574" i="3"/>
  <c r="E1574" i="8" s="1"/>
  <c r="D1574" i="3"/>
  <c r="D1574" i="8" s="1"/>
  <c r="C1574" i="3"/>
  <c r="C1574" i="8" s="1"/>
  <c r="B1574" i="3"/>
  <c r="B1574" i="8" s="1"/>
  <c r="F1573" i="3"/>
  <c r="A1573" i="8" s="1"/>
  <c r="E1573" i="3"/>
  <c r="E1573" i="8" s="1"/>
  <c r="D1573" i="3"/>
  <c r="D1573" i="8" s="1"/>
  <c r="C1573" i="3"/>
  <c r="C1573" i="8" s="1"/>
  <c r="B1573" i="3"/>
  <c r="B1573" i="8" s="1"/>
  <c r="F1572" i="3"/>
  <c r="A1572" i="8" s="1"/>
  <c r="E1572" i="3"/>
  <c r="E1572" i="8" s="1"/>
  <c r="D1572" i="3"/>
  <c r="D1572" i="8" s="1"/>
  <c r="C1572" i="3"/>
  <c r="C1572" i="8" s="1"/>
  <c r="B1572" i="3"/>
  <c r="B1572" i="8" s="1"/>
  <c r="F1571" i="3"/>
  <c r="A1571" i="8" s="1"/>
  <c r="E1571" i="3"/>
  <c r="E1571" i="8" s="1"/>
  <c r="D1571" i="3"/>
  <c r="D1571" i="8" s="1"/>
  <c r="C1571" i="3"/>
  <c r="C1571" i="8" s="1"/>
  <c r="B1571" i="3"/>
  <c r="B1571" i="8" s="1"/>
  <c r="F1570" i="3"/>
  <c r="A1570" i="8" s="1"/>
  <c r="E1570" i="3"/>
  <c r="E1570" i="8" s="1"/>
  <c r="D1570" i="3"/>
  <c r="D1570" i="8" s="1"/>
  <c r="C1570" i="3"/>
  <c r="C1570" i="8" s="1"/>
  <c r="B1570" i="3"/>
  <c r="B1570" i="8" s="1"/>
  <c r="F1569" i="3"/>
  <c r="A1569" i="8" s="1"/>
  <c r="E1569" i="3"/>
  <c r="E1569" i="8" s="1"/>
  <c r="D1569" i="3"/>
  <c r="D1569" i="8" s="1"/>
  <c r="C1569" i="3"/>
  <c r="C1569" i="8" s="1"/>
  <c r="B1569" i="3"/>
  <c r="B1569" i="8" s="1"/>
  <c r="F1568" i="3"/>
  <c r="A1568" i="8" s="1"/>
  <c r="E1568" i="3"/>
  <c r="E1568" i="8" s="1"/>
  <c r="D1568" i="3"/>
  <c r="D1568" i="8" s="1"/>
  <c r="C1568" i="3"/>
  <c r="C1568" i="8" s="1"/>
  <c r="B1568" i="3"/>
  <c r="B1568" i="8" s="1"/>
  <c r="F1567" i="3"/>
  <c r="A1567" i="8" s="1"/>
  <c r="E1567" i="3"/>
  <c r="E1567" i="8" s="1"/>
  <c r="D1567" i="3"/>
  <c r="D1567" i="8" s="1"/>
  <c r="C1567" i="3"/>
  <c r="C1567" i="8" s="1"/>
  <c r="B1567" i="3"/>
  <c r="B1567" i="8" s="1"/>
  <c r="F1566" i="3"/>
  <c r="A1566" i="8" s="1"/>
  <c r="E1566" i="3"/>
  <c r="E1566" i="8" s="1"/>
  <c r="D1566" i="3"/>
  <c r="D1566" i="8" s="1"/>
  <c r="C1566" i="3"/>
  <c r="C1566" i="8" s="1"/>
  <c r="B1566" i="3"/>
  <c r="B1566" i="8" s="1"/>
  <c r="F1565" i="3"/>
  <c r="A1565" i="8" s="1"/>
  <c r="E1565" i="3"/>
  <c r="E1565" i="8" s="1"/>
  <c r="D1565" i="3"/>
  <c r="D1565" i="8" s="1"/>
  <c r="C1565" i="3"/>
  <c r="C1565" i="8" s="1"/>
  <c r="B1565" i="3"/>
  <c r="B1565" i="8" s="1"/>
  <c r="F1564" i="3"/>
  <c r="A1564" i="8" s="1"/>
  <c r="E1564" i="3"/>
  <c r="E1564" i="8" s="1"/>
  <c r="D1564" i="3"/>
  <c r="D1564" i="8" s="1"/>
  <c r="C1564" i="3"/>
  <c r="C1564" i="8" s="1"/>
  <c r="B1564" i="3"/>
  <c r="B1564" i="8" s="1"/>
  <c r="F1563" i="3"/>
  <c r="A1563" i="8" s="1"/>
  <c r="E1563" i="3"/>
  <c r="E1563" i="8" s="1"/>
  <c r="D1563" i="3"/>
  <c r="D1563" i="8" s="1"/>
  <c r="C1563" i="3"/>
  <c r="C1563" i="8" s="1"/>
  <c r="B1563" i="3"/>
  <c r="B1563" i="8" s="1"/>
  <c r="F1562" i="3"/>
  <c r="A1562" i="8" s="1"/>
  <c r="E1562" i="3"/>
  <c r="E1562" i="8" s="1"/>
  <c r="D1562" i="3"/>
  <c r="D1562" i="8" s="1"/>
  <c r="C1562" i="3"/>
  <c r="C1562" i="8" s="1"/>
  <c r="B1562" i="3"/>
  <c r="B1562" i="8" s="1"/>
  <c r="F1561" i="3"/>
  <c r="A1561" i="8" s="1"/>
  <c r="E1561" i="3"/>
  <c r="E1561" i="8" s="1"/>
  <c r="D1561" i="3"/>
  <c r="D1561" i="8" s="1"/>
  <c r="C1561" i="3"/>
  <c r="C1561" i="8" s="1"/>
  <c r="B1561" i="3"/>
  <c r="B1561" i="8" s="1"/>
  <c r="F1560" i="3"/>
  <c r="A1560" i="8" s="1"/>
  <c r="E1560" i="3"/>
  <c r="E1560" i="8" s="1"/>
  <c r="D1560" i="3"/>
  <c r="D1560" i="8" s="1"/>
  <c r="C1560" i="3"/>
  <c r="C1560" i="8" s="1"/>
  <c r="B1560" i="3"/>
  <c r="B1560" i="8" s="1"/>
  <c r="F1559" i="3"/>
  <c r="A1559" i="8" s="1"/>
  <c r="E1559" i="3"/>
  <c r="E1559" i="8" s="1"/>
  <c r="D1559" i="3"/>
  <c r="D1559" i="8" s="1"/>
  <c r="C1559" i="3"/>
  <c r="C1559" i="8" s="1"/>
  <c r="B1559" i="3"/>
  <c r="B1559" i="8" s="1"/>
  <c r="F1558" i="3"/>
  <c r="A1558" i="8" s="1"/>
  <c r="E1558" i="3"/>
  <c r="E1558" i="8" s="1"/>
  <c r="D1558" i="3"/>
  <c r="D1558" i="8" s="1"/>
  <c r="C1558" i="3"/>
  <c r="C1558" i="8" s="1"/>
  <c r="B1558" i="3"/>
  <c r="B1558" i="8" s="1"/>
  <c r="F1557" i="3"/>
  <c r="A1557" i="8" s="1"/>
  <c r="E1557" i="3"/>
  <c r="E1557" i="8" s="1"/>
  <c r="D1557" i="3"/>
  <c r="D1557" i="8" s="1"/>
  <c r="C1557" i="3"/>
  <c r="C1557" i="8" s="1"/>
  <c r="B1557" i="3"/>
  <c r="B1557" i="8" s="1"/>
  <c r="F1556" i="3"/>
  <c r="A1556" i="8" s="1"/>
  <c r="E1556" i="3"/>
  <c r="E1556" i="8" s="1"/>
  <c r="D1556" i="3"/>
  <c r="D1556" i="8" s="1"/>
  <c r="C1556" i="3"/>
  <c r="C1556" i="8" s="1"/>
  <c r="B1556" i="3"/>
  <c r="B1556" i="8" s="1"/>
  <c r="F1555" i="3"/>
  <c r="A1555" i="8" s="1"/>
  <c r="E1555" i="3"/>
  <c r="E1555" i="8" s="1"/>
  <c r="D1555" i="3"/>
  <c r="D1555" i="8" s="1"/>
  <c r="C1555" i="3"/>
  <c r="C1555" i="8" s="1"/>
  <c r="B1555" i="3"/>
  <c r="B1555" i="8" s="1"/>
  <c r="F1554" i="3"/>
  <c r="A1554" i="8" s="1"/>
  <c r="E1554" i="3"/>
  <c r="E1554" i="8" s="1"/>
  <c r="D1554" i="3"/>
  <c r="D1554" i="8" s="1"/>
  <c r="C1554" i="3"/>
  <c r="C1554" i="8" s="1"/>
  <c r="B1554" i="3"/>
  <c r="B1554" i="8" s="1"/>
  <c r="F1553" i="3"/>
  <c r="A1553" i="8" s="1"/>
  <c r="E1553" i="3"/>
  <c r="E1553" i="8" s="1"/>
  <c r="D1553" i="3"/>
  <c r="D1553" i="8" s="1"/>
  <c r="C1553" i="3"/>
  <c r="C1553" i="8" s="1"/>
  <c r="B1553" i="3"/>
  <c r="B1553" i="8" s="1"/>
  <c r="F1552" i="3"/>
  <c r="A1552" i="8" s="1"/>
  <c r="E1552" i="3"/>
  <c r="E1552" i="8" s="1"/>
  <c r="D1552" i="3"/>
  <c r="D1552" i="8" s="1"/>
  <c r="C1552" i="3"/>
  <c r="C1552" i="8" s="1"/>
  <c r="B1552" i="3"/>
  <c r="B1552" i="8" s="1"/>
  <c r="F1551" i="3"/>
  <c r="A1551" i="8" s="1"/>
  <c r="E1551" i="3"/>
  <c r="E1551" i="8" s="1"/>
  <c r="D1551" i="3"/>
  <c r="D1551" i="8" s="1"/>
  <c r="C1551" i="3"/>
  <c r="C1551" i="8" s="1"/>
  <c r="B1551" i="3"/>
  <c r="B1551" i="8" s="1"/>
  <c r="F1550" i="3"/>
  <c r="A1550" i="8" s="1"/>
  <c r="E1550" i="3"/>
  <c r="E1550" i="8" s="1"/>
  <c r="D1550" i="3"/>
  <c r="D1550" i="8" s="1"/>
  <c r="C1550" i="3"/>
  <c r="C1550" i="8" s="1"/>
  <c r="B1550" i="3"/>
  <c r="B1550" i="8" s="1"/>
  <c r="F1549" i="3"/>
  <c r="A1549" i="8" s="1"/>
  <c r="E1549" i="3"/>
  <c r="E1549" i="8" s="1"/>
  <c r="D1549" i="3"/>
  <c r="D1549" i="8" s="1"/>
  <c r="C1549" i="3"/>
  <c r="C1549" i="8" s="1"/>
  <c r="B1549" i="3"/>
  <c r="B1549" i="8" s="1"/>
  <c r="F1548" i="3"/>
  <c r="A1548" i="8" s="1"/>
  <c r="E1548" i="3"/>
  <c r="E1548" i="8" s="1"/>
  <c r="D1548" i="3"/>
  <c r="D1548" i="8" s="1"/>
  <c r="C1548" i="3"/>
  <c r="C1548" i="8" s="1"/>
  <c r="B1548" i="3"/>
  <c r="B1548" i="8" s="1"/>
  <c r="F1547" i="3"/>
  <c r="A1547" i="8" s="1"/>
  <c r="E1547" i="3"/>
  <c r="E1547" i="8" s="1"/>
  <c r="D1547" i="3"/>
  <c r="D1547" i="8" s="1"/>
  <c r="C1547" i="3"/>
  <c r="C1547" i="8" s="1"/>
  <c r="B1547" i="3"/>
  <c r="B1547" i="8" s="1"/>
  <c r="F1546" i="3"/>
  <c r="A1546" i="8" s="1"/>
  <c r="E1546" i="3"/>
  <c r="E1546" i="8" s="1"/>
  <c r="D1546" i="3"/>
  <c r="D1546" i="8" s="1"/>
  <c r="C1546" i="3"/>
  <c r="C1546" i="8" s="1"/>
  <c r="B1546" i="3"/>
  <c r="B1546" i="8" s="1"/>
  <c r="F1545" i="3"/>
  <c r="A1545" i="8" s="1"/>
  <c r="E1545" i="3"/>
  <c r="E1545" i="8" s="1"/>
  <c r="D1545" i="3"/>
  <c r="D1545" i="8" s="1"/>
  <c r="C1545" i="3"/>
  <c r="C1545" i="8" s="1"/>
  <c r="B1545" i="3"/>
  <c r="B1545" i="8" s="1"/>
  <c r="F1544" i="3"/>
  <c r="A1544" i="8" s="1"/>
  <c r="E1544" i="3"/>
  <c r="E1544" i="8" s="1"/>
  <c r="D1544" i="3"/>
  <c r="D1544" i="8" s="1"/>
  <c r="C1544" i="3"/>
  <c r="C1544" i="8" s="1"/>
  <c r="B1544" i="3"/>
  <c r="B1544" i="8" s="1"/>
  <c r="F1543" i="3"/>
  <c r="A1543" i="8" s="1"/>
  <c r="E1543" i="3"/>
  <c r="E1543" i="8" s="1"/>
  <c r="D1543" i="3"/>
  <c r="D1543" i="8" s="1"/>
  <c r="C1543" i="3"/>
  <c r="C1543" i="8" s="1"/>
  <c r="B1543" i="3"/>
  <c r="B1543" i="8" s="1"/>
  <c r="F1542" i="3"/>
  <c r="A1542" i="8" s="1"/>
  <c r="E1542" i="3"/>
  <c r="E1542" i="8" s="1"/>
  <c r="D1542" i="3"/>
  <c r="D1542" i="8" s="1"/>
  <c r="C1542" i="3"/>
  <c r="C1542" i="8" s="1"/>
  <c r="B1542" i="3"/>
  <c r="B1542" i="8" s="1"/>
  <c r="F1541" i="3"/>
  <c r="A1541" i="8" s="1"/>
  <c r="E1541" i="3"/>
  <c r="E1541" i="8" s="1"/>
  <c r="D1541" i="3"/>
  <c r="D1541" i="8" s="1"/>
  <c r="C1541" i="3"/>
  <c r="C1541" i="8" s="1"/>
  <c r="B1541" i="3"/>
  <c r="B1541" i="8" s="1"/>
  <c r="F1540" i="3"/>
  <c r="A1540" i="8" s="1"/>
  <c r="E1540" i="3"/>
  <c r="E1540" i="8" s="1"/>
  <c r="D1540" i="3"/>
  <c r="D1540" i="8" s="1"/>
  <c r="C1540" i="3"/>
  <c r="C1540" i="8" s="1"/>
  <c r="B1540" i="3"/>
  <c r="B1540" i="8" s="1"/>
  <c r="F1539" i="3"/>
  <c r="A1539" i="8" s="1"/>
  <c r="E1539" i="3"/>
  <c r="E1539" i="8" s="1"/>
  <c r="D1539" i="3"/>
  <c r="D1539" i="8" s="1"/>
  <c r="C1539" i="3"/>
  <c r="C1539" i="8" s="1"/>
  <c r="B1539" i="3"/>
  <c r="B1539" i="8" s="1"/>
  <c r="F1538" i="3"/>
  <c r="A1538" i="8" s="1"/>
  <c r="E1538" i="3"/>
  <c r="E1538" i="8" s="1"/>
  <c r="D1538" i="3"/>
  <c r="D1538" i="8" s="1"/>
  <c r="C1538" i="3"/>
  <c r="C1538" i="8" s="1"/>
  <c r="B1538" i="3"/>
  <c r="B1538" i="8" s="1"/>
  <c r="F1537" i="3"/>
  <c r="A1537" i="8" s="1"/>
  <c r="E1537" i="3"/>
  <c r="E1537" i="8" s="1"/>
  <c r="D1537" i="3"/>
  <c r="D1537" i="8" s="1"/>
  <c r="C1537" i="3"/>
  <c r="C1537" i="8" s="1"/>
  <c r="B1537" i="3"/>
  <c r="B1537" i="8" s="1"/>
  <c r="F1536" i="3"/>
  <c r="A1536" i="8" s="1"/>
  <c r="E1536" i="3"/>
  <c r="E1536" i="8" s="1"/>
  <c r="D1536" i="3"/>
  <c r="D1536" i="8" s="1"/>
  <c r="C1536" i="3"/>
  <c r="C1536" i="8" s="1"/>
  <c r="B1536" i="3"/>
  <c r="B1536" i="8" s="1"/>
  <c r="F1535" i="3"/>
  <c r="A1535" i="8" s="1"/>
  <c r="E1535" i="3"/>
  <c r="E1535" i="8" s="1"/>
  <c r="D1535" i="3"/>
  <c r="D1535" i="8" s="1"/>
  <c r="C1535" i="3"/>
  <c r="C1535" i="8" s="1"/>
  <c r="B1535" i="3"/>
  <c r="B1535" i="8" s="1"/>
  <c r="F1534" i="3"/>
  <c r="A1534" i="8" s="1"/>
  <c r="E1534" i="3"/>
  <c r="E1534" i="8" s="1"/>
  <c r="D1534" i="3"/>
  <c r="D1534" i="8" s="1"/>
  <c r="C1534" i="3"/>
  <c r="C1534" i="8" s="1"/>
  <c r="B1534" i="3"/>
  <c r="B1534" i="8" s="1"/>
  <c r="F1533" i="3"/>
  <c r="A1533" i="8" s="1"/>
  <c r="E1533" i="3"/>
  <c r="E1533" i="8" s="1"/>
  <c r="D1533" i="3"/>
  <c r="D1533" i="8" s="1"/>
  <c r="C1533" i="3"/>
  <c r="C1533" i="8" s="1"/>
  <c r="B1533" i="3"/>
  <c r="B1533" i="8" s="1"/>
  <c r="F1532" i="3"/>
  <c r="A1532" i="8" s="1"/>
  <c r="E1532" i="3"/>
  <c r="E1532" i="8" s="1"/>
  <c r="D1532" i="3"/>
  <c r="D1532" i="8" s="1"/>
  <c r="C1532" i="3"/>
  <c r="C1532" i="8" s="1"/>
  <c r="B1532" i="3"/>
  <c r="B1532" i="8" s="1"/>
  <c r="F1531" i="3"/>
  <c r="A1531" i="8" s="1"/>
  <c r="E1531" i="3"/>
  <c r="E1531" i="8" s="1"/>
  <c r="D1531" i="3"/>
  <c r="D1531" i="8" s="1"/>
  <c r="C1531" i="3"/>
  <c r="C1531" i="8" s="1"/>
  <c r="B1531" i="3"/>
  <c r="B1531" i="8" s="1"/>
  <c r="F1530" i="3"/>
  <c r="A1530" i="8" s="1"/>
  <c r="E1530" i="3"/>
  <c r="E1530" i="8" s="1"/>
  <c r="D1530" i="3"/>
  <c r="D1530" i="8" s="1"/>
  <c r="C1530" i="3"/>
  <c r="C1530" i="8" s="1"/>
  <c r="B1530" i="3"/>
  <c r="B1530" i="8" s="1"/>
  <c r="F1529" i="3"/>
  <c r="A1529" i="8" s="1"/>
  <c r="E1529" i="3"/>
  <c r="E1529" i="8" s="1"/>
  <c r="D1529" i="3"/>
  <c r="D1529" i="8" s="1"/>
  <c r="C1529" i="3"/>
  <c r="C1529" i="8" s="1"/>
  <c r="B1529" i="3"/>
  <c r="B1529" i="8" s="1"/>
  <c r="F1528" i="3"/>
  <c r="A1528" i="8" s="1"/>
  <c r="E1528" i="3"/>
  <c r="E1528" i="8" s="1"/>
  <c r="D1528" i="3"/>
  <c r="D1528" i="8" s="1"/>
  <c r="C1528" i="3"/>
  <c r="C1528" i="8" s="1"/>
  <c r="B1528" i="3"/>
  <c r="B1528" i="8" s="1"/>
  <c r="F1527" i="3"/>
  <c r="A1527" i="8" s="1"/>
  <c r="E1527" i="3"/>
  <c r="E1527" i="8" s="1"/>
  <c r="D1527" i="3"/>
  <c r="D1527" i="8" s="1"/>
  <c r="C1527" i="3"/>
  <c r="C1527" i="8" s="1"/>
  <c r="B1527" i="3"/>
  <c r="B1527" i="8" s="1"/>
  <c r="F1526" i="3"/>
  <c r="A1526" i="8" s="1"/>
  <c r="E1526" i="3"/>
  <c r="E1526" i="8" s="1"/>
  <c r="D1526" i="3"/>
  <c r="D1526" i="8" s="1"/>
  <c r="C1526" i="3"/>
  <c r="C1526" i="8" s="1"/>
  <c r="B1526" i="3"/>
  <c r="B1526" i="8" s="1"/>
  <c r="F1525" i="3"/>
  <c r="A1525" i="8" s="1"/>
  <c r="E1525" i="3"/>
  <c r="E1525" i="8" s="1"/>
  <c r="D1525" i="3"/>
  <c r="D1525" i="8" s="1"/>
  <c r="C1525" i="3"/>
  <c r="C1525" i="8" s="1"/>
  <c r="B1525" i="3"/>
  <c r="B1525" i="8" s="1"/>
  <c r="F1524" i="3"/>
  <c r="A1524" i="8" s="1"/>
  <c r="E1524" i="3"/>
  <c r="E1524" i="8" s="1"/>
  <c r="D1524" i="3"/>
  <c r="D1524" i="8" s="1"/>
  <c r="C1524" i="3"/>
  <c r="C1524" i="8" s="1"/>
  <c r="B1524" i="3"/>
  <c r="B1524" i="8" s="1"/>
  <c r="F1523" i="3"/>
  <c r="A1523" i="8" s="1"/>
  <c r="E1523" i="3"/>
  <c r="E1523" i="8" s="1"/>
  <c r="D1523" i="3"/>
  <c r="D1523" i="8" s="1"/>
  <c r="C1523" i="3"/>
  <c r="C1523" i="8" s="1"/>
  <c r="B1523" i="3"/>
  <c r="B1523" i="8" s="1"/>
  <c r="F1522" i="3"/>
  <c r="A1522" i="8" s="1"/>
  <c r="E1522" i="3"/>
  <c r="E1522" i="8" s="1"/>
  <c r="D1522" i="3"/>
  <c r="D1522" i="8" s="1"/>
  <c r="C1522" i="3"/>
  <c r="C1522" i="8" s="1"/>
  <c r="B1522" i="3"/>
  <c r="B1522" i="8" s="1"/>
  <c r="F1521" i="3"/>
  <c r="A1521" i="8" s="1"/>
  <c r="E1521" i="3"/>
  <c r="E1521" i="8" s="1"/>
  <c r="D1521" i="3"/>
  <c r="D1521" i="8" s="1"/>
  <c r="C1521" i="3"/>
  <c r="C1521" i="8" s="1"/>
  <c r="B1521" i="3"/>
  <c r="B1521" i="8" s="1"/>
  <c r="F1520" i="3"/>
  <c r="A1520" i="8" s="1"/>
  <c r="E1520" i="3"/>
  <c r="E1520" i="8" s="1"/>
  <c r="D1520" i="3"/>
  <c r="D1520" i="8" s="1"/>
  <c r="C1520" i="3"/>
  <c r="C1520" i="8" s="1"/>
  <c r="B1520" i="3"/>
  <c r="B1520" i="8" s="1"/>
  <c r="F1519" i="3"/>
  <c r="A1519" i="8" s="1"/>
  <c r="E1519" i="3"/>
  <c r="E1519" i="8" s="1"/>
  <c r="D1519" i="3"/>
  <c r="D1519" i="8" s="1"/>
  <c r="C1519" i="3"/>
  <c r="C1519" i="8" s="1"/>
  <c r="B1519" i="3"/>
  <c r="B1519" i="8" s="1"/>
  <c r="F1518" i="3"/>
  <c r="A1518" i="8" s="1"/>
  <c r="E1518" i="3"/>
  <c r="E1518" i="8" s="1"/>
  <c r="D1518" i="3"/>
  <c r="D1518" i="8" s="1"/>
  <c r="C1518" i="3"/>
  <c r="C1518" i="8" s="1"/>
  <c r="B1518" i="3"/>
  <c r="B1518" i="8" s="1"/>
  <c r="F1517" i="3"/>
  <c r="A1517" i="8" s="1"/>
  <c r="E1517" i="3"/>
  <c r="E1517" i="8" s="1"/>
  <c r="D1517" i="3"/>
  <c r="D1517" i="8" s="1"/>
  <c r="C1517" i="3"/>
  <c r="C1517" i="8" s="1"/>
  <c r="B1517" i="3"/>
  <c r="B1517" i="8" s="1"/>
  <c r="F1516" i="3"/>
  <c r="A1516" i="8" s="1"/>
  <c r="E1516" i="3"/>
  <c r="E1516" i="8" s="1"/>
  <c r="D1516" i="3"/>
  <c r="D1516" i="8" s="1"/>
  <c r="C1516" i="3"/>
  <c r="C1516" i="8" s="1"/>
  <c r="B1516" i="3"/>
  <c r="B1516" i="8" s="1"/>
  <c r="F1515" i="3"/>
  <c r="A1515" i="8" s="1"/>
  <c r="E1515" i="3"/>
  <c r="E1515" i="8" s="1"/>
  <c r="D1515" i="3"/>
  <c r="D1515" i="8" s="1"/>
  <c r="C1515" i="3"/>
  <c r="C1515" i="8" s="1"/>
  <c r="B1515" i="3"/>
  <c r="B1515" i="8" s="1"/>
  <c r="F1514" i="3"/>
  <c r="A1514" i="8" s="1"/>
  <c r="E1514" i="3"/>
  <c r="E1514" i="8" s="1"/>
  <c r="D1514" i="3"/>
  <c r="D1514" i="8" s="1"/>
  <c r="C1514" i="3"/>
  <c r="C1514" i="8" s="1"/>
  <c r="B1514" i="3"/>
  <c r="B1514" i="8" s="1"/>
  <c r="F1513" i="3"/>
  <c r="A1513" i="8" s="1"/>
  <c r="E1513" i="3"/>
  <c r="E1513" i="8" s="1"/>
  <c r="D1513" i="3"/>
  <c r="D1513" i="8" s="1"/>
  <c r="C1513" i="3"/>
  <c r="C1513" i="8" s="1"/>
  <c r="B1513" i="3"/>
  <c r="B1513" i="8" s="1"/>
  <c r="F1512" i="3"/>
  <c r="A1512" i="8" s="1"/>
  <c r="E1512" i="3"/>
  <c r="E1512" i="8" s="1"/>
  <c r="D1512" i="3"/>
  <c r="D1512" i="8" s="1"/>
  <c r="C1512" i="3"/>
  <c r="C1512" i="8" s="1"/>
  <c r="B1512" i="3"/>
  <c r="B1512" i="8" s="1"/>
  <c r="F1511" i="3"/>
  <c r="A1511" i="8" s="1"/>
  <c r="E1511" i="3"/>
  <c r="E1511" i="8" s="1"/>
  <c r="D1511" i="3"/>
  <c r="D1511" i="8" s="1"/>
  <c r="C1511" i="3"/>
  <c r="C1511" i="8" s="1"/>
  <c r="B1511" i="3"/>
  <c r="B1511" i="8" s="1"/>
  <c r="F1510" i="3"/>
  <c r="A1510" i="8" s="1"/>
  <c r="E1510" i="3"/>
  <c r="E1510" i="8" s="1"/>
  <c r="D1510" i="3"/>
  <c r="D1510" i="8" s="1"/>
  <c r="C1510" i="3"/>
  <c r="C1510" i="8" s="1"/>
  <c r="B1510" i="3"/>
  <c r="B1510" i="8" s="1"/>
  <c r="F1509" i="3"/>
  <c r="A1509" i="8" s="1"/>
  <c r="E1509" i="3"/>
  <c r="E1509" i="8" s="1"/>
  <c r="D1509" i="3"/>
  <c r="D1509" i="8" s="1"/>
  <c r="C1509" i="3"/>
  <c r="C1509" i="8" s="1"/>
  <c r="B1509" i="3"/>
  <c r="B1509" i="8" s="1"/>
  <c r="F1508" i="3"/>
  <c r="A1508" i="8" s="1"/>
  <c r="E1508" i="3"/>
  <c r="E1508" i="8" s="1"/>
  <c r="D1508" i="3"/>
  <c r="D1508" i="8" s="1"/>
  <c r="C1508" i="3"/>
  <c r="C1508" i="8" s="1"/>
  <c r="B1508" i="3"/>
  <c r="B1508" i="8" s="1"/>
  <c r="F1507" i="3"/>
  <c r="A1507" i="8" s="1"/>
  <c r="E1507" i="3"/>
  <c r="E1507" i="8" s="1"/>
  <c r="D1507" i="3"/>
  <c r="D1507" i="8" s="1"/>
  <c r="C1507" i="3"/>
  <c r="C1507" i="8" s="1"/>
  <c r="B1507" i="3"/>
  <c r="B1507" i="8" s="1"/>
  <c r="F1506" i="3"/>
  <c r="A1506" i="8" s="1"/>
  <c r="E1506" i="3"/>
  <c r="E1506" i="8" s="1"/>
  <c r="D1506" i="3"/>
  <c r="D1506" i="8" s="1"/>
  <c r="C1506" i="3"/>
  <c r="C1506" i="8" s="1"/>
  <c r="B1506" i="3"/>
  <c r="B1506" i="8" s="1"/>
  <c r="F1505" i="3"/>
  <c r="A1505" i="8" s="1"/>
  <c r="E1505" i="3"/>
  <c r="E1505" i="8" s="1"/>
  <c r="D1505" i="3"/>
  <c r="D1505" i="8" s="1"/>
  <c r="C1505" i="3"/>
  <c r="C1505" i="8" s="1"/>
  <c r="B1505" i="3"/>
  <c r="B1505" i="8" s="1"/>
  <c r="F1504" i="3"/>
  <c r="A1504" i="8" s="1"/>
  <c r="E1504" i="3"/>
  <c r="E1504" i="8" s="1"/>
  <c r="D1504" i="3"/>
  <c r="D1504" i="8" s="1"/>
  <c r="C1504" i="3"/>
  <c r="C1504" i="8" s="1"/>
  <c r="B1504" i="3"/>
  <c r="B1504" i="8" s="1"/>
  <c r="F1503" i="3"/>
  <c r="A1503" i="8" s="1"/>
  <c r="E1503" i="3"/>
  <c r="E1503" i="8" s="1"/>
  <c r="D1503" i="3"/>
  <c r="D1503" i="8" s="1"/>
  <c r="C1503" i="3"/>
  <c r="C1503" i="8" s="1"/>
  <c r="B1503" i="3"/>
  <c r="B1503" i="8" s="1"/>
  <c r="F1502" i="3"/>
  <c r="A1502" i="8" s="1"/>
  <c r="E1502" i="3"/>
  <c r="E1502" i="8" s="1"/>
  <c r="D1502" i="3"/>
  <c r="D1502" i="8" s="1"/>
  <c r="C1502" i="3"/>
  <c r="C1502" i="8" s="1"/>
  <c r="B1502" i="3"/>
  <c r="B1502" i="8" s="1"/>
  <c r="F1501" i="3"/>
  <c r="A1501" i="8" s="1"/>
  <c r="E1501" i="3"/>
  <c r="E1501" i="8" s="1"/>
  <c r="D1501" i="3"/>
  <c r="D1501" i="8" s="1"/>
  <c r="C1501" i="3"/>
  <c r="C1501" i="8" s="1"/>
  <c r="B1501" i="3"/>
  <c r="B1501" i="8" s="1"/>
  <c r="F1500" i="3"/>
  <c r="A1500" i="8" s="1"/>
  <c r="E1500" i="3"/>
  <c r="E1500" i="8" s="1"/>
  <c r="D1500" i="3"/>
  <c r="D1500" i="8" s="1"/>
  <c r="C1500" i="3"/>
  <c r="C1500" i="8" s="1"/>
  <c r="B1500" i="3"/>
  <c r="B1500" i="8" s="1"/>
  <c r="F1499" i="3"/>
  <c r="A1499" i="8" s="1"/>
  <c r="E1499" i="3"/>
  <c r="E1499" i="8" s="1"/>
  <c r="D1499" i="3"/>
  <c r="D1499" i="8" s="1"/>
  <c r="C1499" i="3"/>
  <c r="C1499" i="8" s="1"/>
  <c r="B1499" i="3"/>
  <c r="B1499" i="8" s="1"/>
  <c r="F1498" i="3"/>
  <c r="A1498" i="8" s="1"/>
  <c r="E1498" i="3"/>
  <c r="E1498" i="8" s="1"/>
  <c r="D1498" i="3"/>
  <c r="D1498" i="8" s="1"/>
  <c r="C1498" i="3"/>
  <c r="C1498" i="8" s="1"/>
  <c r="B1498" i="3"/>
  <c r="B1498" i="8" s="1"/>
  <c r="F1497" i="3"/>
  <c r="A1497" i="8" s="1"/>
  <c r="E1497" i="3"/>
  <c r="E1497" i="8" s="1"/>
  <c r="D1497" i="3"/>
  <c r="D1497" i="8" s="1"/>
  <c r="C1497" i="3"/>
  <c r="C1497" i="8" s="1"/>
  <c r="B1497" i="3"/>
  <c r="B1497" i="8" s="1"/>
  <c r="F1496" i="3"/>
  <c r="A1496" i="8" s="1"/>
  <c r="E1496" i="3"/>
  <c r="E1496" i="8" s="1"/>
  <c r="D1496" i="3"/>
  <c r="D1496" i="8" s="1"/>
  <c r="C1496" i="3"/>
  <c r="C1496" i="8" s="1"/>
  <c r="B1496" i="3"/>
  <c r="B1496" i="8" s="1"/>
  <c r="F1495" i="3"/>
  <c r="A1495" i="8" s="1"/>
  <c r="E1495" i="3"/>
  <c r="E1495" i="8" s="1"/>
  <c r="D1495" i="3"/>
  <c r="D1495" i="8" s="1"/>
  <c r="C1495" i="3"/>
  <c r="C1495" i="8" s="1"/>
  <c r="B1495" i="3"/>
  <c r="B1495" i="8" s="1"/>
  <c r="F1494" i="3"/>
  <c r="A1494" i="8" s="1"/>
  <c r="E1494" i="3"/>
  <c r="E1494" i="8" s="1"/>
  <c r="D1494" i="3"/>
  <c r="D1494" i="8" s="1"/>
  <c r="C1494" i="3"/>
  <c r="C1494" i="8" s="1"/>
  <c r="B1494" i="3"/>
  <c r="B1494" i="8" s="1"/>
  <c r="F1493" i="3"/>
  <c r="A1493" i="8" s="1"/>
  <c r="E1493" i="3"/>
  <c r="E1493" i="8" s="1"/>
  <c r="D1493" i="3"/>
  <c r="D1493" i="8" s="1"/>
  <c r="C1493" i="3"/>
  <c r="C1493" i="8" s="1"/>
  <c r="B1493" i="3"/>
  <c r="B1493" i="8" s="1"/>
  <c r="F1492" i="3"/>
  <c r="A1492" i="8" s="1"/>
  <c r="E1492" i="3"/>
  <c r="E1492" i="8" s="1"/>
  <c r="D1492" i="3"/>
  <c r="D1492" i="8" s="1"/>
  <c r="C1492" i="3"/>
  <c r="C1492" i="8" s="1"/>
  <c r="B1492" i="3"/>
  <c r="B1492" i="8" s="1"/>
  <c r="F1491" i="3"/>
  <c r="A1491" i="8" s="1"/>
  <c r="E1491" i="3"/>
  <c r="E1491" i="8" s="1"/>
  <c r="D1491" i="3"/>
  <c r="D1491" i="8" s="1"/>
  <c r="C1491" i="3"/>
  <c r="C1491" i="8" s="1"/>
  <c r="B1491" i="3"/>
  <c r="B1491" i="8" s="1"/>
  <c r="F1490" i="3"/>
  <c r="A1490" i="8" s="1"/>
  <c r="E1490" i="3"/>
  <c r="E1490" i="8" s="1"/>
  <c r="D1490" i="3"/>
  <c r="D1490" i="8" s="1"/>
  <c r="C1490" i="3"/>
  <c r="C1490" i="8" s="1"/>
  <c r="B1490" i="3"/>
  <c r="B1490" i="8" s="1"/>
  <c r="F1489" i="3"/>
  <c r="A1489" i="8" s="1"/>
  <c r="E1489" i="3"/>
  <c r="E1489" i="8" s="1"/>
  <c r="D1489" i="3"/>
  <c r="D1489" i="8" s="1"/>
  <c r="C1489" i="3"/>
  <c r="C1489" i="8" s="1"/>
  <c r="B1489" i="3"/>
  <c r="B1489" i="8" s="1"/>
  <c r="F1488" i="3"/>
  <c r="A1488" i="8" s="1"/>
  <c r="E1488" i="3"/>
  <c r="E1488" i="8" s="1"/>
  <c r="D1488" i="3"/>
  <c r="D1488" i="8" s="1"/>
  <c r="C1488" i="3"/>
  <c r="C1488" i="8" s="1"/>
  <c r="B1488" i="3"/>
  <c r="B1488" i="8" s="1"/>
  <c r="F1487" i="3"/>
  <c r="A1487" i="8" s="1"/>
  <c r="E1487" i="3"/>
  <c r="E1487" i="8" s="1"/>
  <c r="D1487" i="3"/>
  <c r="D1487" i="8" s="1"/>
  <c r="C1487" i="3"/>
  <c r="C1487" i="8" s="1"/>
  <c r="B1487" i="3"/>
  <c r="B1487" i="8" s="1"/>
  <c r="F1486" i="3"/>
  <c r="A1486" i="8" s="1"/>
  <c r="E1486" i="3"/>
  <c r="E1486" i="8" s="1"/>
  <c r="D1486" i="3"/>
  <c r="D1486" i="8" s="1"/>
  <c r="C1486" i="3"/>
  <c r="C1486" i="8" s="1"/>
  <c r="B1486" i="3"/>
  <c r="B1486" i="8" s="1"/>
  <c r="F1485" i="3"/>
  <c r="A1485" i="8" s="1"/>
  <c r="E1485" i="3"/>
  <c r="E1485" i="8" s="1"/>
  <c r="D1485" i="3"/>
  <c r="D1485" i="8" s="1"/>
  <c r="C1485" i="3"/>
  <c r="C1485" i="8" s="1"/>
  <c r="B1485" i="3"/>
  <c r="B1485" i="8" s="1"/>
  <c r="F1484" i="3"/>
  <c r="A1484" i="8" s="1"/>
  <c r="E1484" i="3"/>
  <c r="E1484" i="8" s="1"/>
  <c r="D1484" i="3"/>
  <c r="D1484" i="8" s="1"/>
  <c r="C1484" i="3"/>
  <c r="C1484" i="8" s="1"/>
  <c r="B1484" i="3"/>
  <c r="B1484" i="8" s="1"/>
  <c r="F1483" i="3"/>
  <c r="A1483" i="8" s="1"/>
  <c r="E1483" i="3"/>
  <c r="E1483" i="8" s="1"/>
  <c r="D1483" i="3"/>
  <c r="D1483" i="8" s="1"/>
  <c r="C1483" i="3"/>
  <c r="C1483" i="8" s="1"/>
  <c r="B1483" i="3"/>
  <c r="B1483" i="8" s="1"/>
  <c r="F1482" i="3"/>
  <c r="A1482" i="8" s="1"/>
  <c r="E1482" i="3"/>
  <c r="E1482" i="8" s="1"/>
  <c r="D1482" i="3"/>
  <c r="D1482" i="8" s="1"/>
  <c r="C1482" i="3"/>
  <c r="C1482" i="8" s="1"/>
  <c r="B1482" i="3"/>
  <c r="B1482" i="8" s="1"/>
  <c r="F1481" i="3"/>
  <c r="A1481" i="8" s="1"/>
  <c r="E1481" i="3"/>
  <c r="E1481" i="8" s="1"/>
  <c r="D1481" i="3"/>
  <c r="D1481" i="8" s="1"/>
  <c r="C1481" i="3"/>
  <c r="C1481" i="8" s="1"/>
  <c r="B1481" i="3"/>
  <c r="B1481" i="8" s="1"/>
  <c r="F1480" i="3"/>
  <c r="A1480" i="8" s="1"/>
  <c r="E1480" i="3"/>
  <c r="E1480" i="8" s="1"/>
  <c r="D1480" i="3"/>
  <c r="D1480" i="8" s="1"/>
  <c r="C1480" i="3"/>
  <c r="C1480" i="8" s="1"/>
  <c r="B1480" i="3"/>
  <c r="B1480" i="8" s="1"/>
  <c r="F1479" i="3"/>
  <c r="A1479" i="8" s="1"/>
  <c r="E1479" i="3"/>
  <c r="E1479" i="8" s="1"/>
  <c r="D1479" i="3"/>
  <c r="D1479" i="8" s="1"/>
  <c r="C1479" i="3"/>
  <c r="C1479" i="8" s="1"/>
  <c r="B1479" i="3"/>
  <c r="B1479" i="8" s="1"/>
  <c r="F1478" i="3"/>
  <c r="A1478" i="8" s="1"/>
  <c r="E1478" i="3"/>
  <c r="E1478" i="8" s="1"/>
  <c r="D1478" i="3"/>
  <c r="D1478" i="8" s="1"/>
  <c r="C1478" i="3"/>
  <c r="C1478" i="8" s="1"/>
  <c r="B1478" i="3"/>
  <c r="B1478" i="8" s="1"/>
  <c r="F1477" i="3"/>
  <c r="A1477" i="8" s="1"/>
  <c r="E1477" i="3"/>
  <c r="E1477" i="8" s="1"/>
  <c r="D1477" i="3"/>
  <c r="D1477" i="8" s="1"/>
  <c r="C1477" i="3"/>
  <c r="C1477" i="8" s="1"/>
  <c r="B1477" i="3"/>
  <c r="B1477" i="8" s="1"/>
  <c r="F1476" i="3"/>
  <c r="A1476" i="8" s="1"/>
  <c r="E1476" i="3"/>
  <c r="E1476" i="8" s="1"/>
  <c r="D1476" i="3"/>
  <c r="D1476" i="8" s="1"/>
  <c r="C1476" i="3"/>
  <c r="C1476" i="8" s="1"/>
  <c r="B1476" i="3"/>
  <c r="B1476" i="8" s="1"/>
  <c r="F1475" i="3"/>
  <c r="A1475" i="8" s="1"/>
  <c r="E1475" i="3"/>
  <c r="E1475" i="8" s="1"/>
  <c r="D1475" i="3"/>
  <c r="D1475" i="8" s="1"/>
  <c r="C1475" i="3"/>
  <c r="C1475" i="8" s="1"/>
  <c r="B1475" i="3"/>
  <c r="B1475" i="8" s="1"/>
  <c r="F1474" i="3"/>
  <c r="A1474" i="8" s="1"/>
  <c r="E1474" i="3"/>
  <c r="E1474" i="8" s="1"/>
  <c r="D1474" i="3"/>
  <c r="D1474" i="8" s="1"/>
  <c r="C1474" i="3"/>
  <c r="C1474" i="8" s="1"/>
  <c r="B1474" i="3"/>
  <c r="B1474" i="8" s="1"/>
  <c r="F1473" i="3"/>
  <c r="A1473" i="8" s="1"/>
  <c r="E1473" i="3"/>
  <c r="E1473" i="8" s="1"/>
  <c r="D1473" i="3"/>
  <c r="D1473" i="8" s="1"/>
  <c r="C1473" i="3"/>
  <c r="C1473" i="8" s="1"/>
  <c r="B1473" i="3"/>
  <c r="B1473" i="8" s="1"/>
  <c r="F1472" i="3"/>
  <c r="A1472" i="8" s="1"/>
  <c r="E1472" i="3"/>
  <c r="E1472" i="8" s="1"/>
  <c r="D1472" i="3"/>
  <c r="D1472" i="8" s="1"/>
  <c r="C1472" i="3"/>
  <c r="C1472" i="8" s="1"/>
  <c r="B1472" i="3"/>
  <c r="B1472" i="8" s="1"/>
  <c r="F1471" i="3"/>
  <c r="A1471" i="8" s="1"/>
  <c r="E1471" i="3"/>
  <c r="E1471" i="8" s="1"/>
  <c r="D1471" i="3"/>
  <c r="D1471" i="8" s="1"/>
  <c r="C1471" i="3"/>
  <c r="C1471" i="8" s="1"/>
  <c r="B1471" i="3"/>
  <c r="B1471" i="8" s="1"/>
  <c r="F1470" i="3"/>
  <c r="A1470" i="8" s="1"/>
  <c r="E1470" i="3"/>
  <c r="E1470" i="8" s="1"/>
  <c r="D1470" i="3"/>
  <c r="D1470" i="8" s="1"/>
  <c r="C1470" i="3"/>
  <c r="C1470" i="8" s="1"/>
  <c r="B1470" i="3"/>
  <c r="B1470" i="8" s="1"/>
  <c r="F1469" i="3"/>
  <c r="A1469" i="8" s="1"/>
  <c r="E1469" i="3"/>
  <c r="E1469" i="8" s="1"/>
  <c r="D1469" i="3"/>
  <c r="D1469" i="8" s="1"/>
  <c r="C1469" i="3"/>
  <c r="C1469" i="8" s="1"/>
  <c r="B1469" i="3"/>
  <c r="B1469" i="8" s="1"/>
  <c r="F1468" i="3"/>
  <c r="A1468" i="8" s="1"/>
  <c r="E1468" i="3"/>
  <c r="E1468" i="8" s="1"/>
  <c r="D1468" i="3"/>
  <c r="D1468" i="8" s="1"/>
  <c r="C1468" i="3"/>
  <c r="C1468" i="8" s="1"/>
  <c r="B1468" i="3"/>
  <c r="B1468" i="8" s="1"/>
  <c r="F1467" i="3"/>
  <c r="A1467" i="8" s="1"/>
  <c r="E1467" i="3"/>
  <c r="E1467" i="8" s="1"/>
  <c r="D1467" i="3"/>
  <c r="D1467" i="8" s="1"/>
  <c r="C1467" i="3"/>
  <c r="C1467" i="8" s="1"/>
  <c r="B1467" i="3"/>
  <c r="B1467" i="8" s="1"/>
  <c r="F1466" i="3"/>
  <c r="A1466" i="8" s="1"/>
  <c r="E1466" i="3"/>
  <c r="E1466" i="8" s="1"/>
  <c r="D1466" i="3"/>
  <c r="D1466" i="8" s="1"/>
  <c r="C1466" i="3"/>
  <c r="C1466" i="8" s="1"/>
  <c r="B1466" i="3"/>
  <c r="B1466" i="8" s="1"/>
  <c r="F1465" i="3"/>
  <c r="A1465" i="8" s="1"/>
  <c r="E1465" i="3"/>
  <c r="E1465" i="8" s="1"/>
  <c r="D1465" i="3"/>
  <c r="D1465" i="8" s="1"/>
  <c r="C1465" i="3"/>
  <c r="C1465" i="8" s="1"/>
  <c r="B1465" i="3"/>
  <c r="B1465" i="8" s="1"/>
  <c r="F1464" i="3"/>
  <c r="A1464" i="8" s="1"/>
  <c r="E1464" i="3"/>
  <c r="E1464" i="8" s="1"/>
  <c r="D1464" i="3"/>
  <c r="D1464" i="8" s="1"/>
  <c r="C1464" i="3"/>
  <c r="C1464" i="8" s="1"/>
  <c r="B1464" i="3"/>
  <c r="B1464" i="8" s="1"/>
  <c r="F1463" i="3"/>
  <c r="A1463" i="8" s="1"/>
  <c r="E1463" i="3"/>
  <c r="E1463" i="8" s="1"/>
  <c r="D1463" i="3"/>
  <c r="D1463" i="8" s="1"/>
  <c r="C1463" i="3"/>
  <c r="C1463" i="8" s="1"/>
  <c r="B1463" i="3"/>
  <c r="B1463" i="8" s="1"/>
  <c r="F1462" i="3"/>
  <c r="A1462" i="8" s="1"/>
  <c r="E1462" i="3"/>
  <c r="E1462" i="8" s="1"/>
  <c r="D1462" i="3"/>
  <c r="D1462" i="8" s="1"/>
  <c r="C1462" i="3"/>
  <c r="C1462" i="8" s="1"/>
  <c r="B1462" i="3"/>
  <c r="B1462" i="8" s="1"/>
  <c r="F1461" i="3"/>
  <c r="A1461" i="8" s="1"/>
  <c r="E1461" i="3"/>
  <c r="E1461" i="8" s="1"/>
  <c r="D1461" i="3"/>
  <c r="D1461" i="8" s="1"/>
  <c r="C1461" i="3"/>
  <c r="C1461" i="8" s="1"/>
  <c r="B1461" i="3"/>
  <c r="B1461" i="8" s="1"/>
  <c r="F1460" i="3"/>
  <c r="A1460" i="8" s="1"/>
  <c r="E1460" i="3"/>
  <c r="E1460" i="8" s="1"/>
  <c r="D1460" i="3"/>
  <c r="D1460" i="8" s="1"/>
  <c r="C1460" i="3"/>
  <c r="C1460" i="8" s="1"/>
  <c r="B1460" i="3"/>
  <c r="B1460" i="8" s="1"/>
  <c r="F1459" i="3"/>
  <c r="A1459" i="8" s="1"/>
  <c r="E1459" i="3"/>
  <c r="E1459" i="8" s="1"/>
  <c r="D1459" i="3"/>
  <c r="D1459" i="8" s="1"/>
  <c r="C1459" i="3"/>
  <c r="C1459" i="8" s="1"/>
  <c r="B1459" i="3"/>
  <c r="B1459" i="8" s="1"/>
  <c r="F1458" i="3"/>
  <c r="A1458" i="8" s="1"/>
  <c r="E1458" i="3"/>
  <c r="E1458" i="8" s="1"/>
  <c r="D1458" i="3"/>
  <c r="D1458" i="8" s="1"/>
  <c r="C1458" i="3"/>
  <c r="C1458" i="8" s="1"/>
  <c r="B1458" i="3"/>
  <c r="B1458" i="8" s="1"/>
  <c r="F1457" i="3"/>
  <c r="A1457" i="8" s="1"/>
  <c r="E1457" i="3"/>
  <c r="E1457" i="8" s="1"/>
  <c r="D1457" i="3"/>
  <c r="D1457" i="8" s="1"/>
  <c r="C1457" i="3"/>
  <c r="C1457" i="8" s="1"/>
  <c r="B1457" i="3"/>
  <c r="B1457" i="8" s="1"/>
  <c r="F1456" i="3"/>
  <c r="A1456" i="8" s="1"/>
  <c r="E1456" i="3"/>
  <c r="E1456" i="8" s="1"/>
  <c r="D1456" i="3"/>
  <c r="D1456" i="8" s="1"/>
  <c r="C1456" i="3"/>
  <c r="C1456" i="8" s="1"/>
  <c r="B1456" i="3"/>
  <c r="B1456" i="8" s="1"/>
  <c r="F1455" i="3"/>
  <c r="A1455" i="8" s="1"/>
  <c r="E1455" i="3"/>
  <c r="E1455" i="8" s="1"/>
  <c r="D1455" i="3"/>
  <c r="D1455" i="8" s="1"/>
  <c r="C1455" i="3"/>
  <c r="C1455" i="8" s="1"/>
  <c r="B1455" i="3"/>
  <c r="B1455" i="8" s="1"/>
  <c r="F1454" i="3"/>
  <c r="A1454" i="8" s="1"/>
  <c r="E1454" i="3"/>
  <c r="E1454" i="8" s="1"/>
  <c r="D1454" i="3"/>
  <c r="D1454" i="8" s="1"/>
  <c r="C1454" i="3"/>
  <c r="C1454" i="8" s="1"/>
  <c r="B1454" i="3"/>
  <c r="B1454" i="8" s="1"/>
  <c r="F1453" i="3"/>
  <c r="A1453" i="8" s="1"/>
  <c r="E1453" i="3"/>
  <c r="E1453" i="8" s="1"/>
  <c r="D1453" i="3"/>
  <c r="D1453" i="8" s="1"/>
  <c r="C1453" i="3"/>
  <c r="C1453" i="8" s="1"/>
  <c r="B1453" i="3"/>
  <c r="B1453" i="8" s="1"/>
  <c r="F1452" i="3"/>
  <c r="A1452" i="8" s="1"/>
  <c r="E1452" i="3"/>
  <c r="E1452" i="8" s="1"/>
  <c r="D1452" i="3"/>
  <c r="D1452" i="8" s="1"/>
  <c r="C1452" i="3"/>
  <c r="C1452" i="8" s="1"/>
  <c r="B1452" i="3"/>
  <c r="B1452" i="8" s="1"/>
  <c r="F1451" i="3"/>
  <c r="A1451" i="8" s="1"/>
  <c r="E1451" i="3"/>
  <c r="E1451" i="8" s="1"/>
  <c r="D1451" i="3"/>
  <c r="D1451" i="8" s="1"/>
  <c r="C1451" i="3"/>
  <c r="C1451" i="8" s="1"/>
  <c r="B1451" i="3"/>
  <c r="B1451" i="8" s="1"/>
  <c r="F1450" i="3"/>
  <c r="A1450" i="8" s="1"/>
  <c r="E1450" i="3"/>
  <c r="E1450" i="8" s="1"/>
  <c r="D1450" i="3"/>
  <c r="D1450" i="8" s="1"/>
  <c r="C1450" i="3"/>
  <c r="C1450" i="8" s="1"/>
  <c r="B1450" i="3"/>
  <c r="B1450" i="8" s="1"/>
  <c r="F1449" i="3"/>
  <c r="A1449" i="8" s="1"/>
  <c r="E1449" i="3"/>
  <c r="E1449" i="8" s="1"/>
  <c r="D1449" i="3"/>
  <c r="D1449" i="8" s="1"/>
  <c r="C1449" i="3"/>
  <c r="C1449" i="8" s="1"/>
  <c r="B1449" i="3"/>
  <c r="B1449" i="8" s="1"/>
  <c r="F1448" i="3"/>
  <c r="A1448" i="8" s="1"/>
  <c r="E1448" i="3"/>
  <c r="E1448" i="8" s="1"/>
  <c r="D1448" i="3"/>
  <c r="D1448" i="8" s="1"/>
  <c r="C1448" i="3"/>
  <c r="C1448" i="8" s="1"/>
  <c r="B1448" i="3"/>
  <c r="B1448" i="8" s="1"/>
  <c r="F1447" i="3"/>
  <c r="A1447" i="8" s="1"/>
  <c r="E1447" i="3"/>
  <c r="E1447" i="8" s="1"/>
  <c r="D1447" i="3"/>
  <c r="D1447" i="8" s="1"/>
  <c r="C1447" i="3"/>
  <c r="C1447" i="8" s="1"/>
  <c r="B1447" i="3"/>
  <c r="B1447" i="8" s="1"/>
  <c r="F1446" i="3"/>
  <c r="A1446" i="8" s="1"/>
  <c r="E1446" i="3"/>
  <c r="E1446" i="8" s="1"/>
  <c r="D1446" i="3"/>
  <c r="D1446" i="8" s="1"/>
  <c r="C1446" i="3"/>
  <c r="C1446" i="8" s="1"/>
  <c r="B1446" i="3"/>
  <c r="B1446" i="8" s="1"/>
  <c r="F1445" i="3"/>
  <c r="A1445" i="8" s="1"/>
  <c r="E1445" i="3"/>
  <c r="E1445" i="8" s="1"/>
  <c r="D1445" i="3"/>
  <c r="D1445" i="8" s="1"/>
  <c r="C1445" i="3"/>
  <c r="C1445" i="8" s="1"/>
  <c r="B1445" i="3"/>
  <c r="B1445" i="8" s="1"/>
  <c r="F1444" i="3"/>
  <c r="A1444" i="8" s="1"/>
  <c r="E1444" i="3"/>
  <c r="E1444" i="8" s="1"/>
  <c r="D1444" i="3"/>
  <c r="D1444" i="8" s="1"/>
  <c r="C1444" i="3"/>
  <c r="C1444" i="8" s="1"/>
  <c r="B1444" i="3"/>
  <c r="B1444" i="8" s="1"/>
  <c r="F1443" i="3"/>
  <c r="A1443" i="8" s="1"/>
  <c r="E1443" i="3"/>
  <c r="E1443" i="8" s="1"/>
  <c r="D1443" i="3"/>
  <c r="D1443" i="8" s="1"/>
  <c r="C1443" i="3"/>
  <c r="C1443" i="8" s="1"/>
  <c r="B1443" i="3"/>
  <c r="B1443" i="8" s="1"/>
  <c r="F1442" i="3"/>
  <c r="A1442" i="8" s="1"/>
  <c r="E1442" i="3"/>
  <c r="E1442" i="8" s="1"/>
  <c r="D1442" i="3"/>
  <c r="D1442" i="8" s="1"/>
  <c r="C1442" i="3"/>
  <c r="C1442" i="8" s="1"/>
  <c r="B1442" i="3"/>
  <c r="B1442" i="8" s="1"/>
  <c r="F1441" i="3"/>
  <c r="A1441" i="8" s="1"/>
  <c r="E1441" i="3"/>
  <c r="E1441" i="8" s="1"/>
  <c r="D1441" i="3"/>
  <c r="D1441" i="8" s="1"/>
  <c r="C1441" i="3"/>
  <c r="C1441" i="8" s="1"/>
  <c r="B1441" i="3"/>
  <c r="B1441" i="8" s="1"/>
  <c r="F1440" i="3"/>
  <c r="A1440" i="8" s="1"/>
  <c r="E1440" i="3"/>
  <c r="E1440" i="8" s="1"/>
  <c r="D1440" i="3"/>
  <c r="D1440" i="8" s="1"/>
  <c r="C1440" i="3"/>
  <c r="C1440" i="8" s="1"/>
  <c r="B1440" i="3"/>
  <c r="B1440" i="8" s="1"/>
  <c r="F1439" i="3"/>
  <c r="A1439" i="8" s="1"/>
  <c r="E1439" i="3"/>
  <c r="E1439" i="8" s="1"/>
  <c r="D1439" i="3"/>
  <c r="D1439" i="8" s="1"/>
  <c r="C1439" i="3"/>
  <c r="C1439" i="8" s="1"/>
  <c r="B1439" i="3"/>
  <c r="B1439" i="8" s="1"/>
  <c r="F1438" i="3"/>
  <c r="A1438" i="8" s="1"/>
  <c r="E1438" i="3"/>
  <c r="E1438" i="8" s="1"/>
  <c r="D1438" i="3"/>
  <c r="D1438" i="8" s="1"/>
  <c r="C1438" i="3"/>
  <c r="C1438" i="8" s="1"/>
  <c r="B1438" i="3"/>
  <c r="B1438" i="8" s="1"/>
  <c r="F1437" i="3"/>
  <c r="A1437" i="8" s="1"/>
  <c r="E1437" i="3"/>
  <c r="E1437" i="8" s="1"/>
  <c r="D1437" i="3"/>
  <c r="D1437" i="8" s="1"/>
  <c r="C1437" i="3"/>
  <c r="C1437" i="8" s="1"/>
  <c r="B1437" i="3"/>
  <c r="B1437" i="8" s="1"/>
  <c r="F1436" i="3"/>
  <c r="A1436" i="8" s="1"/>
  <c r="E1436" i="3"/>
  <c r="E1436" i="8" s="1"/>
  <c r="D1436" i="3"/>
  <c r="D1436" i="8" s="1"/>
  <c r="C1436" i="3"/>
  <c r="C1436" i="8" s="1"/>
  <c r="B1436" i="3"/>
  <c r="B1436" i="8" s="1"/>
  <c r="F1435" i="3"/>
  <c r="A1435" i="8" s="1"/>
  <c r="E1435" i="3"/>
  <c r="E1435" i="8" s="1"/>
  <c r="D1435" i="3"/>
  <c r="D1435" i="8" s="1"/>
  <c r="C1435" i="3"/>
  <c r="C1435" i="8" s="1"/>
  <c r="B1435" i="3"/>
  <c r="B1435" i="8" s="1"/>
  <c r="F1434" i="3"/>
  <c r="A1434" i="8" s="1"/>
  <c r="E1434" i="3"/>
  <c r="E1434" i="8" s="1"/>
  <c r="D1434" i="3"/>
  <c r="D1434" i="8" s="1"/>
  <c r="C1434" i="3"/>
  <c r="C1434" i="8" s="1"/>
  <c r="B1434" i="3"/>
  <c r="B1434" i="8" s="1"/>
  <c r="F1433" i="3"/>
  <c r="A1433" i="8" s="1"/>
  <c r="E1433" i="3"/>
  <c r="E1433" i="8" s="1"/>
  <c r="D1433" i="3"/>
  <c r="D1433" i="8" s="1"/>
  <c r="C1433" i="3"/>
  <c r="C1433" i="8" s="1"/>
  <c r="B1433" i="3"/>
  <c r="B1433" i="8" s="1"/>
  <c r="F1432" i="3"/>
  <c r="A1432" i="8" s="1"/>
  <c r="E1432" i="3"/>
  <c r="E1432" i="8" s="1"/>
  <c r="D1432" i="3"/>
  <c r="D1432" i="8" s="1"/>
  <c r="C1432" i="3"/>
  <c r="C1432" i="8" s="1"/>
  <c r="B1432" i="3"/>
  <c r="B1432" i="8" s="1"/>
  <c r="F1431" i="3"/>
  <c r="A1431" i="8" s="1"/>
  <c r="E1431" i="3"/>
  <c r="E1431" i="8" s="1"/>
  <c r="D1431" i="3"/>
  <c r="D1431" i="8" s="1"/>
  <c r="C1431" i="3"/>
  <c r="C1431" i="8" s="1"/>
  <c r="B1431" i="3"/>
  <c r="B1431" i="8" s="1"/>
  <c r="F1430" i="3"/>
  <c r="A1430" i="8" s="1"/>
  <c r="E1430" i="3"/>
  <c r="E1430" i="8" s="1"/>
  <c r="D1430" i="3"/>
  <c r="D1430" i="8" s="1"/>
  <c r="C1430" i="3"/>
  <c r="C1430" i="8" s="1"/>
  <c r="B1430" i="3"/>
  <c r="B1430" i="8" s="1"/>
  <c r="F1429" i="3"/>
  <c r="A1429" i="8" s="1"/>
  <c r="E1429" i="3"/>
  <c r="E1429" i="8" s="1"/>
  <c r="D1429" i="3"/>
  <c r="D1429" i="8" s="1"/>
  <c r="C1429" i="3"/>
  <c r="C1429" i="8" s="1"/>
  <c r="B1429" i="3"/>
  <c r="B1429" i="8" s="1"/>
  <c r="F1428" i="3"/>
  <c r="A1428" i="8" s="1"/>
  <c r="E1428" i="3"/>
  <c r="E1428" i="8" s="1"/>
  <c r="D1428" i="3"/>
  <c r="D1428" i="8" s="1"/>
  <c r="C1428" i="3"/>
  <c r="C1428" i="8" s="1"/>
  <c r="B1428" i="3"/>
  <c r="B1428" i="8" s="1"/>
  <c r="F1427" i="3"/>
  <c r="A1427" i="8" s="1"/>
  <c r="E1427" i="3"/>
  <c r="E1427" i="8" s="1"/>
  <c r="D1427" i="3"/>
  <c r="D1427" i="8" s="1"/>
  <c r="C1427" i="3"/>
  <c r="C1427" i="8" s="1"/>
  <c r="B1427" i="3"/>
  <c r="B1427" i="8" s="1"/>
  <c r="F1426" i="3"/>
  <c r="A1426" i="8" s="1"/>
  <c r="E1426" i="3"/>
  <c r="E1426" i="8" s="1"/>
  <c r="D1426" i="3"/>
  <c r="D1426" i="8" s="1"/>
  <c r="C1426" i="3"/>
  <c r="C1426" i="8" s="1"/>
  <c r="B1426" i="3"/>
  <c r="B1426" i="8" s="1"/>
  <c r="F1425" i="3"/>
  <c r="A1425" i="8" s="1"/>
  <c r="E1425" i="3"/>
  <c r="E1425" i="8" s="1"/>
  <c r="D1425" i="3"/>
  <c r="D1425" i="8" s="1"/>
  <c r="C1425" i="3"/>
  <c r="C1425" i="8" s="1"/>
  <c r="B1425" i="3"/>
  <c r="B1425" i="8" s="1"/>
  <c r="F1424" i="3"/>
  <c r="A1424" i="8" s="1"/>
  <c r="E1424" i="3"/>
  <c r="E1424" i="8" s="1"/>
  <c r="D1424" i="3"/>
  <c r="D1424" i="8" s="1"/>
  <c r="C1424" i="3"/>
  <c r="C1424" i="8" s="1"/>
  <c r="B1424" i="3"/>
  <c r="B1424" i="8" s="1"/>
  <c r="F1423" i="3"/>
  <c r="A1423" i="8" s="1"/>
  <c r="E1423" i="3"/>
  <c r="E1423" i="8" s="1"/>
  <c r="D1423" i="3"/>
  <c r="D1423" i="8" s="1"/>
  <c r="C1423" i="3"/>
  <c r="C1423" i="8" s="1"/>
  <c r="B1423" i="3"/>
  <c r="B1423" i="8" s="1"/>
  <c r="F1422" i="3"/>
  <c r="A1422" i="8" s="1"/>
  <c r="E1422" i="3"/>
  <c r="E1422" i="8" s="1"/>
  <c r="D1422" i="3"/>
  <c r="D1422" i="8" s="1"/>
  <c r="C1422" i="3"/>
  <c r="C1422" i="8" s="1"/>
  <c r="B1422" i="3"/>
  <c r="B1422" i="8" s="1"/>
  <c r="F1421" i="3"/>
  <c r="A1421" i="8" s="1"/>
  <c r="E1421" i="3"/>
  <c r="E1421" i="8" s="1"/>
  <c r="D1421" i="3"/>
  <c r="D1421" i="8" s="1"/>
  <c r="C1421" i="3"/>
  <c r="C1421" i="8" s="1"/>
  <c r="B1421" i="3"/>
  <c r="B1421" i="8" s="1"/>
  <c r="F1420" i="3"/>
  <c r="A1420" i="8" s="1"/>
  <c r="E1420" i="3"/>
  <c r="E1420" i="8" s="1"/>
  <c r="D1420" i="3"/>
  <c r="D1420" i="8" s="1"/>
  <c r="C1420" i="3"/>
  <c r="C1420" i="8" s="1"/>
  <c r="B1420" i="3"/>
  <c r="B1420" i="8" s="1"/>
  <c r="F1419" i="3"/>
  <c r="A1419" i="8" s="1"/>
  <c r="E1419" i="3"/>
  <c r="E1419" i="8" s="1"/>
  <c r="D1419" i="3"/>
  <c r="D1419" i="8" s="1"/>
  <c r="C1419" i="3"/>
  <c r="C1419" i="8" s="1"/>
  <c r="B1419" i="3"/>
  <c r="B1419" i="8" s="1"/>
  <c r="F1418" i="3"/>
  <c r="A1418" i="8" s="1"/>
  <c r="E1418" i="3"/>
  <c r="E1418" i="8" s="1"/>
  <c r="D1418" i="3"/>
  <c r="D1418" i="8" s="1"/>
  <c r="C1418" i="3"/>
  <c r="C1418" i="8" s="1"/>
  <c r="B1418" i="3"/>
  <c r="B1418" i="8" s="1"/>
  <c r="F1417" i="3"/>
  <c r="A1417" i="8" s="1"/>
  <c r="E1417" i="3"/>
  <c r="E1417" i="8" s="1"/>
  <c r="D1417" i="3"/>
  <c r="D1417" i="8" s="1"/>
  <c r="C1417" i="3"/>
  <c r="C1417" i="8" s="1"/>
  <c r="B1417" i="3"/>
  <c r="B1417" i="8" s="1"/>
  <c r="F1416" i="3"/>
  <c r="A1416" i="8" s="1"/>
  <c r="E1416" i="3"/>
  <c r="E1416" i="8" s="1"/>
  <c r="D1416" i="3"/>
  <c r="D1416" i="8" s="1"/>
  <c r="C1416" i="3"/>
  <c r="C1416" i="8" s="1"/>
  <c r="B1416" i="3"/>
  <c r="B1416" i="8" s="1"/>
  <c r="F1415" i="3"/>
  <c r="A1415" i="8" s="1"/>
  <c r="E1415" i="3"/>
  <c r="E1415" i="8" s="1"/>
  <c r="D1415" i="3"/>
  <c r="D1415" i="8" s="1"/>
  <c r="C1415" i="3"/>
  <c r="C1415" i="8" s="1"/>
  <c r="B1415" i="3"/>
  <c r="B1415" i="8" s="1"/>
  <c r="F1414" i="3"/>
  <c r="A1414" i="8" s="1"/>
  <c r="E1414" i="3"/>
  <c r="E1414" i="8" s="1"/>
  <c r="D1414" i="3"/>
  <c r="D1414" i="8" s="1"/>
  <c r="C1414" i="3"/>
  <c r="C1414" i="8" s="1"/>
  <c r="B1414" i="3"/>
  <c r="B1414" i="8" s="1"/>
  <c r="F1413" i="3"/>
  <c r="A1413" i="8" s="1"/>
  <c r="E1413" i="3"/>
  <c r="E1413" i="8" s="1"/>
  <c r="D1413" i="3"/>
  <c r="D1413" i="8" s="1"/>
  <c r="C1413" i="3"/>
  <c r="C1413" i="8" s="1"/>
  <c r="B1413" i="3"/>
  <c r="B1413" i="8" s="1"/>
  <c r="F1412" i="3"/>
  <c r="A1412" i="8" s="1"/>
  <c r="E1412" i="3"/>
  <c r="E1412" i="8" s="1"/>
  <c r="D1412" i="3"/>
  <c r="D1412" i="8" s="1"/>
  <c r="C1412" i="3"/>
  <c r="C1412" i="8" s="1"/>
  <c r="B1412" i="3"/>
  <c r="B1412" i="8" s="1"/>
  <c r="F1411" i="3"/>
  <c r="A1411" i="8" s="1"/>
  <c r="E1411" i="3"/>
  <c r="E1411" i="8" s="1"/>
  <c r="D1411" i="3"/>
  <c r="D1411" i="8" s="1"/>
  <c r="C1411" i="3"/>
  <c r="C1411" i="8" s="1"/>
  <c r="B1411" i="3"/>
  <c r="B1411" i="8" s="1"/>
  <c r="F1410" i="3"/>
  <c r="A1410" i="8" s="1"/>
  <c r="E1410" i="3"/>
  <c r="E1410" i="8" s="1"/>
  <c r="D1410" i="3"/>
  <c r="D1410" i="8" s="1"/>
  <c r="C1410" i="3"/>
  <c r="C1410" i="8" s="1"/>
  <c r="B1410" i="3"/>
  <c r="B1410" i="8" s="1"/>
  <c r="F1409" i="3"/>
  <c r="A1409" i="8" s="1"/>
  <c r="E1409" i="3"/>
  <c r="E1409" i="8" s="1"/>
  <c r="D1409" i="3"/>
  <c r="D1409" i="8" s="1"/>
  <c r="C1409" i="3"/>
  <c r="C1409" i="8" s="1"/>
  <c r="B1409" i="3"/>
  <c r="B1409" i="8" s="1"/>
  <c r="F1408" i="3"/>
  <c r="A1408" i="8" s="1"/>
  <c r="E1408" i="3"/>
  <c r="E1408" i="8" s="1"/>
  <c r="D1408" i="3"/>
  <c r="D1408" i="8" s="1"/>
  <c r="C1408" i="3"/>
  <c r="C1408" i="8" s="1"/>
  <c r="B1408" i="3"/>
  <c r="B1408" i="8" s="1"/>
  <c r="F1407" i="3"/>
  <c r="A1407" i="8" s="1"/>
  <c r="E1407" i="3"/>
  <c r="E1407" i="8" s="1"/>
  <c r="D1407" i="3"/>
  <c r="D1407" i="8" s="1"/>
  <c r="C1407" i="3"/>
  <c r="C1407" i="8" s="1"/>
  <c r="B1407" i="3"/>
  <c r="B1407" i="8" s="1"/>
  <c r="F1406" i="3"/>
  <c r="A1406" i="8" s="1"/>
  <c r="E1406" i="3"/>
  <c r="E1406" i="8" s="1"/>
  <c r="D1406" i="3"/>
  <c r="D1406" i="8" s="1"/>
  <c r="C1406" i="3"/>
  <c r="C1406" i="8" s="1"/>
  <c r="B1406" i="3"/>
  <c r="B1406" i="8" s="1"/>
  <c r="F1405" i="3"/>
  <c r="A1405" i="8" s="1"/>
  <c r="E1405" i="3"/>
  <c r="E1405" i="8" s="1"/>
  <c r="D1405" i="3"/>
  <c r="D1405" i="8" s="1"/>
  <c r="C1405" i="3"/>
  <c r="C1405" i="8" s="1"/>
  <c r="B1405" i="3"/>
  <c r="B1405" i="8" s="1"/>
  <c r="F1404" i="3"/>
  <c r="A1404" i="8" s="1"/>
  <c r="E1404" i="3"/>
  <c r="E1404" i="8" s="1"/>
  <c r="D1404" i="3"/>
  <c r="D1404" i="8" s="1"/>
  <c r="C1404" i="3"/>
  <c r="C1404" i="8" s="1"/>
  <c r="B1404" i="3"/>
  <c r="B1404" i="8" s="1"/>
  <c r="F1403" i="3"/>
  <c r="A1403" i="8" s="1"/>
  <c r="E1403" i="3"/>
  <c r="E1403" i="8" s="1"/>
  <c r="D1403" i="3"/>
  <c r="D1403" i="8" s="1"/>
  <c r="C1403" i="3"/>
  <c r="C1403" i="8" s="1"/>
  <c r="B1403" i="3"/>
  <c r="B1403" i="8" s="1"/>
  <c r="F1402" i="3"/>
  <c r="A1402" i="8" s="1"/>
  <c r="E1402" i="3"/>
  <c r="E1402" i="8" s="1"/>
  <c r="D1402" i="3"/>
  <c r="D1402" i="8" s="1"/>
  <c r="C1402" i="3"/>
  <c r="C1402" i="8" s="1"/>
  <c r="B1402" i="3"/>
  <c r="B1402" i="8" s="1"/>
  <c r="F1401" i="3"/>
  <c r="A1401" i="8" s="1"/>
  <c r="E1401" i="3"/>
  <c r="E1401" i="8" s="1"/>
  <c r="D1401" i="3"/>
  <c r="D1401" i="8" s="1"/>
  <c r="C1401" i="3"/>
  <c r="C1401" i="8" s="1"/>
  <c r="B1401" i="3"/>
  <c r="B1401" i="8" s="1"/>
  <c r="F1400" i="3"/>
  <c r="A1400" i="8" s="1"/>
  <c r="E1400" i="3"/>
  <c r="E1400" i="8" s="1"/>
  <c r="D1400" i="3"/>
  <c r="D1400" i="8" s="1"/>
  <c r="C1400" i="3"/>
  <c r="C1400" i="8" s="1"/>
  <c r="B1400" i="3"/>
  <c r="B1400" i="8" s="1"/>
  <c r="F1399" i="3"/>
  <c r="A1399" i="8" s="1"/>
  <c r="E1399" i="3"/>
  <c r="E1399" i="8" s="1"/>
  <c r="D1399" i="3"/>
  <c r="D1399" i="8" s="1"/>
  <c r="C1399" i="3"/>
  <c r="C1399" i="8" s="1"/>
  <c r="B1399" i="3"/>
  <c r="B1399" i="8" s="1"/>
  <c r="F1398" i="3"/>
  <c r="A1398" i="8" s="1"/>
  <c r="E1398" i="3"/>
  <c r="E1398" i="8" s="1"/>
  <c r="D1398" i="3"/>
  <c r="D1398" i="8" s="1"/>
  <c r="C1398" i="3"/>
  <c r="C1398" i="8" s="1"/>
  <c r="B1398" i="3"/>
  <c r="B1398" i="8" s="1"/>
  <c r="F1397" i="3"/>
  <c r="A1397" i="8" s="1"/>
  <c r="E1397" i="3"/>
  <c r="E1397" i="8" s="1"/>
  <c r="D1397" i="3"/>
  <c r="D1397" i="8" s="1"/>
  <c r="C1397" i="3"/>
  <c r="C1397" i="8" s="1"/>
  <c r="B1397" i="3"/>
  <c r="B1397" i="8" s="1"/>
  <c r="F1396" i="3"/>
  <c r="A1396" i="8" s="1"/>
  <c r="E1396" i="3"/>
  <c r="E1396" i="8" s="1"/>
  <c r="D1396" i="3"/>
  <c r="D1396" i="8" s="1"/>
  <c r="C1396" i="3"/>
  <c r="C1396" i="8" s="1"/>
  <c r="B1396" i="3"/>
  <c r="B1396" i="8" s="1"/>
  <c r="F1395" i="3"/>
  <c r="A1395" i="8" s="1"/>
  <c r="E1395" i="3"/>
  <c r="E1395" i="8" s="1"/>
  <c r="D1395" i="3"/>
  <c r="D1395" i="8" s="1"/>
  <c r="C1395" i="3"/>
  <c r="C1395" i="8" s="1"/>
  <c r="B1395" i="3"/>
  <c r="B1395" i="8" s="1"/>
  <c r="F1394" i="3"/>
  <c r="A1394" i="8" s="1"/>
  <c r="E1394" i="3"/>
  <c r="E1394" i="8" s="1"/>
  <c r="D1394" i="3"/>
  <c r="D1394" i="8" s="1"/>
  <c r="C1394" i="3"/>
  <c r="C1394" i="8" s="1"/>
  <c r="B1394" i="3"/>
  <c r="B1394" i="8" s="1"/>
  <c r="F1393" i="3"/>
  <c r="A1393" i="8" s="1"/>
  <c r="E1393" i="3"/>
  <c r="E1393" i="8" s="1"/>
  <c r="D1393" i="3"/>
  <c r="D1393" i="8" s="1"/>
  <c r="C1393" i="3"/>
  <c r="C1393" i="8" s="1"/>
  <c r="B1393" i="3"/>
  <c r="B1393" i="8" s="1"/>
  <c r="F1392" i="3"/>
  <c r="A1392" i="8" s="1"/>
  <c r="E1392" i="3"/>
  <c r="E1392" i="8" s="1"/>
  <c r="D1392" i="3"/>
  <c r="D1392" i="8" s="1"/>
  <c r="C1392" i="3"/>
  <c r="C1392" i="8" s="1"/>
  <c r="B1392" i="3"/>
  <c r="B1392" i="8" s="1"/>
  <c r="F1391" i="3"/>
  <c r="A1391" i="8" s="1"/>
  <c r="E1391" i="3"/>
  <c r="E1391" i="8" s="1"/>
  <c r="D1391" i="3"/>
  <c r="D1391" i="8" s="1"/>
  <c r="C1391" i="3"/>
  <c r="C1391" i="8" s="1"/>
  <c r="B1391" i="3"/>
  <c r="B1391" i="8" s="1"/>
  <c r="F1390" i="3"/>
  <c r="A1390" i="8" s="1"/>
  <c r="E1390" i="3"/>
  <c r="E1390" i="8" s="1"/>
  <c r="D1390" i="3"/>
  <c r="D1390" i="8" s="1"/>
  <c r="C1390" i="3"/>
  <c r="C1390" i="8" s="1"/>
  <c r="B1390" i="3"/>
  <c r="B1390" i="8" s="1"/>
  <c r="F1389" i="3"/>
  <c r="A1389" i="8" s="1"/>
  <c r="E1389" i="3"/>
  <c r="E1389" i="8" s="1"/>
  <c r="D1389" i="3"/>
  <c r="D1389" i="8" s="1"/>
  <c r="C1389" i="3"/>
  <c r="C1389" i="8" s="1"/>
  <c r="B1389" i="3"/>
  <c r="B1389" i="8" s="1"/>
  <c r="F1388" i="3"/>
  <c r="A1388" i="8" s="1"/>
  <c r="E1388" i="3"/>
  <c r="E1388" i="8" s="1"/>
  <c r="D1388" i="3"/>
  <c r="D1388" i="8" s="1"/>
  <c r="C1388" i="3"/>
  <c r="C1388" i="8" s="1"/>
  <c r="B1388" i="3"/>
  <c r="B1388" i="8" s="1"/>
  <c r="F1387" i="3"/>
  <c r="A1387" i="8" s="1"/>
  <c r="E1387" i="3"/>
  <c r="E1387" i="8" s="1"/>
  <c r="D1387" i="3"/>
  <c r="D1387" i="8" s="1"/>
  <c r="C1387" i="3"/>
  <c r="C1387" i="8" s="1"/>
  <c r="B1387" i="3"/>
  <c r="B1387" i="8" s="1"/>
  <c r="F1386" i="3"/>
  <c r="A1386" i="8" s="1"/>
  <c r="E1386" i="3"/>
  <c r="E1386" i="8" s="1"/>
  <c r="D1386" i="3"/>
  <c r="D1386" i="8" s="1"/>
  <c r="C1386" i="3"/>
  <c r="C1386" i="8" s="1"/>
  <c r="B1386" i="3"/>
  <c r="B1386" i="8" s="1"/>
  <c r="F1385" i="3"/>
  <c r="A1385" i="8" s="1"/>
  <c r="E1385" i="3"/>
  <c r="E1385" i="8" s="1"/>
  <c r="D1385" i="3"/>
  <c r="D1385" i="8" s="1"/>
  <c r="C1385" i="3"/>
  <c r="C1385" i="8" s="1"/>
  <c r="B1385" i="3"/>
  <c r="B1385" i="8" s="1"/>
  <c r="F1384" i="3"/>
  <c r="A1384" i="8" s="1"/>
  <c r="E1384" i="3"/>
  <c r="E1384" i="8" s="1"/>
  <c r="D1384" i="3"/>
  <c r="D1384" i="8" s="1"/>
  <c r="C1384" i="3"/>
  <c r="C1384" i="8" s="1"/>
  <c r="B1384" i="3"/>
  <c r="B1384" i="8" s="1"/>
  <c r="F1383" i="3"/>
  <c r="A1383" i="8" s="1"/>
  <c r="E1383" i="3"/>
  <c r="E1383" i="8" s="1"/>
  <c r="D1383" i="3"/>
  <c r="D1383" i="8" s="1"/>
  <c r="C1383" i="3"/>
  <c r="C1383" i="8" s="1"/>
  <c r="B1383" i="3"/>
  <c r="B1383" i="8" s="1"/>
  <c r="F1382" i="3"/>
  <c r="A1382" i="8" s="1"/>
  <c r="E1382" i="3"/>
  <c r="E1382" i="8" s="1"/>
  <c r="D1382" i="3"/>
  <c r="D1382" i="8" s="1"/>
  <c r="C1382" i="3"/>
  <c r="C1382" i="8" s="1"/>
  <c r="B1382" i="3"/>
  <c r="B1382" i="8" s="1"/>
  <c r="F1381" i="3"/>
  <c r="A1381" i="8" s="1"/>
  <c r="E1381" i="3"/>
  <c r="E1381" i="8" s="1"/>
  <c r="D1381" i="3"/>
  <c r="D1381" i="8" s="1"/>
  <c r="C1381" i="3"/>
  <c r="C1381" i="8" s="1"/>
  <c r="B1381" i="3"/>
  <c r="B1381" i="8" s="1"/>
  <c r="F1380" i="3"/>
  <c r="A1380" i="8" s="1"/>
  <c r="E1380" i="3"/>
  <c r="E1380" i="8" s="1"/>
  <c r="D1380" i="3"/>
  <c r="D1380" i="8" s="1"/>
  <c r="C1380" i="3"/>
  <c r="C1380" i="8" s="1"/>
  <c r="B1380" i="3"/>
  <c r="B1380" i="8" s="1"/>
  <c r="F1379" i="3"/>
  <c r="A1379" i="8" s="1"/>
  <c r="E1379" i="3"/>
  <c r="E1379" i="8" s="1"/>
  <c r="D1379" i="3"/>
  <c r="D1379" i="8" s="1"/>
  <c r="C1379" i="3"/>
  <c r="C1379" i="8" s="1"/>
  <c r="B1379" i="3"/>
  <c r="B1379" i="8" s="1"/>
  <c r="F1378" i="3"/>
  <c r="A1378" i="8" s="1"/>
  <c r="E1378" i="3"/>
  <c r="E1378" i="8" s="1"/>
  <c r="D1378" i="3"/>
  <c r="D1378" i="8" s="1"/>
  <c r="C1378" i="3"/>
  <c r="C1378" i="8" s="1"/>
  <c r="B1378" i="3"/>
  <c r="B1378" i="8" s="1"/>
  <c r="F1377" i="3"/>
  <c r="A1377" i="8" s="1"/>
  <c r="E1377" i="3"/>
  <c r="E1377" i="8" s="1"/>
  <c r="D1377" i="3"/>
  <c r="D1377" i="8" s="1"/>
  <c r="C1377" i="3"/>
  <c r="C1377" i="8" s="1"/>
  <c r="B1377" i="3"/>
  <c r="B1377" i="8" s="1"/>
  <c r="F1376" i="3"/>
  <c r="A1376" i="8" s="1"/>
  <c r="E1376" i="3"/>
  <c r="E1376" i="8" s="1"/>
  <c r="D1376" i="3"/>
  <c r="D1376" i="8" s="1"/>
  <c r="C1376" i="3"/>
  <c r="C1376" i="8" s="1"/>
  <c r="B1376" i="3"/>
  <c r="B1376" i="8" s="1"/>
  <c r="F1375" i="3"/>
  <c r="A1375" i="8" s="1"/>
  <c r="E1375" i="3"/>
  <c r="E1375" i="8" s="1"/>
  <c r="D1375" i="3"/>
  <c r="D1375" i="8" s="1"/>
  <c r="C1375" i="3"/>
  <c r="C1375" i="8" s="1"/>
  <c r="B1375" i="3"/>
  <c r="B1375" i="8" s="1"/>
  <c r="F1374" i="3"/>
  <c r="A1374" i="8" s="1"/>
  <c r="E1374" i="3"/>
  <c r="E1374" i="8" s="1"/>
  <c r="D1374" i="3"/>
  <c r="D1374" i="8" s="1"/>
  <c r="C1374" i="3"/>
  <c r="C1374" i="8" s="1"/>
  <c r="B1374" i="3"/>
  <c r="B1374" i="8" s="1"/>
  <c r="F1373" i="3"/>
  <c r="A1373" i="8" s="1"/>
  <c r="E1373" i="3"/>
  <c r="E1373" i="8" s="1"/>
  <c r="D1373" i="3"/>
  <c r="D1373" i="8" s="1"/>
  <c r="C1373" i="3"/>
  <c r="C1373" i="8" s="1"/>
  <c r="B1373" i="3"/>
  <c r="B1373" i="8" s="1"/>
  <c r="F1372" i="3"/>
  <c r="A1372" i="8" s="1"/>
  <c r="E1372" i="3"/>
  <c r="E1372" i="8" s="1"/>
  <c r="D1372" i="3"/>
  <c r="D1372" i="8" s="1"/>
  <c r="C1372" i="3"/>
  <c r="C1372" i="8" s="1"/>
  <c r="B1372" i="3"/>
  <c r="B1372" i="8" s="1"/>
  <c r="F1371" i="3"/>
  <c r="A1371" i="8" s="1"/>
  <c r="E1371" i="3"/>
  <c r="E1371" i="8" s="1"/>
  <c r="D1371" i="3"/>
  <c r="D1371" i="8" s="1"/>
  <c r="C1371" i="3"/>
  <c r="C1371" i="8" s="1"/>
  <c r="B1371" i="3"/>
  <c r="B1371" i="8" s="1"/>
  <c r="F1370" i="3"/>
  <c r="A1370" i="8" s="1"/>
  <c r="E1370" i="3"/>
  <c r="E1370" i="8" s="1"/>
  <c r="D1370" i="3"/>
  <c r="D1370" i="8" s="1"/>
  <c r="C1370" i="3"/>
  <c r="C1370" i="8" s="1"/>
  <c r="B1370" i="3"/>
  <c r="B1370" i="8" s="1"/>
  <c r="F1369" i="3"/>
  <c r="A1369" i="8" s="1"/>
  <c r="E1369" i="3"/>
  <c r="E1369" i="8" s="1"/>
  <c r="D1369" i="3"/>
  <c r="D1369" i="8" s="1"/>
  <c r="C1369" i="3"/>
  <c r="C1369" i="8" s="1"/>
  <c r="B1369" i="3"/>
  <c r="B1369" i="8" s="1"/>
  <c r="F1368" i="3"/>
  <c r="A1368" i="8" s="1"/>
  <c r="E1368" i="3"/>
  <c r="E1368" i="8" s="1"/>
  <c r="D1368" i="3"/>
  <c r="D1368" i="8" s="1"/>
  <c r="C1368" i="3"/>
  <c r="C1368" i="8" s="1"/>
  <c r="B1368" i="3"/>
  <c r="B1368" i="8" s="1"/>
  <c r="F1367" i="3"/>
  <c r="A1367" i="8" s="1"/>
  <c r="E1367" i="3"/>
  <c r="E1367" i="8" s="1"/>
  <c r="D1367" i="3"/>
  <c r="D1367" i="8" s="1"/>
  <c r="C1367" i="3"/>
  <c r="C1367" i="8" s="1"/>
  <c r="B1367" i="3"/>
  <c r="B1367" i="8" s="1"/>
  <c r="F1366" i="3"/>
  <c r="A1366" i="8" s="1"/>
  <c r="E1366" i="3"/>
  <c r="E1366" i="8" s="1"/>
  <c r="D1366" i="3"/>
  <c r="D1366" i="8" s="1"/>
  <c r="C1366" i="3"/>
  <c r="C1366" i="8" s="1"/>
  <c r="B1366" i="3"/>
  <c r="B1366" i="8" s="1"/>
  <c r="F1365" i="3"/>
  <c r="A1365" i="8" s="1"/>
  <c r="E1365" i="3"/>
  <c r="E1365" i="8" s="1"/>
  <c r="D1365" i="3"/>
  <c r="D1365" i="8" s="1"/>
  <c r="C1365" i="3"/>
  <c r="C1365" i="8" s="1"/>
  <c r="B1365" i="3"/>
  <c r="B1365" i="8" s="1"/>
  <c r="F1364" i="3"/>
  <c r="A1364" i="8" s="1"/>
  <c r="E1364" i="3"/>
  <c r="E1364" i="8" s="1"/>
  <c r="D1364" i="3"/>
  <c r="D1364" i="8" s="1"/>
  <c r="C1364" i="3"/>
  <c r="C1364" i="8" s="1"/>
  <c r="B1364" i="3"/>
  <c r="B1364" i="8" s="1"/>
  <c r="F1363" i="3"/>
  <c r="A1363" i="8" s="1"/>
  <c r="E1363" i="3"/>
  <c r="E1363" i="8" s="1"/>
  <c r="D1363" i="3"/>
  <c r="D1363" i="8" s="1"/>
  <c r="C1363" i="3"/>
  <c r="C1363" i="8" s="1"/>
  <c r="B1363" i="3"/>
  <c r="B1363" i="8" s="1"/>
  <c r="F1362" i="3"/>
  <c r="A1362" i="8" s="1"/>
  <c r="E1362" i="3"/>
  <c r="E1362" i="8" s="1"/>
  <c r="D1362" i="3"/>
  <c r="D1362" i="8" s="1"/>
  <c r="C1362" i="3"/>
  <c r="C1362" i="8" s="1"/>
  <c r="B1362" i="3"/>
  <c r="B1362" i="8" s="1"/>
  <c r="F1361" i="3"/>
  <c r="A1361" i="8" s="1"/>
  <c r="E1361" i="3"/>
  <c r="E1361" i="8" s="1"/>
  <c r="D1361" i="3"/>
  <c r="D1361" i="8" s="1"/>
  <c r="C1361" i="3"/>
  <c r="C1361" i="8" s="1"/>
  <c r="B1361" i="3"/>
  <c r="B1361" i="8" s="1"/>
  <c r="F1360" i="3"/>
  <c r="A1360" i="8" s="1"/>
  <c r="E1360" i="3"/>
  <c r="E1360" i="8" s="1"/>
  <c r="D1360" i="3"/>
  <c r="D1360" i="8" s="1"/>
  <c r="C1360" i="3"/>
  <c r="C1360" i="8" s="1"/>
  <c r="B1360" i="3"/>
  <c r="B1360" i="8" s="1"/>
  <c r="F1359" i="3"/>
  <c r="A1359" i="8" s="1"/>
  <c r="E1359" i="3"/>
  <c r="E1359" i="8" s="1"/>
  <c r="D1359" i="3"/>
  <c r="D1359" i="8" s="1"/>
  <c r="C1359" i="3"/>
  <c r="C1359" i="8" s="1"/>
  <c r="B1359" i="3"/>
  <c r="B1359" i="8" s="1"/>
  <c r="F1358" i="3"/>
  <c r="A1358" i="8" s="1"/>
  <c r="E1358" i="3"/>
  <c r="E1358" i="8" s="1"/>
  <c r="D1358" i="3"/>
  <c r="D1358" i="8" s="1"/>
  <c r="C1358" i="3"/>
  <c r="C1358" i="8" s="1"/>
  <c r="B1358" i="3"/>
  <c r="B1358" i="8" s="1"/>
  <c r="F1357" i="3"/>
  <c r="A1357" i="8" s="1"/>
  <c r="E1357" i="3"/>
  <c r="E1357" i="8" s="1"/>
  <c r="D1357" i="3"/>
  <c r="D1357" i="8" s="1"/>
  <c r="C1357" i="3"/>
  <c r="C1357" i="8" s="1"/>
  <c r="B1357" i="3"/>
  <c r="B1357" i="8" s="1"/>
  <c r="F1356" i="3"/>
  <c r="A1356" i="8" s="1"/>
  <c r="E1356" i="3"/>
  <c r="E1356" i="8" s="1"/>
  <c r="D1356" i="3"/>
  <c r="D1356" i="8" s="1"/>
  <c r="C1356" i="3"/>
  <c r="C1356" i="8" s="1"/>
  <c r="B1356" i="3"/>
  <c r="B1356" i="8" s="1"/>
  <c r="F1355" i="3"/>
  <c r="A1355" i="8" s="1"/>
  <c r="E1355" i="3"/>
  <c r="E1355" i="8" s="1"/>
  <c r="D1355" i="3"/>
  <c r="D1355" i="8" s="1"/>
  <c r="C1355" i="3"/>
  <c r="C1355" i="8" s="1"/>
  <c r="B1355" i="3"/>
  <c r="B1355" i="8" s="1"/>
  <c r="F1354" i="3"/>
  <c r="A1354" i="8" s="1"/>
  <c r="E1354" i="3"/>
  <c r="E1354" i="8" s="1"/>
  <c r="D1354" i="3"/>
  <c r="D1354" i="8" s="1"/>
  <c r="C1354" i="3"/>
  <c r="C1354" i="8" s="1"/>
  <c r="B1354" i="3"/>
  <c r="B1354" i="8" s="1"/>
  <c r="F1353" i="3"/>
  <c r="A1353" i="8" s="1"/>
  <c r="E1353" i="3"/>
  <c r="E1353" i="8" s="1"/>
  <c r="D1353" i="3"/>
  <c r="D1353" i="8" s="1"/>
  <c r="C1353" i="3"/>
  <c r="C1353" i="8" s="1"/>
  <c r="B1353" i="3"/>
  <c r="B1353" i="8" s="1"/>
  <c r="F1352" i="3"/>
  <c r="A1352" i="8" s="1"/>
  <c r="E1352" i="3"/>
  <c r="E1352" i="8" s="1"/>
  <c r="D1352" i="3"/>
  <c r="D1352" i="8" s="1"/>
  <c r="C1352" i="3"/>
  <c r="C1352" i="8" s="1"/>
  <c r="B1352" i="3"/>
  <c r="B1352" i="8" s="1"/>
  <c r="F1351" i="3"/>
  <c r="A1351" i="8" s="1"/>
  <c r="E1351" i="3"/>
  <c r="E1351" i="8" s="1"/>
  <c r="D1351" i="3"/>
  <c r="D1351" i="8" s="1"/>
  <c r="C1351" i="3"/>
  <c r="C1351" i="8" s="1"/>
  <c r="B1351" i="3"/>
  <c r="B1351" i="8" s="1"/>
  <c r="F1350" i="3"/>
  <c r="A1350" i="8" s="1"/>
  <c r="E1350" i="3"/>
  <c r="E1350" i="8" s="1"/>
  <c r="D1350" i="3"/>
  <c r="D1350" i="8" s="1"/>
  <c r="C1350" i="3"/>
  <c r="C1350" i="8" s="1"/>
  <c r="B1350" i="3"/>
  <c r="B1350" i="8" s="1"/>
  <c r="F1349" i="3"/>
  <c r="A1349" i="8" s="1"/>
  <c r="E1349" i="3"/>
  <c r="E1349" i="8" s="1"/>
  <c r="D1349" i="3"/>
  <c r="D1349" i="8" s="1"/>
  <c r="C1349" i="3"/>
  <c r="C1349" i="8" s="1"/>
  <c r="B1349" i="3"/>
  <c r="B1349" i="8" s="1"/>
  <c r="F1348" i="3"/>
  <c r="A1348" i="8" s="1"/>
  <c r="E1348" i="3"/>
  <c r="E1348" i="8" s="1"/>
  <c r="D1348" i="3"/>
  <c r="D1348" i="8" s="1"/>
  <c r="C1348" i="3"/>
  <c r="C1348" i="8" s="1"/>
  <c r="B1348" i="3"/>
  <c r="B1348" i="8" s="1"/>
  <c r="F1347" i="3"/>
  <c r="A1347" i="8" s="1"/>
  <c r="E1347" i="3"/>
  <c r="E1347" i="8" s="1"/>
  <c r="D1347" i="3"/>
  <c r="D1347" i="8" s="1"/>
  <c r="C1347" i="3"/>
  <c r="C1347" i="8" s="1"/>
  <c r="B1347" i="3"/>
  <c r="B1347" i="8" s="1"/>
  <c r="F1346" i="3"/>
  <c r="A1346" i="8" s="1"/>
  <c r="E1346" i="3"/>
  <c r="E1346" i="8" s="1"/>
  <c r="D1346" i="3"/>
  <c r="D1346" i="8" s="1"/>
  <c r="C1346" i="3"/>
  <c r="C1346" i="8" s="1"/>
  <c r="B1346" i="3"/>
  <c r="B1346" i="8" s="1"/>
  <c r="F1345" i="3"/>
  <c r="A1345" i="8" s="1"/>
  <c r="E1345" i="3"/>
  <c r="E1345" i="8" s="1"/>
  <c r="D1345" i="3"/>
  <c r="D1345" i="8" s="1"/>
  <c r="C1345" i="3"/>
  <c r="C1345" i="8" s="1"/>
  <c r="B1345" i="3"/>
  <c r="B1345" i="8" s="1"/>
  <c r="F1344" i="3"/>
  <c r="A1344" i="8" s="1"/>
  <c r="E1344" i="3"/>
  <c r="E1344" i="8" s="1"/>
  <c r="D1344" i="3"/>
  <c r="D1344" i="8" s="1"/>
  <c r="C1344" i="3"/>
  <c r="C1344" i="8" s="1"/>
  <c r="B1344" i="3"/>
  <c r="B1344" i="8" s="1"/>
  <c r="F1343" i="3"/>
  <c r="A1343" i="8" s="1"/>
  <c r="E1343" i="3"/>
  <c r="E1343" i="8" s="1"/>
  <c r="D1343" i="3"/>
  <c r="D1343" i="8" s="1"/>
  <c r="C1343" i="3"/>
  <c r="C1343" i="8" s="1"/>
  <c r="B1343" i="3"/>
  <c r="B1343" i="8" s="1"/>
  <c r="F1342" i="3"/>
  <c r="A1342" i="8" s="1"/>
  <c r="E1342" i="3"/>
  <c r="E1342" i="8" s="1"/>
  <c r="D1342" i="3"/>
  <c r="D1342" i="8" s="1"/>
  <c r="C1342" i="3"/>
  <c r="C1342" i="8" s="1"/>
  <c r="B1342" i="3"/>
  <c r="B1342" i="8" s="1"/>
  <c r="F1341" i="3"/>
  <c r="A1341" i="8" s="1"/>
  <c r="E1341" i="3"/>
  <c r="E1341" i="8" s="1"/>
  <c r="D1341" i="3"/>
  <c r="D1341" i="8" s="1"/>
  <c r="C1341" i="3"/>
  <c r="C1341" i="8" s="1"/>
  <c r="B1341" i="3"/>
  <c r="B1341" i="8" s="1"/>
  <c r="F1340" i="3"/>
  <c r="A1340" i="8" s="1"/>
  <c r="E1340" i="3"/>
  <c r="E1340" i="8" s="1"/>
  <c r="D1340" i="3"/>
  <c r="D1340" i="8" s="1"/>
  <c r="C1340" i="3"/>
  <c r="C1340" i="8" s="1"/>
  <c r="B1340" i="3"/>
  <c r="B1340" i="8" s="1"/>
  <c r="F1339" i="3"/>
  <c r="A1339" i="8" s="1"/>
  <c r="E1339" i="3"/>
  <c r="E1339" i="8" s="1"/>
  <c r="D1339" i="3"/>
  <c r="D1339" i="8" s="1"/>
  <c r="C1339" i="3"/>
  <c r="C1339" i="8" s="1"/>
  <c r="B1339" i="3"/>
  <c r="B1339" i="8" s="1"/>
  <c r="F1338" i="3"/>
  <c r="A1338" i="8" s="1"/>
  <c r="E1338" i="3"/>
  <c r="E1338" i="8" s="1"/>
  <c r="D1338" i="3"/>
  <c r="D1338" i="8" s="1"/>
  <c r="C1338" i="3"/>
  <c r="C1338" i="8" s="1"/>
  <c r="B1338" i="3"/>
  <c r="B1338" i="8" s="1"/>
  <c r="F1337" i="3"/>
  <c r="A1337" i="8" s="1"/>
  <c r="E1337" i="3"/>
  <c r="E1337" i="8" s="1"/>
  <c r="D1337" i="3"/>
  <c r="D1337" i="8" s="1"/>
  <c r="C1337" i="3"/>
  <c r="C1337" i="8" s="1"/>
  <c r="B1337" i="3"/>
  <c r="B1337" i="8" s="1"/>
  <c r="F1336" i="3"/>
  <c r="A1336" i="8" s="1"/>
  <c r="E1336" i="3"/>
  <c r="E1336" i="8" s="1"/>
  <c r="D1336" i="3"/>
  <c r="D1336" i="8" s="1"/>
  <c r="C1336" i="3"/>
  <c r="C1336" i="8" s="1"/>
  <c r="B1336" i="3"/>
  <c r="B1336" i="8" s="1"/>
  <c r="F1335" i="3"/>
  <c r="A1335" i="8" s="1"/>
  <c r="E1335" i="3"/>
  <c r="E1335" i="8" s="1"/>
  <c r="D1335" i="3"/>
  <c r="D1335" i="8" s="1"/>
  <c r="C1335" i="3"/>
  <c r="C1335" i="8" s="1"/>
  <c r="B1335" i="3"/>
  <c r="B1335" i="8" s="1"/>
  <c r="F1334" i="3"/>
  <c r="A1334" i="8" s="1"/>
  <c r="E1334" i="3"/>
  <c r="E1334" i="8" s="1"/>
  <c r="D1334" i="3"/>
  <c r="D1334" i="8" s="1"/>
  <c r="C1334" i="3"/>
  <c r="C1334" i="8" s="1"/>
  <c r="B1334" i="3"/>
  <c r="B1334" i="8" s="1"/>
  <c r="F1333" i="3"/>
  <c r="A1333" i="8" s="1"/>
  <c r="E1333" i="3"/>
  <c r="E1333" i="8" s="1"/>
  <c r="D1333" i="3"/>
  <c r="D1333" i="8" s="1"/>
  <c r="C1333" i="3"/>
  <c r="C1333" i="8" s="1"/>
  <c r="B1333" i="3"/>
  <c r="B1333" i="8" s="1"/>
  <c r="F1332" i="3"/>
  <c r="A1332" i="8" s="1"/>
  <c r="E1332" i="3"/>
  <c r="E1332" i="8" s="1"/>
  <c r="D1332" i="3"/>
  <c r="D1332" i="8" s="1"/>
  <c r="C1332" i="3"/>
  <c r="C1332" i="8" s="1"/>
  <c r="B1332" i="3"/>
  <c r="B1332" i="8" s="1"/>
  <c r="F1331" i="3"/>
  <c r="A1331" i="8" s="1"/>
  <c r="E1331" i="3"/>
  <c r="E1331" i="8" s="1"/>
  <c r="D1331" i="3"/>
  <c r="D1331" i="8" s="1"/>
  <c r="C1331" i="3"/>
  <c r="C1331" i="8" s="1"/>
  <c r="B1331" i="3"/>
  <c r="B1331" i="8" s="1"/>
  <c r="F1330" i="3"/>
  <c r="A1330" i="8" s="1"/>
  <c r="E1330" i="3"/>
  <c r="E1330" i="8" s="1"/>
  <c r="D1330" i="3"/>
  <c r="D1330" i="8" s="1"/>
  <c r="C1330" i="3"/>
  <c r="C1330" i="8" s="1"/>
  <c r="B1330" i="3"/>
  <c r="B1330" i="8" s="1"/>
  <c r="F1329" i="3"/>
  <c r="A1329" i="8" s="1"/>
  <c r="E1329" i="3"/>
  <c r="E1329" i="8" s="1"/>
  <c r="D1329" i="3"/>
  <c r="D1329" i="8" s="1"/>
  <c r="C1329" i="3"/>
  <c r="C1329" i="8" s="1"/>
  <c r="B1329" i="3"/>
  <c r="B1329" i="8" s="1"/>
  <c r="F1328" i="3"/>
  <c r="A1328" i="8" s="1"/>
  <c r="E1328" i="3"/>
  <c r="E1328" i="8" s="1"/>
  <c r="D1328" i="3"/>
  <c r="D1328" i="8" s="1"/>
  <c r="C1328" i="3"/>
  <c r="C1328" i="8" s="1"/>
  <c r="B1328" i="3"/>
  <c r="B1328" i="8" s="1"/>
  <c r="F1327" i="3"/>
  <c r="A1327" i="8" s="1"/>
  <c r="E1327" i="3"/>
  <c r="E1327" i="8" s="1"/>
  <c r="D1327" i="3"/>
  <c r="D1327" i="8" s="1"/>
  <c r="C1327" i="3"/>
  <c r="C1327" i="8" s="1"/>
  <c r="B1327" i="3"/>
  <c r="B1327" i="8" s="1"/>
  <c r="F1326" i="3"/>
  <c r="A1326" i="8" s="1"/>
  <c r="E1326" i="3"/>
  <c r="E1326" i="8" s="1"/>
  <c r="D1326" i="3"/>
  <c r="D1326" i="8" s="1"/>
  <c r="C1326" i="3"/>
  <c r="C1326" i="8" s="1"/>
  <c r="B1326" i="3"/>
  <c r="B1326" i="8" s="1"/>
  <c r="F1325" i="3"/>
  <c r="A1325" i="8" s="1"/>
  <c r="E1325" i="3"/>
  <c r="E1325" i="8" s="1"/>
  <c r="D1325" i="3"/>
  <c r="D1325" i="8" s="1"/>
  <c r="C1325" i="3"/>
  <c r="C1325" i="8" s="1"/>
  <c r="B1325" i="3"/>
  <c r="B1325" i="8" s="1"/>
  <c r="F1324" i="3"/>
  <c r="A1324" i="8" s="1"/>
  <c r="E1324" i="3"/>
  <c r="E1324" i="8" s="1"/>
  <c r="D1324" i="3"/>
  <c r="D1324" i="8" s="1"/>
  <c r="C1324" i="3"/>
  <c r="C1324" i="8" s="1"/>
  <c r="B1324" i="3"/>
  <c r="B1324" i="8" s="1"/>
  <c r="F1323" i="3"/>
  <c r="A1323" i="8" s="1"/>
  <c r="E1323" i="3"/>
  <c r="E1323" i="8" s="1"/>
  <c r="D1323" i="3"/>
  <c r="D1323" i="8" s="1"/>
  <c r="C1323" i="3"/>
  <c r="C1323" i="8" s="1"/>
  <c r="B1323" i="3"/>
  <c r="B1323" i="8" s="1"/>
  <c r="F1322" i="3"/>
  <c r="A1322" i="8" s="1"/>
  <c r="E1322" i="3"/>
  <c r="E1322" i="8" s="1"/>
  <c r="D1322" i="3"/>
  <c r="D1322" i="8" s="1"/>
  <c r="C1322" i="3"/>
  <c r="C1322" i="8" s="1"/>
  <c r="B1322" i="3"/>
  <c r="B1322" i="8" s="1"/>
  <c r="F1321" i="3"/>
  <c r="A1321" i="8" s="1"/>
  <c r="E1321" i="3"/>
  <c r="E1321" i="8" s="1"/>
  <c r="D1321" i="3"/>
  <c r="D1321" i="8" s="1"/>
  <c r="C1321" i="3"/>
  <c r="C1321" i="8" s="1"/>
  <c r="B1321" i="3"/>
  <c r="B1321" i="8" s="1"/>
  <c r="F1320" i="3"/>
  <c r="A1320" i="8" s="1"/>
  <c r="E1320" i="3"/>
  <c r="E1320" i="8" s="1"/>
  <c r="D1320" i="3"/>
  <c r="D1320" i="8" s="1"/>
  <c r="C1320" i="3"/>
  <c r="C1320" i="8" s="1"/>
  <c r="B1320" i="3"/>
  <c r="B1320" i="8" s="1"/>
  <c r="F1319" i="3"/>
  <c r="A1319" i="8" s="1"/>
  <c r="E1319" i="3"/>
  <c r="E1319" i="8" s="1"/>
  <c r="D1319" i="3"/>
  <c r="D1319" i="8" s="1"/>
  <c r="C1319" i="3"/>
  <c r="C1319" i="8" s="1"/>
  <c r="B1319" i="3"/>
  <c r="B1319" i="8" s="1"/>
  <c r="F1318" i="3"/>
  <c r="A1318" i="8" s="1"/>
  <c r="E1318" i="3"/>
  <c r="E1318" i="8" s="1"/>
  <c r="D1318" i="3"/>
  <c r="D1318" i="8" s="1"/>
  <c r="C1318" i="3"/>
  <c r="C1318" i="8" s="1"/>
  <c r="B1318" i="3"/>
  <c r="B1318" i="8" s="1"/>
  <c r="F1317" i="3"/>
  <c r="A1317" i="8" s="1"/>
  <c r="E1317" i="3"/>
  <c r="E1317" i="8" s="1"/>
  <c r="D1317" i="3"/>
  <c r="D1317" i="8" s="1"/>
  <c r="C1317" i="3"/>
  <c r="C1317" i="8" s="1"/>
  <c r="B1317" i="3"/>
  <c r="B1317" i="8" s="1"/>
  <c r="F1316" i="3"/>
  <c r="A1316" i="8" s="1"/>
  <c r="E1316" i="3"/>
  <c r="E1316" i="8" s="1"/>
  <c r="D1316" i="3"/>
  <c r="D1316" i="8" s="1"/>
  <c r="C1316" i="3"/>
  <c r="C1316" i="8" s="1"/>
  <c r="B1316" i="3"/>
  <c r="B1316" i="8" s="1"/>
  <c r="F1315" i="3"/>
  <c r="A1315" i="8" s="1"/>
  <c r="E1315" i="3"/>
  <c r="E1315" i="8" s="1"/>
  <c r="D1315" i="3"/>
  <c r="D1315" i="8" s="1"/>
  <c r="C1315" i="3"/>
  <c r="C1315" i="8" s="1"/>
  <c r="B1315" i="3"/>
  <c r="B1315" i="8" s="1"/>
  <c r="F1314" i="3"/>
  <c r="A1314" i="8" s="1"/>
  <c r="E1314" i="3"/>
  <c r="E1314" i="8" s="1"/>
  <c r="D1314" i="3"/>
  <c r="D1314" i="8" s="1"/>
  <c r="C1314" i="3"/>
  <c r="C1314" i="8" s="1"/>
  <c r="B1314" i="3"/>
  <c r="B1314" i="8" s="1"/>
  <c r="F1313" i="3"/>
  <c r="A1313" i="8" s="1"/>
  <c r="E1313" i="3"/>
  <c r="E1313" i="8" s="1"/>
  <c r="D1313" i="3"/>
  <c r="D1313" i="8" s="1"/>
  <c r="C1313" i="3"/>
  <c r="C1313" i="8" s="1"/>
  <c r="B1313" i="3"/>
  <c r="B1313" i="8" s="1"/>
  <c r="F1312" i="3"/>
  <c r="A1312" i="8" s="1"/>
  <c r="E1312" i="3"/>
  <c r="E1312" i="8" s="1"/>
  <c r="D1312" i="3"/>
  <c r="D1312" i="8" s="1"/>
  <c r="C1312" i="3"/>
  <c r="C1312" i="8" s="1"/>
  <c r="B1312" i="3"/>
  <c r="B1312" i="8" s="1"/>
  <c r="F1311" i="3"/>
  <c r="A1311" i="8" s="1"/>
  <c r="E1311" i="3"/>
  <c r="E1311" i="8" s="1"/>
  <c r="D1311" i="3"/>
  <c r="D1311" i="8" s="1"/>
  <c r="C1311" i="3"/>
  <c r="C1311" i="8" s="1"/>
  <c r="B1311" i="3"/>
  <c r="B1311" i="8" s="1"/>
  <c r="F1310" i="3"/>
  <c r="A1310" i="8" s="1"/>
  <c r="E1310" i="3"/>
  <c r="E1310" i="8" s="1"/>
  <c r="D1310" i="3"/>
  <c r="D1310" i="8" s="1"/>
  <c r="C1310" i="3"/>
  <c r="C1310" i="8" s="1"/>
  <c r="B1310" i="3"/>
  <c r="B1310" i="8" s="1"/>
  <c r="F1309" i="3"/>
  <c r="A1309" i="8" s="1"/>
  <c r="E1309" i="3"/>
  <c r="E1309" i="8" s="1"/>
  <c r="D1309" i="3"/>
  <c r="D1309" i="8" s="1"/>
  <c r="C1309" i="3"/>
  <c r="C1309" i="8" s="1"/>
  <c r="B1309" i="3"/>
  <c r="B1309" i="8" s="1"/>
  <c r="F1308" i="3"/>
  <c r="A1308" i="8" s="1"/>
  <c r="E1308" i="3"/>
  <c r="E1308" i="8" s="1"/>
  <c r="D1308" i="3"/>
  <c r="D1308" i="8" s="1"/>
  <c r="C1308" i="3"/>
  <c r="C1308" i="8" s="1"/>
  <c r="B1308" i="3"/>
  <c r="B1308" i="8" s="1"/>
  <c r="F1307" i="3"/>
  <c r="A1307" i="8" s="1"/>
  <c r="E1307" i="3"/>
  <c r="E1307" i="8" s="1"/>
  <c r="D1307" i="3"/>
  <c r="D1307" i="8" s="1"/>
  <c r="C1307" i="3"/>
  <c r="C1307" i="8" s="1"/>
  <c r="B1307" i="3"/>
  <c r="B1307" i="8" s="1"/>
  <c r="F1306" i="3"/>
  <c r="A1306" i="8" s="1"/>
  <c r="E1306" i="3"/>
  <c r="E1306" i="8" s="1"/>
  <c r="D1306" i="3"/>
  <c r="D1306" i="8" s="1"/>
  <c r="C1306" i="3"/>
  <c r="C1306" i="8" s="1"/>
  <c r="B1306" i="3"/>
  <c r="B1306" i="8" s="1"/>
  <c r="F1305" i="3"/>
  <c r="A1305" i="8" s="1"/>
  <c r="E1305" i="3"/>
  <c r="E1305" i="8" s="1"/>
  <c r="D1305" i="3"/>
  <c r="D1305" i="8" s="1"/>
  <c r="C1305" i="3"/>
  <c r="C1305" i="8" s="1"/>
  <c r="B1305" i="3"/>
  <c r="B1305" i="8" s="1"/>
  <c r="F1304" i="3"/>
  <c r="A1304" i="8" s="1"/>
  <c r="E1304" i="3"/>
  <c r="E1304" i="8" s="1"/>
  <c r="D1304" i="3"/>
  <c r="D1304" i="8" s="1"/>
  <c r="C1304" i="3"/>
  <c r="C1304" i="8" s="1"/>
  <c r="B1304" i="3"/>
  <c r="B1304" i="8" s="1"/>
  <c r="F1303" i="3"/>
  <c r="A1303" i="8" s="1"/>
  <c r="E1303" i="3"/>
  <c r="E1303" i="8" s="1"/>
  <c r="D1303" i="3"/>
  <c r="D1303" i="8" s="1"/>
  <c r="C1303" i="3"/>
  <c r="C1303" i="8" s="1"/>
  <c r="B1303" i="3"/>
  <c r="B1303" i="8" s="1"/>
  <c r="F1302" i="3"/>
  <c r="A1302" i="8" s="1"/>
  <c r="E1302" i="3"/>
  <c r="E1302" i="8" s="1"/>
  <c r="D1302" i="3"/>
  <c r="D1302" i="8" s="1"/>
  <c r="C1302" i="3"/>
  <c r="C1302" i="8" s="1"/>
  <c r="B1302" i="3"/>
  <c r="B1302" i="8" s="1"/>
  <c r="F1301" i="3"/>
  <c r="A1301" i="8" s="1"/>
  <c r="E1301" i="3"/>
  <c r="E1301" i="8" s="1"/>
  <c r="D1301" i="3"/>
  <c r="D1301" i="8" s="1"/>
  <c r="C1301" i="3"/>
  <c r="C1301" i="8" s="1"/>
  <c r="B1301" i="3"/>
  <c r="B1301" i="8" s="1"/>
  <c r="F1300" i="3"/>
  <c r="A1300" i="8" s="1"/>
  <c r="E1300" i="3"/>
  <c r="E1300" i="8" s="1"/>
  <c r="D1300" i="3"/>
  <c r="D1300" i="8" s="1"/>
  <c r="C1300" i="3"/>
  <c r="C1300" i="8" s="1"/>
  <c r="B1300" i="3"/>
  <c r="B1300" i="8" s="1"/>
  <c r="F1299" i="3"/>
  <c r="A1299" i="8" s="1"/>
  <c r="E1299" i="3"/>
  <c r="E1299" i="8" s="1"/>
  <c r="D1299" i="3"/>
  <c r="D1299" i="8" s="1"/>
  <c r="C1299" i="3"/>
  <c r="C1299" i="8" s="1"/>
  <c r="B1299" i="3"/>
  <c r="B1299" i="8" s="1"/>
  <c r="F1298" i="3"/>
  <c r="A1298" i="8" s="1"/>
  <c r="E1298" i="3"/>
  <c r="E1298" i="8" s="1"/>
  <c r="D1298" i="3"/>
  <c r="D1298" i="8" s="1"/>
  <c r="C1298" i="3"/>
  <c r="C1298" i="8" s="1"/>
  <c r="B1298" i="3"/>
  <c r="B1298" i="8" s="1"/>
  <c r="F1297" i="3"/>
  <c r="A1297" i="8" s="1"/>
  <c r="E1297" i="3"/>
  <c r="E1297" i="8" s="1"/>
  <c r="D1297" i="3"/>
  <c r="D1297" i="8" s="1"/>
  <c r="C1297" i="3"/>
  <c r="C1297" i="8" s="1"/>
  <c r="B1297" i="3"/>
  <c r="B1297" i="8" s="1"/>
  <c r="F1296" i="3"/>
  <c r="A1296" i="8" s="1"/>
  <c r="E1296" i="3"/>
  <c r="E1296" i="8" s="1"/>
  <c r="D1296" i="3"/>
  <c r="D1296" i="8" s="1"/>
  <c r="C1296" i="3"/>
  <c r="C1296" i="8" s="1"/>
  <c r="B1296" i="3"/>
  <c r="B1296" i="8" s="1"/>
  <c r="F1295" i="3"/>
  <c r="A1295" i="8" s="1"/>
  <c r="E1295" i="3"/>
  <c r="E1295" i="8" s="1"/>
  <c r="D1295" i="3"/>
  <c r="D1295" i="8" s="1"/>
  <c r="C1295" i="3"/>
  <c r="C1295" i="8" s="1"/>
  <c r="B1295" i="3"/>
  <c r="B1295" i="8" s="1"/>
  <c r="F1294" i="3"/>
  <c r="A1294" i="8" s="1"/>
  <c r="E1294" i="3"/>
  <c r="E1294" i="8" s="1"/>
  <c r="D1294" i="3"/>
  <c r="D1294" i="8" s="1"/>
  <c r="C1294" i="3"/>
  <c r="C1294" i="8" s="1"/>
  <c r="B1294" i="3"/>
  <c r="B1294" i="8" s="1"/>
  <c r="F1293" i="3"/>
  <c r="A1293" i="8" s="1"/>
  <c r="E1293" i="3"/>
  <c r="E1293" i="8" s="1"/>
  <c r="D1293" i="3"/>
  <c r="D1293" i="8" s="1"/>
  <c r="C1293" i="3"/>
  <c r="C1293" i="8" s="1"/>
  <c r="B1293" i="3"/>
  <c r="B1293" i="8" s="1"/>
  <c r="F1292" i="3"/>
  <c r="A1292" i="8" s="1"/>
  <c r="E1292" i="3"/>
  <c r="E1292" i="8" s="1"/>
  <c r="D1292" i="3"/>
  <c r="D1292" i="8" s="1"/>
  <c r="C1292" i="3"/>
  <c r="C1292" i="8" s="1"/>
  <c r="B1292" i="3"/>
  <c r="B1292" i="8" s="1"/>
  <c r="F1291" i="3"/>
  <c r="A1291" i="8" s="1"/>
  <c r="E1291" i="3"/>
  <c r="E1291" i="8" s="1"/>
  <c r="D1291" i="3"/>
  <c r="D1291" i="8" s="1"/>
  <c r="C1291" i="3"/>
  <c r="C1291" i="8" s="1"/>
  <c r="B1291" i="3"/>
  <c r="B1291" i="8" s="1"/>
  <c r="F1290" i="3"/>
  <c r="A1290" i="8" s="1"/>
  <c r="E1290" i="3"/>
  <c r="E1290" i="8" s="1"/>
  <c r="D1290" i="3"/>
  <c r="D1290" i="8" s="1"/>
  <c r="C1290" i="3"/>
  <c r="C1290" i="8" s="1"/>
  <c r="B1290" i="3"/>
  <c r="B1290" i="8" s="1"/>
  <c r="F1289" i="3"/>
  <c r="A1289" i="8" s="1"/>
  <c r="E1289" i="3"/>
  <c r="E1289" i="8" s="1"/>
  <c r="D1289" i="3"/>
  <c r="D1289" i="8" s="1"/>
  <c r="C1289" i="3"/>
  <c r="C1289" i="8" s="1"/>
  <c r="B1289" i="3"/>
  <c r="B1289" i="8" s="1"/>
  <c r="F1288" i="3"/>
  <c r="A1288" i="8" s="1"/>
  <c r="E1288" i="3"/>
  <c r="E1288" i="8" s="1"/>
  <c r="D1288" i="3"/>
  <c r="D1288" i="8" s="1"/>
  <c r="C1288" i="3"/>
  <c r="C1288" i="8" s="1"/>
  <c r="B1288" i="3"/>
  <c r="B1288" i="8" s="1"/>
  <c r="F1287" i="3"/>
  <c r="A1287" i="8" s="1"/>
  <c r="E1287" i="3"/>
  <c r="E1287" i="8" s="1"/>
  <c r="D1287" i="3"/>
  <c r="D1287" i="8" s="1"/>
  <c r="C1287" i="3"/>
  <c r="C1287" i="8" s="1"/>
  <c r="B1287" i="3"/>
  <c r="B1287" i="8" s="1"/>
  <c r="F1286" i="3"/>
  <c r="A1286" i="8" s="1"/>
  <c r="E1286" i="3"/>
  <c r="E1286" i="8" s="1"/>
  <c r="D1286" i="3"/>
  <c r="D1286" i="8" s="1"/>
  <c r="C1286" i="3"/>
  <c r="C1286" i="8" s="1"/>
  <c r="B1286" i="3"/>
  <c r="B1286" i="8" s="1"/>
  <c r="F1285" i="3"/>
  <c r="A1285" i="8" s="1"/>
  <c r="E1285" i="3"/>
  <c r="E1285" i="8" s="1"/>
  <c r="D1285" i="3"/>
  <c r="D1285" i="8" s="1"/>
  <c r="C1285" i="3"/>
  <c r="C1285" i="8" s="1"/>
  <c r="B1285" i="3"/>
  <c r="B1285" i="8" s="1"/>
  <c r="F1284" i="3"/>
  <c r="A1284" i="8" s="1"/>
  <c r="E1284" i="3"/>
  <c r="E1284" i="8" s="1"/>
  <c r="D1284" i="3"/>
  <c r="D1284" i="8" s="1"/>
  <c r="C1284" i="3"/>
  <c r="C1284" i="8" s="1"/>
  <c r="B1284" i="3"/>
  <c r="B1284" i="8" s="1"/>
  <c r="F1283" i="3"/>
  <c r="A1283" i="8" s="1"/>
  <c r="E1283" i="3"/>
  <c r="E1283" i="8" s="1"/>
  <c r="D1283" i="3"/>
  <c r="D1283" i="8" s="1"/>
  <c r="C1283" i="3"/>
  <c r="C1283" i="8" s="1"/>
  <c r="B1283" i="3"/>
  <c r="B1283" i="8" s="1"/>
  <c r="F1282" i="3"/>
  <c r="A1282" i="8" s="1"/>
  <c r="E1282" i="3"/>
  <c r="E1282" i="8" s="1"/>
  <c r="D1282" i="3"/>
  <c r="D1282" i="8" s="1"/>
  <c r="C1282" i="3"/>
  <c r="C1282" i="8" s="1"/>
  <c r="B1282" i="3"/>
  <c r="B1282" i="8" s="1"/>
  <c r="F1281" i="3"/>
  <c r="A1281" i="8" s="1"/>
  <c r="E1281" i="3"/>
  <c r="E1281" i="8" s="1"/>
  <c r="D1281" i="3"/>
  <c r="D1281" i="8" s="1"/>
  <c r="C1281" i="3"/>
  <c r="C1281" i="8" s="1"/>
  <c r="B1281" i="3"/>
  <c r="B1281" i="8" s="1"/>
  <c r="F1280" i="3"/>
  <c r="A1280" i="8" s="1"/>
  <c r="E1280" i="3"/>
  <c r="E1280" i="8" s="1"/>
  <c r="D1280" i="3"/>
  <c r="D1280" i="8" s="1"/>
  <c r="C1280" i="3"/>
  <c r="C1280" i="8" s="1"/>
  <c r="B1280" i="3"/>
  <c r="B1280" i="8" s="1"/>
  <c r="F1279" i="3"/>
  <c r="A1279" i="8" s="1"/>
  <c r="E1279" i="3"/>
  <c r="E1279" i="8" s="1"/>
  <c r="D1279" i="3"/>
  <c r="D1279" i="8" s="1"/>
  <c r="C1279" i="3"/>
  <c r="C1279" i="8" s="1"/>
  <c r="B1279" i="3"/>
  <c r="B1279" i="8" s="1"/>
  <c r="F1278" i="3"/>
  <c r="A1278" i="8" s="1"/>
  <c r="E1278" i="3"/>
  <c r="E1278" i="8" s="1"/>
  <c r="D1278" i="3"/>
  <c r="D1278" i="8" s="1"/>
  <c r="C1278" i="3"/>
  <c r="C1278" i="8" s="1"/>
  <c r="B1278" i="3"/>
  <c r="B1278" i="8" s="1"/>
  <c r="F1277" i="3"/>
  <c r="A1277" i="8" s="1"/>
  <c r="E1277" i="3"/>
  <c r="E1277" i="8" s="1"/>
  <c r="D1277" i="3"/>
  <c r="D1277" i="8" s="1"/>
  <c r="C1277" i="3"/>
  <c r="C1277" i="8" s="1"/>
  <c r="B1277" i="3"/>
  <c r="B1277" i="8" s="1"/>
  <c r="F1276" i="3"/>
  <c r="A1276" i="8" s="1"/>
  <c r="E1276" i="3"/>
  <c r="E1276" i="8" s="1"/>
  <c r="D1276" i="3"/>
  <c r="D1276" i="8" s="1"/>
  <c r="C1276" i="3"/>
  <c r="C1276" i="8" s="1"/>
  <c r="B1276" i="3"/>
  <c r="B1276" i="8" s="1"/>
  <c r="F1275" i="3"/>
  <c r="A1275" i="8" s="1"/>
  <c r="E1275" i="3"/>
  <c r="E1275" i="8" s="1"/>
  <c r="D1275" i="3"/>
  <c r="D1275" i="8" s="1"/>
  <c r="C1275" i="3"/>
  <c r="C1275" i="8" s="1"/>
  <c r="B1275" i="3"/>
  <c r="B1275" i="8" s="1"/>
  <c r="F1274" i="3"/>
  <c r="A1274" i="8" s="1"/>
  <c r="E1274" i="3"/>
  <c r="E1274" i="8" s="1"/>
  <c r="D1274" i="3"/>
  <c r="D1274" i="8" s="1"/>
  <c r="C1274" i="3"/>
  <c r="C1274" i="8" s="1"/>
  <c r="B1274" i="3"/>
  <c r="B1274" i="8" s="1"/>
  <c r="F1273" i="3"/>
  <c r="A1273" i="8" s="1"/>
  <c r="E1273" i="3"/>
  <c r="E1273" i="8" s="1"/>
  <c r="D1273" i="3"/>
  <c r="D1273" i="8" s="1"/>
  <c r="C1273" i="3"/>
  <c r="C1273" i="8" s="1"/>
  <c r="B1273" i="3"/>
  <c r="B1273" i="8" s="1"/>
  <c r="F1272" i="3"/>
  <c r="A1272" i="8" s="1"/>
  <c r="E1272" i="3"/>
  <c r="E1272" i="8" s="1"/>
  <c r="D1272" i="3"/>
  <c r="D1272" i="8" s="1"/>
  <c r="C1272" i="3"/>
  <c r="C1272" i="8" s="1"/>
  <c r="B1272" i="3"/>
  <c r="B1272" i="8" s="1"/>
  <c r="F1271" i="3"/>
  <c r="A1271" i="8" s="1"/>
  <c r="E1271" i="3"/>
  <c r="E1271" i="8" s="1"/>
  <c r="D1271" i="3"/>
  <c r="D1271" i="8" s="1"/>
  <c r="C1271" i="3"/>
  <c r="C1271" i="8" s="1"/>
  <c r="B1271" i="3"/>
  <c r="B1271" i="8" s="1"/>
  <c r="F1270" i="3"/>
  <c r="A1270" i="8" s="1"/>
  <c r="E1270" i="3"/>
  <c r="E1270" i="8" s="1"/>
  <c r="D1270" i="3"/>
  <c r="D1270" i="8" s="1"/>
  <c r="C1270" i="3"/>
  <c r="C1270" i="8" s="1"/>
  <c r="B1270" i="3"/>
  <c r="B1270" i="8" s="1"/>
  <c r="F1269" i="3"/>
  <c r="A1269" i="8" s="1"/>
  <c r="E1269" i="3"/>
  <c r="E1269" i="8" s="1"/>
  <c r="D1269" i="3"/>
  <c r="D1269" i="8" s="1"/>
  <c r="C1269" i="3"/>
  <c r="C1269" i="8" s="1"/>
  <c r="B1269" i="3"/>
  <c r="B1269" i="8" s="1"/>
  <c r="F1268" i="3"/>
  <c r="A1268" i="8" s="1"/>
  <c r="E1268" i="3"/>
  <c r="E1268" i="8" s="1"/>
  <c r="D1268" i="3"/>
  <c r="D1268" i="8" s="1"/>
  <c r="C1268" i="3"/>
  <c r="C1268" i="8" s="1"/>
  <c r="B1268" i="3"/>
  <c r="B1268" i="8" s="1"/>
  <c r="F1267" i="3"/>
  <c r="A1267" i="8" s="1"/>
  <c r="E1267" i="3"/>
  <c r="E1267" i="8" s="1"/>
  <c r="D1267" i="3"/>
  <c r="D1267" i="8" s="1"/>
  <c r="C1267" i="3"/>
  <c r="C1267" i="8" s="1"/>
  <c r="B1267" i="3"/>
  <c r="B1267" i="8" s="1"/>
  <c r="F1266" i="3"/>
  <c r="A1266" i="8" s="1"/>
  <c r="E1266" i="3"/>
  <c r="E1266" i="8" s="1"/>
  <c r="D1266" i="3"/>
  <c r="D1266" i="8" s="1"/>
  <c r="C1266" i="3"/>
  <c r="C1266" i="8" s="1"/>
  <c r="B1266" i="3"/>
  <c r="B1266" i="8" s="1"/>
  <c r="F1265" i="3"/>
  <c r="A1265" i="8" s="1"/>
  <c r="E1265" i="3"/>
  <c r="E1265" i="8" s="1"/>
  <c r="D1265" i="3"/>
  <c r="D1265" i="8" s="1"/>
  <c r="C1265" i="3"/>
  <c r="C1265" i="8" s="1"/>
  <c r="B1265" i="3"/>
  <c r="B1265" i="8" s="1"/>
  <c r="F1264" i="3"/>
  <c r="A1264" i="8" s="1"/>
  <c r="E1264" i="3"/>
  <c r="E1264" i="8" s="1"/>
  <c r="D1264" i="3"/>
  <c r="D1264" i="8" s="1"/>
  <c r="C1264" i="3"/>
  <c r="C1264" i="8" s="1"/>
  <c r="B1264" i="3"/>
  <c r="B1264" i="8" s="1"/>
  <c r="F1263" i="3"/>
  <c r="A1263" i="8" s="1"/>
  <c r="E1263" i="3"/>
  <c r="E1263" i="8" s="1"/>
  <c r="D1263" i="3"/>
  <c r="D1263" i="8" s="1"/>
  <c r="C1263" i="3"/>
  <c r="C1263" i="8" s="1"/>
  <c r="B1263" i="3"/>
  <c r="B1263" i="8" s="1"/>
  <c r="F1262" i="3"/>
  <c r="A1262" i="8" s="1"/>
  <c r="E1262" i="3"/>
  <c r="E1262" i="8" s="1"/>
  <c r="D1262" i="3"/>
  <c r="D1262" i="8" s="1"/>
  <c r="C1262" i="3"/>
  <c r="C1262" i="8" s="1"/>
  <c r="B1262" i="3"/>
  <c r="B1262" i="8" s="1"/>
  <c r="F1261" i="3"/>
  <c r="A1261" i="8" s="1"/>
  <c r="E1261" i="3"/>
  <c r="E1261" i="8" s="1"/>
  <c r="D1261" i="3"/>
  <c r="D1261" i="8" s="1"/>
  <c r="C1261" i="3"/>
  <c r="C1261" i="8" s="1"/>
  <c r="B1261" i="3"/>
  <c r="B1261" i="8" s="1"/>
  <c r="F1260" i="3"/>
  <c r="A1260" i="8" s="1"/>
  <c r="E1260" i="3"/>
  <c r="E1260" i="8" s="1"/>
  <c r="D1260" i="3"/>
  <c r="D1260" i="8" s="1"/>
  <c r="C1260" i="3"/>
  <c r="C1260" i="8" s="1"/>
  <c r="B1260" i="3"/>
  <c r="B1260" i="8" s="1"/>
  <c r="F1259" i="3"/>
  <c r="A1259" i="8" s="1"/>
  <c r="E1259" i="3"/>
  <c r="E1259" i="8" s="1"/>
  <c r="D1259" i="3"/>
  <c r="D1259" i="8" s="1"/>
  <c r="C1259" i="3"/>
  <c r="C1259" i="8" s="1"/>
  <c r="B1259" i="3"/>
  <c r="B1259" i="8" s="1"/>
  <c r="F1258" i="3"/>
  <c r="A1258" i="8" s="1"/>
  <c r="E1258" i="3"/>
  <c r="E1258" i="8" s="1"/>
  <c r="D1258" i="3"/>
  <c r="D1258" i="8" s="1"/>
  <c r="C1258" i="3"/>
  <c r="C1258" i="8" s="1"/>
  <c r="B1258" i="3"/>
  <c r="B1258" i="8" s="1"/>
  <c r="F1257" i="3"/>
  <c r="A1257" i="8" s="1"/>
  <c r="E1257" i="3"/>
  <c r="E1257" i="8" s="1"/>
  <c r="D1257" i="3"/>
  <c r="D1257" i="8" s="1"/>
  <c r="C1257" i="3"/>
  <c r="C1257" i="8" s="1"/>
  <c r="B1257" i="3"/>
  <c r="B1257" i="8" s="1"/>
  <c r="F1256" i="3"/>
  <c r="A1256" i="8" s="1"/>
  <c r="E1256" i="3"/>
  <c r="E1256" i="8" s="1"/>
  <c r="D1256" i="3"/>
  <c r="D1256" i="8" s="1"/>
  <c r="C1256" i="3"/>
  <c r="C1256" i="8" s="1"/>
  <c r="B1256" i="3"/>
  <c r="B1256" i="8" s="1"/>
  <c r="F1255" i="3"/>
  <c r="A1255" i="8" s="1"/>
  <c r="E1255" i="3"/>
  <c r="E1255" i="8" s="1"/>
  <c r="D1255" i="3"/>
  <c r="D1255" i="8" s="1"/>
  <c r="C1255" i="3"/>
  <c r="C1255" i="8" s="1"/>
  <c r="B1255" i="3"/>
  <c r="B1255" i="8" s="1"/>
  <c r="F1254" i="3"/>
  <c r="A1254" i="8" s="1"/>
  <c r="E1254" i="3"/>
  <c r="E1254" i="8" s="1"/>
  <c r="D1254" i="3"/>
  <c r="D1254" i="8" s="1"/>
  <c r="C1254" i="3"/>
  <c r="C1254" i="8" s="1"/>
  <c r="B1254" i="3"/>
  <c r="B1254" i="8" s="1"/>
  <c r="F1253" i="3"/>
  <c r="A1253" i="8" s="1"/>
  <c r="E1253" i="3"/>
  <c r="E1253" i="8" s="1"/>
  <c r="D1253" i="3"/>
  <c r="D1253" i="8" s="1"/>
  <c r="C1253" i="3"/>
  <c r="C1253" i="8" s="1"/>
  <c r="B1253" i="3"/>
  <c r="B1253" i="8" s="1"/>
  <c r="F1252" i="3"/>
  <c r="A1252" i="8" s="1"/>
  <c r="E1252" i="3"/>
  <c r="E1252" i="8" s="1"/>
  <c r="D1252" i="3"/>
  <c r="D1252" i="8" s="1"/>
  <c r="C1252" i="3"/>
  <c r="C1252" i="8" s="1"/>
  <c r="B1252" i="3"/>
  <c r="B1252" i="8" s="1"/>
  <c r="F1251" i="3"/>
  <c r="A1251" i="8" s="1"/>
  <c r="E1251" i="3"/>
  <c r="E1251" i="8" s="1"/>
  <c r="D1251" i="3"/>
  <c r="D1251" i="8" s="1"/>
  <c r="C1251" i="3"/>
  <c r="C1251" i="8" s="1"/>
  <c r="B1251" i="3"/>
  <c r="B1251" i="8" s="1"/>
  <c r="F1250" i="3"/>
  <c r="A1250" i="8" s="1"/>
  <c r="E1250" i="3"/>
  <c r="E1250" i="8" s="1"/>
  <c r="D1250" i="3"/>
  <c r="D1250" i="8" s="1"/>
  <c r="C1250" i="3"/>
  <c r="C1250" i="8" s="1"/>
  <c r="B1250" i="3"/>
  <c r="B1250" i="8" s="1"/>
  <c r="F1249" i="3"/>
  <c r="A1249" i="8" s="1"/>
  <c r="E1249" i="3"/>
  <c r="E1249" i="8" s="1"/>
  <c r="D1249" i="3"/>
  <c r="D1249" i="8" s="1"/>
  <c r="C1249" i="3"/>
  <c r="C1249" i="8" s="1"/>
  <c r="B1249" i="3"/>
  <c r="B1249" i="8" s="1"/>
  <c r="F1248" i="3"/>
  <c r="A1248" i="8" s="1"/>
  <c r="E1248" i="3"/>
  <c r="E1248" i="8" s="1"/>
  <c r="D1248" i="3"/>
  <c r="D1248" i="8" s="1"/>
  <c r="C1248" i="3"/>
  <c r="C1248" i="8" s="1"/>
  <c r="B1248" i="3"/>
  <c r="B1248" i="8" s="1"/>
  <c r="F1247" i="3"/>
  <c r="A1247" i="8" s="1"/>
  <c r="E1247" i="3"/>
  <c r="E1247" i="8" s="1"/>
  <c r="D1247" i="3"/>
  <c r="D1247" i="8" s="1"/>
  <c r="C1247" i="3"/>
  <c r="C1247" i="8" s="1"/>
  <c r="B1247" i="3"/>
  <c r="B1247" i="8" s="1"/>
  <c r="F1246" i="3"/>
  <c r="A1246" i="8" s="1"/>
  <c r="E1246" i="3"/>
  <c r="E1246" i="8" s="1"/>
  <c r="D1246" i="3"/>
  <c r="D1246" i="8" s="1"/>
  <c r="C1246" i="3"/>
  <c r="C1246" i="8" s="1"/>
  <c r="B1246" i="3"/>
  <c r="B1246" i="8" s="1"/>
  <c r="F1245" i="3"/>
  <c r="A1245" i="8" s="1"/>
  <c r="E1245" i="3"/>
  <c r="E1245" i="8" s="1"/>
  <c r="D1245" i="3"/>
  <c r="D1245" i="8" s="1"/>
  <c r="C1245" i="3"/>
  <c r="C1245" i="8" s="1"/>
  <c r="B1245" i="3"/>
  <c r="B1245" i="8" s="1"/>
  <c r="F1244" i="3"/>
  <c r="A1244" i="8" s="1"/>
  <c r="E1244" i="3"/>
  <c r="E1244" i="8" s="1"/>
  <c r="D1244" i="3"/>
  <c r="D1244" i="8" s="1"/>
  <c r="C1244" i="3"/>
  <c r="C1244" i="8" s="1"/>
  <c r="B1244" i="3"/>
  <c r="B1244" i="8" s="1"/>
  <c r="F1243" i="3"/>
  <c r="A1243" i="8" s="1"/>
  <c r="E1243" i="3"/>
  <c r="E1243" i="8" s="1"/>
  <c r="D1243" i="3"/>
  <c r="D1243" i="8" s="1"/>
  <c r="C1243" i="3"/>
  <c r="C1243" i="8" s="1"/>
  <c r="B1243" i="3"/>
  <c r="B1243" i="8" s="1"/>
  <c r="F1242" i="3"/>
  <c r="A1242" i="8" s="1"/>
  <c r="E1242" i="3"/>
  <c r="E1242" i="8" s="1"/>
  <c r="D1242" i="3"/>
  <c r="D1242" i="8" s="1"/>
  <c r="C1242" i="3"/>
  <c r="C1242" i="8" s="1"/>
  <c r="B1242" i="3"/>
  <c r="B1242" i="8" s="1"/>
  <c r="F1241" i="3"/>
  <c r="A1241" i="8" s="1"/>
  <c r="E1241" i="3"/>
  <c r="E1241" i="8" s="1"/>
  <c r="D1241" i="3"/>
  <c r="D1241" i="8" s="1"/>
  <c r="C1241" i="3"/>
  <c r="C1241" i="8" s="1"/>
  <c r="B1241" i="3"/>
  <c r="B1241" i="8" s="1"/>
  <c r="F1240" i="3"/>
  <c r="A1240" i="8" s="1"/>
  <c r="E1240" i="3"/>
  <c r="E1240" i="8" s="1"/>
  <c r="D1240" i="3"/>
  <c r="D1240" i="8" s="1"/>
  <c r="C1240" i="3"/>
  <c r="C1240" i="8" s="1"/>
  <c r="B1240" i="3"/>
  <c r="B1240" i="8" s="1"/>
  <c r="F1239" i="3"/>
  <c r="A1239" i="8" s="1"/>
  <c r="E1239" i="3"/>
  <c r="E1239" i="8" s="1"/>
  <c r="D1239" i="3"/>
  <c r="D1239" i="8" s="1"/>
  <c r="C1239" i="3"/>
  <c r="C1239" i="8" s="1"/>
  <c r="B1239" i="3"/>
  <c r="B1239" i="8" s="1"/>
  <c r="F1238" i="3"/>
  <c r="A1238" i="8" s="1"/>
  <c r="E1238" i="3"/>
  <c r="E1238" i="8" s="1"/>
  <c r="D1238" i="3"/>
  <c r="D1238" i="8" s="1"/>
  <c r="C1238" i="3"/>
  <c r="C1238" i="8" s="1"/>
  <c r="B1238" i="3"/>
  <c r="B1238" i="8" s="1"/>
  <c r="F1237" i="3"/>
  <c r="A1237" i="8" s="1"/>
  <c r="E1237" i="3"/>
  <c r="E1237" i="8" s="1"/>
  <c r="D1237" i="3"/>
  <c r="D1237" i="8" s="1"/>
  <c r="C1237" i="3"/>
  <c r="C1237" i="8" s="1"/>
  <c r="B1237" i="3"/>
  <c r="B1237" i="8" s="1"/>
  <c r="F1236" i="3"/>
  <c r="A1236" i="8" s="1"/>
  <c r="E1236" i="3"/>
  <c r="E1236" i="8" s="1"/>
  <c r="D1236" i="3"/>
  <c r="D1236" i="8" s="1"/>
  <c r="C1236" i="3"/>
  <c r="C1236" i="8" s="1"/>
  <c r="B1236" i="3"/>
  <c r="B1236" i="8" s="1"/>
  <c r="F1235" i="3"/>
  <c r="A1235" i="8" s="1"/>
  <c r="E1235" i="3"/>
  <c r="E1235" i="8" s="1"/>
  <c r="D1235" i="3"/>
  <c r="D1235" i="8" s="1"/>
  <c r="C1235" i="3"/>
  <c r="C1235" i="8" s="1"/>
  <c r="B1235" i="3"/>
  <c r="B1235" i="8" s="1"/>
  <c r="F1234" i="3"/>
  <c r="A1234" i="8" s="1"/>
  <c r="E1234" i="3"/>
  <c r="E1234" i="8" s="1"/>
  <c r="D1234" i="3"/>
  <c r="D1234" i="8" s="1"/>
  <c r="C1234" i="3"/>
  <c r="C1234" i="8" s="1"/>
  <c r="B1234" i="3"/>
  <c r="B1234" i="8" s="1"/>
  <c r="F1233" i="3"/>
  <c r="A1233" i="8" s="1"/>
  <c r="E1233" i="3"/>
  <c r="E1233" i="8" s="1"/>
  <c r="D1233" i="3"/>
  <c r="D1233" i="8" s="1"/>
  <c r="C1233" i="3"/>
  <c r="C1233" i="8" s="1"/>
  <c r="B1233" i="3"/>
  <c r="B1233" i="8" s="1"/>
  <c r="F1232" i="3"/>
  <c r="A1232" i="8" s="1"/>
  <c r="E1232" i="3"/>
  <c r="E1232" i="8" s="1"/>
  <c r="D1232" i="3"/>
  <c r="D1232" i="8" s="1"/>
  <c r="C1232" i="3"/>
  <c r="C1232" i="8" s="1"/>
  <c r="B1232" i="3"/>
  <c r="B1232" i="8" s="1"/>
  <c r="F1231" i="3"/>
  <c r="A1231" i="8" s="1"/>
  <c r="E1231" i="3"/>
  <c r="E1231" i="8" s="1"/>
  <c r="D1231" i="3"/>
  <c r="D1231" i="8" s="1"/>
  <c r="C1231" i="3"/>
  <c r="C1231" i="8" s="1"/>
  <c r="B1231" i="3"/>
  <c r="B1231" i="8" s="1"/>
  <c r="F1230" i="3"/>
  <c r="A1230" i="8" s="1"/>
  <c r="E1230" i="3"/>
  <c r="E1230" i="8" s="1"/>
  <c r="D1230" i="3"/>
  <c r="D1230" i="8" s="1"/>
  <c r="C1230" i="3"/>
  <c r="C1230" i="8" s="1"/>
  <c r="B1230" i="3"/>
  <c r="B1230" i="8" s="1"/>
  <c r="F1229" i="3"/>
  <c r="A1229" i="8" s="1"/>
  <c r="E1229" i="3"/>
  <c r="E1229" i="8" s="1"/>
  <c r="D1229" i="3"/>
  <c r="D1229" i="8" s="1"/>
  <c r="C1229" i="3"/>
  <c r="C1229" i="8" s="1"/>
  <c r="B1229" i="3"/>
  <c r="B1229" i="8" s="1"/>
  <c r="F1228" i="3"/>
  <c r="A1228" i="8" s="1"/>
  <c r="E1228" i="3"/>
  <c r="E1228" i="8" s="1"/>
  <c r="D1228" i="3"/>
  <c r="D1228" i="8" s="1"/>
  <c r="C1228" i="3"/>
  <c r="C1228" i="8" s="1"/>
  <c r="B1228" i="3"/>
  <c r="B1228" i="8" s="1"/>
  <c r="F1227" i="3"/>
  <c r="A1227" i="8" s="1"/>
  <c r="E1227" i="3"/>
  <c r="E1227" i="8" s="1"/>
  <c r="D1227" i="3"/>
  <c r="D1227" i="8" s="1"/>
  <c r="C1227" i="3"/>
  <c r="C1227" i="8" s="1"/>
  <c r="B1227" i="3"/>
  <c r="B1227" i="8" s="1"/>
  <c r="F1226" i="3"/>
  <c r="A1226" i="8" s="1"/>
  <c r="E1226" i="3"/>
  <c r="E1226" i="8" s="1"/>
  <c r="D1226" i="3"/>
  <c r="D1226" i="8" s="1"/>
  <c r="C1226" i="3"/>
  <c r="C1226" i="8" s="1"/>
  <c r="B1226" i="3"/>
  <c r="B1226" i="8" s="1"/>
  <c r="F1225" i="3"/>
  <c r="A1225" i="8" s="1"/>
  <c r="E1225" i="3"/>
  <c r="E1225" i="8" s="1"/>
  <c r="D1225" i="3"/>
  <c r="D1225" i="8" s="1"/>
  <c r="C1225" i="3"/>
  <c r="C1225" i="8" s="1"/>
  <c r="B1225" i="3"/>
  <c r="B1225" i="8" s="1"/>
  <c r="F1224" i="3"/>
  <c r="A1224" i="8" s="1"/>
  <c r="E1224" i="3"/>
  <c r="E1224" i="8" s="1"/>
  <c r="D1224" i="3"/>
  <c r="D1224" i="8" s="1"/>
  <c r="C1224" i="3"/>
  <c r="C1224" i="8" s="1"/>
  <c r="B1224" i="3"/>
  <c r="B1224" i="8" s="1"/>
  <c r="F1223" i="3"/>
  <c r="A1223" i="8" s="1"/>
  <c r="E1223" i="3"/>
  <c r="E1223" i="8" s="1"/>
  <c r="D1223" i="3"/>
  <c r="D1223" i="8" s="1"/>
  <c r="C1223" i="3"/>
  <c r="C1223" i="8" s="1"/>
  <c r="B1223" i="3"/>
  <c r="B1223" i="8" s="1"/>
  <c r="F1222" i="3"/>
  <c r="A1222" i="8" s="1"/>
  <c r="E1222" i="3"/>
  <c r="E1222" i="8" s="1"/>
  <c r="D1222" i="3"/>
  <c r="D1222" i="8" s="1"/>
  <c r="C1222" i="3"/>
  <c r="C1222" i="8" s="1"/>
  <c r="B1222" i="3"/>
  <c r="B1222" i="8" s="1"/>
  <c r="F1221" i="3"/>
  <c r="A1221" i="8" s="1"/>
  <c r="E1221" i="3"/>
  <c r="E1221" i="8" s="1"/>
  <c r="D1221" i="3"/>
  <c r="D1221" i="8" s="1"/>
  <c r="C1221" i="3"/>
  <c r="C1221" i="8" s="1"/>
  <c r="B1221" i="3"/>
  <c r="B1221" i="8" s="1"/>
  <c r="F1220" i="3"/>
  <c r="A1220" i="8" s="1"/>
  <c r="E1220" i="3"/>
  <c r="E1220" i="8" s="1"/>
  <c r="D1220" i="3"/>
  <c r="D1220" i="8" s="1"/>
  <c r="C1220" i="3"/>
  <c r="C1220" i="8" s="1"/>
  <c r="B1220" i="3"/>
  <c r="B1220" i="8" s="1"/>
  <c r="F1219" i="3"/>
  <c r="A1219" i="8" s="1"/>
  <c r="E1219" i="3"/>
  <c r="E1219" i="8" s="1"/>
  <c r="D1219" i="3"/>
  <c r="D1219" i="8" s="1"/>
  <c r="C1219" i="3"/>
  <c r="C1219" i="8" s="1"/>
  <c r="B1219" i="3"/>
  <c r="B1219" i="8" s="1"/>
  <c r="F1218" i="3"/>
  <c r="A1218" i="8" s="1"/>
  <c r="E1218" i="3"/>
  <c r="E1218" i="8" s="1"/>
  <c r="D1218" i="3"/>
  <c r="D1218" i="8" s="1"/>
  <c r="C1218" i="3"/>
  <c r="C1218" i="8" s="1"/>
  <c r="B1218" i="3"/>
  <c r="B1218" i="8" s="1"/>
  <c r="F1217" i="3"/>
  <c r="A1217" i="8" s="1"/>
  <c r="E1217" i="3"/>
  <c r="E1217" i="8" s="1"/>
  <c r="D1217" i="3"/>
  <c r="D1217" i="8" s="1"/>
  <c r="C1217" i="3"/>
  <c r="C1217" i="8" s="1"/>
  <c r="B1217" i="3"/>
  <c r="B1217" i="8" s="1"/>
  <c r="F1216" i="3"/>
  <c r="A1216" i="8" s="1"/>
  <c r="E1216" i="3"/>
  <c r="E1216" i="8" s="1"/>
  <c r="D1216" i="3"/>
  <c r="D1216" i="8" s="1"/>
  <c r="C1216" i="3"/>
  <c r="C1216" i="8" s="1"/>
  <c r="B1216" i="3"/>
  <c r="B1216" i="8" s="1"/>
  <c r="F1215" i="3"/>
  <c r="A1215" i="8" s="1"/>
  <c r="E1215" i="3"/>
  <c r="E1215" i="8" s="1"/>
  <c r="D1215" i="3"/>
  <c r="D1215" i="8" s="1"/>
  <c r="C1215" i="3"/>
  <c r="C1215" i="8" s="1"/>
  <c r="B1215" i="3"/>
  <c r="B1215" i="8" s="1"/>
  <c r="F1214" i="3"/>
  <c r="A1214" i="8" s="1"/>
  <c r="E1214" i="3"/>
  <c r="E1214" i="8" s="1"/>
  <c r="D1214" i="3"/>
  <c r="D1214" i="8" s="1"/>
  <c r="C1214" i="3"/>
  <c r="C1214" i="8" s="1"/>
  <c r="B1214" i="3"/>
  <c r="B1214" i="8" s="1"/>
  <c r="F1213" i="3"/>
  <c r="A1213" i="8" s="1"/>
  <c r="E1213" i="3"/>
  <c r="E1213" i="8" s="1"/>
  <c r="D1213" i="3"/>
  <c r="D1213" i="8" s="1"/>
  <c r="C1213" i="3"/>
  <c r="C1213" i="8" s="1"/>
  <c r="B1213" i="3"/>
  <c r="B1213" i="8" s="1"/>
  <c r="F1212" i="3"/>
  <c r="A1212" i="8" s="1"/>
  <c r="E1212" i="3"/>
  <c r="E1212" i="8" s="1"/>
  <c r="D1212" i="3"/>
  <c r="D1212" i="8" s="1"/>
  <c r="C1212" i="3"/>
  <c r="C1212" i="8" s="1"/>
  <c r="B1212" i="3"/>
  <c r="B1212" i="8" s="1"/>
  <c r="F1211" i="3"/>
  <c r="A1211" i="8" s="1"/>
  <c r="E1211" i="3"/>
  <c r="E1211" i="8" s="1"/>
  <c r="D1211" i="3"/>
  <c r="D1211" i="8" s="1"/>
  <c r="C1211" i="3"/>
  <c r="C1211" i="8" s="1"/>
  <c r="B1211" i="3"/>
  <c r="B1211" i="8" s="1"/>
  <c r="F1210" i="3"/>
  <c r="A1210" i="8" s="1"/>
  <c r="E1210" i="3"/>
  <c r="E1210" i="8" s="1"/>
  <c r="D1210" i="3"/>
  <c r="D1210" i="8" s="1"/>
  <c r="C1210" i="3"/>
  <c r="C1210" i="8" s="1"/>
  <c r="B1210" i="3"/>
  <c r="B1210" i="8" s="1"/>
  <c r="F1209" i="3"/>
  <c r="A1209" i="8" s="1"/>
  <c r="E1209" i="3"/>
  <c r="E1209" i="8" s="1"/>
  <c r="D1209" i="3"/>
  <c r="D1209" i="8" s="1"/>
  <c r="C1209" i="3"/>
  <c r="C1209" i="8" s="1"/>
  <c r="B1209" i="3"/>
  <c r="B1209" i="8" s="1"/>
  <c r="F1208" i="3"/>
  <c r="A1208" i="8" s="1"/>
  <c r="E1208" i="3"/>
  <c r="E1208" i="8" s="1"/>
  <c r="D1208" i="3"/>
  <c r="D1208" i="8" s="1"/>
  <c r="C1208" i="3"/>
  <c r="C1208" i="8" s="1"/>
  <c r="B1208" i="3"/>
  <c r="B1208" i="8" s="1"/>
  <c r="F1207" i="3"/>
  <c r="A1207" i="8" s="1"/>
  <c r="E1207" i="3"/>
  <c r="E1207" i="8" s="1"/>
  <c r="D1207" i="3"/>
  <c r="D1207" i="8" s="1"/>
  <c r="C1207" i="3"/>
  <c r="C1207" i="8" s="1"/>
  <c r="B1207" i="3"/>
  <c r="B1207" i="8" s="1"/>
  <c r="F1206" i="3"/>
  <c r="A1206" i="8" s="1"/>
  <c r="E1206" i="3"/>
  <c r="E1206" i="8" s="1"/>
  <c r="D1206" i="3"/>
  <c r="D1206" i="8" s="1"/>
  <c r="C1206" i="3"/>
  <c r="C1206" i="8" s="1"/>
  <c r="B1206" i="3"/>
  <c r="B1206" i="8" s="1"/>
  <c r="F1205" i="3"/>
  <c r="A1205" i="8" s="1"/>
  <c r="E1205" i="3"/>
  <c r="E1205" i="8" s="1"/>
  <c r="D1205" i="3"/>
  <c r="D1205" i="8" s="1"/>
  <c r="C1205" i="3"/>
  <c r="C1205" i="8" s="1"/>
  <c r="B1205" i="3"/>
  <c r="B1205" i="8" s="1"/>
  <c r="F1204" i="3"/>
  <c r="A1204" i="8" s="1"/>
  <c r="E1204" i="3"/>
  <c r="E1204" i="8" s="1"/>
  <c r="D1204" i="3"/>
  <c r="D1204" i="8" s="1"/>
  <c r="C1204" i="3"/>
  <c r="C1204" i="8" s="1"/>
  <c r="B1204" i="3"/>
  <c r="B1204" i="8" s="1"/>
  <c r="F1203" i="3"/>
  <c r="A1203" i="8" s="1"/>
  <c r="E1203" i="3"/>
  <c r="E1203" i="8" s="1"/>
  <c r="D1203" i="3"/>
  <c r="D1203" i="8" s="1"/>
  <c r="C1203" i="3"/>
  <c r="C1203" i="8" s="1"/>
  <c r="B1203" i="3"/>
  <c r="B1203" i="8" s="1"/>
  <c r="F1202" i="3"/>
  <c r="A1202" i="8" s="1"/>
  <c r="E1202" i="3"/>
  <c r="E1202" i="8" s="1"/>
  <c r="D1202" i="3"/>
  <c r="D1202" i="8" s="1"/>
  <c r="C1202" i="3"/>
  <c r="C1202" i="8" s="1"/>
  <c r="B1202" i="3"/>
  <c r="B1202" i="8" s="1"/>
  <c r="F1201" i="3"/>
  <c r="A1201" i="8" s="1"/>
  <c r="E1201" i="3"/>
  <c r="E1201" i="8" s="1"/>
  <c r="D1201" i="3"/>
  <c r="D1201" i="8" s="1"/>
  <c r="C1201" i="3"/>
  <c r="C1201" i="8" s="1"/>
  <c r="B1201" i="3"/>
  <c r="B1201" i="8" s="1"/>
  <c r="F1200" i="3"/>
  <c r="A1200" i="8" s="1"/>
  <c r="E1200" i="3"/>
  <c r="E1200" i="8" s="1"/>
  <c r="D1200" i="3"/>
  <c r="D1200" i="8" s="1"/>
  <c r="C1200" i="3"/>
  <c r="C1200" i="8" s="1"/>
  <c r="B1200" i="3"/>
  <c r="B1200" i="8" s="1"/>
  <c r="F1199" i="3"/>
  <c r="A1199" i="8" s="1"/>
  <c r="E1199" i="3"/>
  <c r="E1199" i="8" s="1"/>
  <c r="D1199" i="3"/>
  <c r="D1199" i="8" s="1"/>
  <c r="C1199" i="3"/>
  <c r="C1199" i="8" s="1"/>
  <c r="B1199" i="3"/>
  <c r="B1199" i="8" s="1"/>
  <c r="F1198" i="3"/>
  <c r="A1198" i="8" s="1"/>
  <c r="E1198" i="3"/>
  <c r="E1198" i="8" s="1"/>
  <c r="D1198" i="3"/>
  <c r="D1198" i="8" s="1"/>
  <c r="C1198" i="3"/>
  <c r="C1198" i="8" s="1"/>
  <c r="B1198" i="3"/>
  <c r="B1198" i="8" s="1"/>
  <c r="F1197" i="3"/>
  <c r="A1197" i="8" s="1"/>
  <c r="E1197" i="3"/>
  <c r="E1197" i="8" s="1"/>
  <c r="D1197" i="3"/>
  <c r="D1197" i="8" s="1"/>
  <c r="C1197" i="3"/>
  <c r="C1197" i="8" s="1"/>
  <c r="B1197" i="3"/>
  <c r="B1197" i="8" s="1"/>
  <c r="F1196" i="3"/>
  <c r="A1196" i="8" s="1"/>
  <c r="E1196" i="3"/>
  <c r="E1196" i="8" s="1"/>
  <c r="D1196" i="3"/>
  <c r="D1196" i="8" s="1"/>
  <c r="C1196" i="3"/>
  <c r="C1196" i="8" s="1"/>
  <c r="B1196" i="3"/>
  <c r="B1196" i="8" s="1"/>
  <c r="F1195" i="3"/>
  <c r="A1195" i="8" s="1"/>
  <c r="E1195" i="3"/>
  <c r="E1195" i="8" s="1"/>
  <c r="D1195" i="3"/>
  <c r="D1195" i="8" s="1"/>
  <c r="C1195" i="3"/>
  <c r="C1195" i="8" s="1"/>
  <c r="B1195" i="3"/>
  <c r="B1195" i="8" s="1"/>
  <c r="F1194" i="3"/>
  <c r="A1194" i="8" s="1"/>
  <c r="E1194" i="3"/>
  <c r="E1194" i="8" s="1"/>
  <c r="D1194" i="3"/>
  <c r="D1194" i="8" s="1"/>
  <c r="C1194" i="3"/>
  <c r="C1194" i="8" s="1"/>
  <c r="B1194" i="3"/>
  <c r="B1194" i="8" s="1"/>
  <c r="F1193" i="3"/>
  <c r="A1193" i="8" s="1"/>
  <c r="E1193" i="3"/>
  <c r="E1193" i="8" s="1"/>
  <c r="D1193" i="3"/>
  <c r="D1193" i="8" s="1"/>
  <c r="C1193" i="3"/>
  <c r="C1193" i="8" s="1"/>
  <c r="B1193" i="3"/>
  <c r="B1193" i="8" s="1"/>
  <c r="F1192" i="3"/>
  <c r="A1192" i="8" s="1"/>
  <c r="E1192" i="3"/>
  <c r="E1192" i="8" s="1"/>
  <c r="D1192" i="3"/>
  <c r="D1192" i="8" s="1"/>
  <c r="C1192" i="3"/>
  <c r="C1192" i="8" s="1"/>
  <c r="B1192" i="3"/>
  <c r="B1192" i="8" s="1"/>
  <c r="F1191" i="3"/>
  <c r="A1191" i="8" s="1"/>
  <c r="E1191" i="3"/>
  <c r="E1191" i="8" s="1"/>
  <c r="D1191" i="3"/>
  <c r="D1191" i="8" s="1"/>
  <c r="C1191" i="3"/>
  <c r="C1191" i="8" s="1"/>
  <c r="B1191" i="3"/>
  <c r="B1191" i="8" s="1"/>
  <c r="F1190" i="3"/>
  <c r="A1190" i="8" s="1"/>
  <c r="E1190" i="3"/>
  <c r="E1190" i="8" s="1"/>
  <c r="D1190" i="3"/>
  <c r="D1190" i="8" s="1"/>
  <c r="C1190" i="3"/>
  <c r="C1190" i="8" s="1"/>
  <c r="B1190" i="3"/>
  <c r="B1190" i="8" s="1"/>
  <c r="F1189" i="3"/>
  <c r="A1189" i="8" s="1"/>
  <c r="E1189" i="3"/>
  <c r="E1189" i="8" s="1"/>
  <c r="D1189" i="3"/>
  <c r="D1189" i="8" s="1"/>
  <c r="C1189" i="3"/>
  <c r="C1189" i="8" s="1"/>
  <c r="B1189" i="3"/>
  <c r="B1189" i="8" s="1"/>
  <c r="F1188" i="3"/>
  <c r="A1188" i="8" s="1"/>
  <c r="E1188" i="3"/>
  <c r="E1188" i="8" s="1"/>
  <c r="D1188" i="3"/>
  <c r="D1188" i="8" s="1"/>
  <c r="C1188" i="3"/>
  <c r="C1188" i="8" s="1"/>
  <c r="B1188" i="3"/>
  <c r="B1188" i="8" s="1"/>
  <c r="F1187" i="3"/>
  <c r="A1187" i="8" s="1"/>
  <c r="E1187" i="3"/>
  <c r="E1187" i="8" s="1"/>
  <c r="D1187" i="3"/>
  <c r="D1187" i="8" s="1"/>
  <c r="C1187" i="3"/>
  <c r="C1187" i="8" s="1"/>
  <c r="B1187" i="3"/>
  <c r="B1187" i="8" s="1"/>
  <c r="F1186" i="3"/>
  <c r="A1186" i="8" s="1"/>
  <c r="E1186" i="3"/>
  <c r="E1186" i="8" s="1"/>
  <c r="D1186" i="3"/>
  <c r="D1186" i="8" s="1"/>
  <c r="C1186" i="3"/>
  <c r="C1186" i="8" s="1"/>
  <c r="B1186" i="3"/>
  <c r="B1186" i="8" s="1"/>
  <c r="F1185" i="3"/>
  <c r="A1185" i="8" s="1"/>
  <c r="E1185" i="3"/>
  <c r="E1185" i="8" s="1"/>
  <c r="D1185" i="3"/>
  <c r="D1185" i="8" s="1"/>
  <c r="C1185" i="3"/>
  <c r="C1185" i="8" s="1"/>
  <c r="B1185" i="3"/>
  <c r="B1185" i="8" s="1"/>
  <c r="F1184" i="3"/>
  <c r="A1184" i="8" s="1"/>
  <c r="E1184" i="3"/>
  <c r="E1184" i="8" s="1"/>
  <c r="D1184" i="3"/>
  <c r="D1184" i="8" s="1"/>
  <c r="C1184" i="3"/>
  <c r="C1184" i="8" s="1"/>
  <c r="B1184" i="3"/>
  <c r="B1184" i="8" s="1"/>
  <c r="F1183" i="3"/>
  <c r="A1183" i="8" s="1"/>
  <c r="E1183" i="3"/>
  <c r="E1183" i="8" s="1"/>
  <c r="D1183" i="3"/>
  <c r="D1183" i="8" s="1"/>
  <c r="C1183" i="3"/>
  <c r="C1183" i="8" s="1"/>
  <c r="B1183" i="3"/>
  <c r="B1183" i="8" s="1"/>
  <c r="F1182" i="3"/>
  <c r="A1182" i="8" s="1"/>
  <c r="E1182" i="3"/>
  <c r="E1182" i="8" s="1"/>
  <c r="D1182" i="3"/>
  <c r="D1182" i="8" s="1"/>
  <c r="C1182" i="3"/>
  <c r="C1182" i="8" s="1"/>
  <c r="B1182" i="3"/>
  <c r="B1182" i="8" s="1"/>
  <c r="F1181" i="3"/>
  <c r="A1181" i="8" s="1"/>
  <c r="E1181" i="3"/>
  <c r="E1181" i="8" s="1"/>
  <c r="D1181" i="3"/>
  <c r="D1181" i="8" s="1"/>
  <c r="C1181" i="3"/>
  <c r="C1181" i="8" s="1"/>
  <c r="B1181" i="3"/>
  <c r="B1181" i="8" s="1"/>
  <c r="F1180" i="3"/>
  <c r="A1180" i="8" s="1"/>
  <c r="E1180" i="3"/>
  <c r="E1180" i="8" s="1"/>
  <c r="D1180" i="3"/>
  <c r="D1180" i="8" s="1"/>
  <c r="C1180" i="3"/>
  <c r="C1180" i="8" s="1"/>
  <c r="B1180" i="3"/>
  <c r="B1180" i="8" s="1"/>
  <c r="F1179" i="3"/>
  <c r="A1179" i="8" s="1"/>
  <c r="E1179" i="3"/>
  <c r="E1179" i="8" s="1"/>
  <c r="D1179" i="3"/>
  <c r="D1179" i="8" s="1"/>
  <c r="C1179" i="3"/>
  <c r="C1179" i="8" s="1"/>
  <c r="B1179" i="3"/>
  <c r="B1179" i="8" s="1"/>
  <c r="F1178" i="3"/>
  <c r="A1178" i="8" s="1"/>
  <c r="E1178" i="3"/>
  <c r="E1178" i="8" s="1"/>
  <c r="D1178" i="3"/>
  <c r="D1178" i="8" s="1"/>
  <c r="C1178" i="3"/>
  <c r="C1178" i="8" s="1"/>
  <c r="B1178" i="3"/>
  <c r="B1178" i="8" s="1"/>
  <c r="F1177" i="3"/>
  <c r="A1177" i="8" s="1"/>
  <c r="E1177" i="3"/>
  <c r="E1177" i="8" s="1"/>
  <c r="D1177" i="3"/>
  <c r="D1177" i="8" s="1"/>
  <c r="C1177" i="3"/>
  <c r="C1177" i="8" s="1"/>
  <c r="B1177" i="3"/>
  <c r="B1177" i="8" s="1"/>
  <c r="F1176" i="3"/>
  <c r="A1176" i="8" s="1"/>
  <c r="E1176" i="3"/>
  <c r="E1176" i="8" s="1"/>
  <c r="D1176" i="3"/>
  <c r="D1176" i="8" s="1"/>
  <c r="C1176" i="3"/>
  <c r="C1176" i="8" s="1"/>
  <c r="B1176" i="3"/>
  <c r="B1176" i="8" s="1"/>
  <c r="F1175" i="3"/>
  <c r="A1175" i="8" s="1"/>
  <c r="E1175" i="3"/>
  <c r="E1175" i="8" s="1"/>
  <c r="D1175" i="3"/>
  <c r="D1175" i="8" s="1"/>
  <c r="C1175" i="3"/>
  <c r="C1175" i="8" s="1"/>
  <c r="B1175" i="3"/>
  <c r="B1175" i="8" s="1"/>
  <c r="F1174" i="3"/>
  <c r="A1174" i="8" s="1"/>
  <c r="E1174" i="3"/>
  <c r="E1174" i="8" s="1"/>
  <c r="D1174" i="3"/>
  <c r="D1174" i="8" s="1"/>
  <c r="C1174" i="3"/>
  <c r="C1174" i="8" s="1"/>
  <c r="B1174" i="3"/>
  <c r="B1174" i="8" s="1"/>
  <c r="F1173" i="3"/>
  <c r="A1173" i="8" s="1"/>
  <c r="E1173" i="3"/>
  <c r="E1173" i="8" s="1"/>
  <c r="D1173" i="3"/>
  <c r="D1173" i="8" s="1"/>
  <c r="C1173" i="3"/>
  <c r="C1173" i="8" s="1"/>
  <c r="B1173" i="3"/>
  <c r="B1173" i="8" s="1"/>
  <c r="F1172" i="3"/>
  <c r="A1172" i="8" s="1"/>
  <c r="E1172" i="3"/>
  <c r="E1172" i="8" s="1"/>
  <c r="D1172" i="3"/>
  <c r="D1172" i="8" s="1"/>
  <c r="C1172" i="3"/>
  <c r="C1172" i="8" s="1"/>
  <c r="B1172" i="3"/>
  <c r="B1172" i="8" s="1"/>
  <c r="F1171" i="3"/>
  <c r="A1171" i="8" s="1"/>
  <c r="E1171" i="3"/>
  <c r="E1171" i="8" s="1"/>
  <c r="D1171" i="3"/>
  <c r="D1171" i="8" s="1"/>
  <c r="C1171" i="3"/>
  <c r="C1171" i="8" s="1"/>
  <c r="B1171" i="3"/>
  <c r="B1171" i="8" s="1"/>
  <c r="F1170" i="3"/>
  <c r="A1170" i="8" s="1"/>
  <c r="E1170" i="3"/>
  <c r="E1170" i="8" s="1"/>
  <c r="D1170" i="3"/>
  <c r="D1170" i="8" s="1"/>
  <c r="C1170" i="3"/>
  <c r="C1170" i="8" s="1"/>
  <c r="B1170" i="3"/>
  <c r="B1170" i="8" s="1"/>
  <c r="F1169" i="3"/>
  <c r="A1169" i="8" s="1"/>
  <c r="E1169" i="3"/>
  <c r="E1169" i="8" s="1"/>
  <c r="D1169" i="3"/>
  <c r="D1169" i="8" s="1"/>
  <c r="C1169" i="3"/>
  <c r="C1169" i="8" s="1"/>
  <c r="B1169" i="3"/>
  <c r="B1169" i="8" s="1"/>
  <c r="F1168" i="3"/>
  <c r="A1168" i="8" s="1"/>
  <c r="E1168" i="3"/>
  <c r="E1168" i="8" s="1"/>
  <c r="D1168" i="3"/>
  <c r="D1168" i="8" s="1"/>
  <c r="C1168" i="3"/>
  <c r="C1168" i="8" s="1"/>
  <c r="B1168" i="3"/>
  <c r="B1168" i="8" s="1"/>
  <c r="F1167" i="3"/>
  <c r="A1167" i="8" s="1"/>
  <c r="E1167" i="3"/>
  <c r="E1167" i="8" s="1"/>
  <c r="D1167" i="3"/>
  <c r="D1167" i="8" s="1"/>
  <c r="C1167" i="3"/>
  <c r="C1167" i="8" s="1"/>
  <c r="B1167" i="3"/>
  <c r="B1167" i="8" s="1"/>
  <c r="F1166" i="3"/>
  <c r="A1166" i="8" s="1"/>
  <c r="E1166" i="3"/>
  <c r="E1166" i="8" s="1"/>
  <c r="D1166" i="3"/>
  <c r="D1166" i="8" s="1"/>
  <c r="C1166" i="3"/>
  <c r="C1166" i="8" s="1"/>
  <c r="B1166" i="3"/>
  <c r="B1166" i="8" s="1"/>
  <c r="F1165" i="3"/>
  <c r="A1165" i="8" s="1"/>
  <c r="E1165" i="3"/>
  <c r="E1165" i="8" s="1"/>
  <c r="D1165" i="3"/>
  <c r="D1165" i="8" s="1"/>
  <c r="C1165" i="3"/>
  <c r="C1165" i="8" s="1"/>
  <c r="B1165" i="3"/>
  <c r="B1165" i="8" s="1"/>
  <c r="F1164" i="3"/>
  <c r="A1164" i="8" s="1"/>
  <c r="E1164" i="3"/>
  <c r="E1164" i="8" s="1"/>
  <c r="D1164" i="3"/>
  <c r="D1164" i="8" s="1"/>
  <c r="C1164" i="3"/>
  <c r="C1164" i="8" s="1"/>
  <c r="B1164" i="3"/>
  <c r="B1164" i="8" s="1"/>
  <c r="F1163" i="3"/>
  <c r="A1163" i="8" s="1"/>
  <c r="E1163" i="3"/>
  <c r="E1163" i="8" s="1"/>
  <c r="D1163" i="3"/>
  <c r="D1163" i="8" s="1"/>
  <c r="C1163" i="3"/>
  <c r="C1163" i="8" s="1"/>
  <c r="B1163" i="3"/>
  <c r="B1163" i="8" s="1"/>
  <c r="F1162" i="3"/>
  <c r="A1162" i="8" s="1"/>
  <c r="E1162" i="3"/>
  <c r="E1162" i="8" s="1"/>
  <c r="D1162" i="3"/>
  <c r="D1162" i="8" s="1"/>
  <c r="C1162" i="3"/>
  <c r="C1162" i="8" s="1"/>
  <c r="B1162" i="3"/>
  <c r="B1162" i="8" s="1"/>
  <c r="F1161" i="3"/>
  <c r="A1161" i="8" s="1"/>
  <c r="E1161" i="3"/>
  <c r="E1161" i="8" s="1"/>
  <c r="D1161" i="3"/>
  <c r="D1161" i="8" s="1"/>
  <c r="C1161" i="3"/>
  <c r="C1161" i="8" s="1"/>
  <c r="B1161" i="3"/>
  <c r="B1161" i="8" s="1"/>
  <c r="F1160" i="3"/>
  <c r="A1160" i="8" s="1"/>
  <c r="E1160" i="3"/>
  <c r="E1160" i="8" s="1"/>
  <c r="D1160" i="3"/>
  <c r="D1160" i="8" s="1"/>
  <c r="C1160" i="3"/>
  <c r="C1160" i="8" s="1"/>
  <c r="B1160" i="3"/>
  <c r="B1160" i="8" s="1"/>
  <c r="F1159" i="3"/>
  <c r="A1159" i="8" s="1"/>
  <c r="E1159" i="3"/>
  <c r="E1159" i="8" s="1"/>
  <c r="D1159" i="3"/>
  <c r="D1159" i="8" s="1"/>
  <c r="C1159" i="3"/>
  <c r="C1159" i="8" s="1"/>
  <c r="B1159" i="3"/>
  <c r="B1159" i="8" s="1"/>
  <c r="F1158" i="3"/>
  <c r="A1158" i="8" s="1"/>
  <c r="E1158" i="3"/>
  <c r="E1158" i="8" s="1"/>
  <c r="D1158" i="3"/>
  <c r="D1158" i="8" s="1"/>
  <c r="C1158" i="3"/>
  <c r="C1158" i="8" s="1"/>
  <c r="B1158" i="3"/>
  <c r="B1158" i="8" s="1"/>
  <c r="F1157" i="3"/>
  <c r="A1157" i="8" s="1"/>
  <c r="E1157" i="3"/>
  <c r="E1157" i="8" s="1"/>
  <c r="D1157" i="3"/>
  <c r="D1157" i="8" s="1"/>
  <c r="C1157" i="3"/>
  <c r="C1157" i="8" s="1"/>
  <c r="B1157" i="3"/>
  <c r="B1157" i="8" s="1"/>
  <c r="F1156" i="3"/>
  <c r="A1156" i="8" s="1"/>
  <c r="E1156" i="3"/>
  <c r="E1156" i="8" s="1"/>
  <c r="D1156" i="3"/>
  <c r="D1156" i="8" s="1"/>
  <c r="C1156" i="3"/>
  <c r="C1156" i="8" s="1"/>
  <c r="B1156" i="3"/>
  <c r="B1156" i="8" s="1"/>
  <c r="F1155" i="3"/>
  <c r="A1155" i="8" s="1"/>
  <c r="E1155" i="3"/>
  <c r="E1155" i="8" s="1"/>
  <c r="D1155" i="3"/>
  <c r="D1155" i="8" s="1"/>
  <c r="C1155" i="3"/>
  <c r="C1155" i="8" s="1"/>
  <c r="B1155" i="3"/>
  <c r="B1155" i="8" s="1"/>
  <c r="F1154" i="3"/>
  <c r="A1154" i="8" s="1"/>
  <c r="E1154" i="3"/>
  <c r="E1154" i="8" s="1"/>
  <c r="D1154" i="3"/>
  <c r="D1154" i="8" s="1"/>
  <c r="C1154" i="3"/>
  <c r="C1154" i="8" s="1"/>
  <c r="B1154" i="3"/>
  <c r="B1154" i="8" s="1"/>
  <c r="F1153" i="3"/>
  <c r="A1153" i="8" s="1"/>
  <c r="E1153" i="3"/>
  <c r="E1153" i="8" s="1"/>
  <c r="D1153" i="3"/>
  <c r="D1153" i="8" s="1"/>
  <c r="C1153" i="3"/>
  <c r="C1153" i="8" s="1"/>
  <c r="B1153" i="3"/>
  <c r="B1153" i="8" s="1"/>
  <c r="F1152" i="3"/>
  <c r="A1152" i="8" s="1"/>
  <c r="E1152" i="3"/>
  <c r="E1152" i="8" s="1"/>
  <c r="D1152" i="3"/>
  <c r="D1152" i="8" s="1"/>
  <c r="C1152" i="3"/>
  <c r="C1152" i="8" s="1"/>
  <c r="B1152" i="3"/>
  <c r="B1152" i="8" s="1"/>
  <c r="F1151" i="3"/>
  <c r="A1151" i="8" s="1"/>
  <c r="E1151" i="3"/>
  <c r="E1151" i="8" s="1"/>
  <c r="D1151" i="3"/>
  <c r="D1151" i="8" s="1"/>
  <c r="C1151" i="3"/>
  <c r="C1151" i="8" s="1"/>
  <c r="B1151" i="3"/>
  <c r="B1151" i="8" s="1"/>
  <c r="F1150" i="3"/>
  <c r="A1150" i="8" s="1"/>
  <c r="E1150" i="3"/>
  <c r="E1150" i="8" s="1"/>
  <c r="D1150" i="3"/>
  <c r="D1150" i="8" s="1"/>
  <c r="C1150" i="3"/>
  <c r="C1150" i="8" s="1"/>
  <c r="B1150" i="3"/>
  <c r="B1150" i="8" s="1"/>
  <c r="F1149" i="3"/>
  <c r="A1149" i="8" s="1"/>
  <c r="E1149" i="3"/>
  <c r="E1149" i="8" s="1"/>
  <c r="D1149" i="3"/>
  <c r="D1149" i="8" s="1"/>
  <c r="C1149" i="3"/>
  <c r="C1149" i="8" s="1"/>
  <c r="B1149" i="3"/>
  <c r="B1149" i="8" s="1"/>
  <c r="F1148" i="3"/>
  <c r="A1148" i="8" s="1"/>
  <c r="E1148" i="3"/>
  <c r="E1148" i="8" s="1"/>
  <c r="D1148" i="3"/>
  <c r="D1148" i="8" s="1"/>
  <c r="C1148" i="3"/>
  <c r="C1148" i="8" s="1"/>
  <c r="B1148" i="3"/>
  <c r="B1148" i="8" s="1"/>
  <c r="F1147" i="3"/>
  <c r="A1147" i="8" s="1"/>
  <c r="E1147" i="3"/>
  <c r="E1147" i="8" s="1"/>
  <c r="D1147" i="3"/>
  <c r="D1147" i="8" s="1"/>
  <c r="C1147" i="3"/>
  <c r="C1147" i="8" s="1"/>
  <c r="B1147" i="3"/>
  <c r="B1147" i="8" s="1"/>
  <c r="F1146" i="3"/>
  <c r="A1146" i="8" s="1"/>
  <c r="E1146" i="3"/>
  <c r="E1146" i="8" s="1"/>
  <c r="D1146" i="3"/>
  <c r="D1146" i="8" s="1"/>
  <c r="C1146" i="3"/>
  <c r="C1146" i="8" s="1"/>
  <c r="B1146" i="3"/>
  <c r="B1146" i="8" s="1"/>
  <c r="F1145" i="3"/>
  <c r="A1145" i="8" s="1"/>
  <c r="E1145" i="3"/>
  <c r="E1145" i="8" s="1"/>
  <c r="D1145" i="3"/>
  <c r="D1145" i="8" s="1"/>
  <c r="C1145" i="3"/>
  <c r="C1145" i="8" s="1"/>
  <c r="B1145" i="3"/>
  <c r="B1145" i="8" s="1"/>
  <c r="F1144" i="3"/>
  <c r="A1144" i="8" s="1"/>
  <c r="E1144" i="3"/>
  <c r="E1144" i="8" s="1"/>
  <c r="D1144" i="3"/>
  <c r="D1144" i="8" s="1"/>
  <c r="C1144" i="3"/>
  <c r="C1144" i="8" s="1"/>
  <c r="B1144" i="3"/>
  <c r="B1144" i="8" s="1"/>
  <c r="F1143" i="3"/>
  <c r="A1143" i="8" s="1"/>
  <c r="E1143" i="3"/>
  <c r="E1143" i="8" s="1"/>
  <c r="D1143" i="3"/>
  <c r="D1143" i="8" s="1"/>
  <c r="C1143" i="3"/>
  <c r="C1143" i="8" s="1"/>
  <c r="B1143" i="3"/>
  <c r="B1143" i="8" s="1"/>
  <c r="F1142" i="3"/>
  <c r="A1142" i="8" s="1"/>
  <c r="E1142" i="3"/>
  <c r="E1142" i="8" s="1"/>
  <c r="D1142" i="3"/>
  <c r="D1142" i="8" s="1"/>
  <c r="C1142" i="3"/>
  <c r="C1142" i="8" s="1"/>
  <c r="B1142" i="3"/>
  <c r="B1142" i="8" s="1"/>
  <c r="F1141" i="3"/>
  <c r="A1141" i="8" s="1"/>
  <c r="E1141" i="3"/>
  <c r="E1141" i="8" s="1"/>
  <c r="D1141" i="3"/>
  <c r="D1141" i="8" s="1"/>
  <c r="C1141" i="3"/>
  <c r="C1141" i="8" s="1"/>
  <c r="B1141" i="3"/>
  <c r="B1141" i="8" s="1"/>
  <c r="F1140" i="3"/>
  <c r="A1140" i="8" s="1"/>
  <c r="E1140" i="3"/>
  <c r="E1140" i="8" s="1"/>
  <c r="D1140" i="3"/>
  <c r="D1140" i="8" s="1"/>
  <c r="C1140" i="3"/>
  <c r="C1140" i="8" s="1"/>
  <c r="B1140" i="3"/>
  <c r="B1140" i="8" s="1"/>
  <c r="F1139" i="3"/>
  <c r="A1139" i="8" s="1"/>
  <c r="E1139" i="3"/>
  <c r="E1139" i="8" s="1"/>
  <c r="D1139" i="3"/>
  <c r="D1139" i="8" s="1"/>
  <c r="C1139" i="3"/>
  <c r="C1139" i="8" s="1"/>
  <c r="B1139" i="3"/>
  <c r="B1139" i="8" s="1"/>
  <c r="F1138" i="3"/>
  <c r="A1138" i="8" s="1"/>
  <c r="E1138" i="3"/>
  <c r="E1138" i="8" s="1"/>
  <c r="D1138" i="3"/>
  <c r="D1138" i="8" s="1"/>
  <c r="C1138" i="3"/>
  <c r="C1138" i="8" s="1"/>
  <c r="B1138" i="3"/>
  <c r="B1138" i="8" s="1"/>
  <c r="F1137" i="3"/>
  <c r="A1137" i="8" s="1"/>
  <c r="E1137" i="3"/>
  <c r="E1137" i="8" s="1"/>
  <c r="D1137" i="3"/>
  <c r="D1137" i="8" s="1"/>
  <c r="C1137" i="3"/>
  <c r="C1137" i="8" s="1"/>
  <c r="B1137" i="3"/>
  <c r="B1137" i="8" s="1"/>
  <c r="F1136" i="3"/>
  <c r="A1136" i="8" s="1"/>
  <c r="E1136" i="3"/>
  <c r="E1136" i="8" s="1"/>
  <c r="D1136" i="3"/>
  <c r="D1136" i="8" s="1"/>
  <c r="C1136" i="3"/>
  <c r="C1136" i="8" s="1"/>
  <c r="B1136" i="3"/>
  <c r="B1136" i="8" s="1"/>
  <c r="F1135" i="3"/>
  <c r="A1135" i="8" s="1"/>
  <c r="E1135" i="3"/>
  <c r="E1135" i="8" s="1"/>
  <c r="D1135" i="3"/>
  <c r="D1135" i="8" s="1"/>
  <c r="C1135" i="3"/>
  <c r="C1135" i="8" s="1"/>
  <c r="B1135" i="3"/>
  <c r="B1135" i="8" s="1"/>
  <c r="F1134" i="3"/>
  <c r="A1134" i="8" s="1"/>
  <c r="E1134" i="3"/>
  <c r="E1134" i="8" s="1"/>
  <c r="D1134" i="3"/>
  <c r="D1134" i="8" s="1"/>
  <c r="C1134" i="3"/>
  <c r="C1134" i="8" s="1"/>
  <c r="B1134" i="3"/>
  <c r="B1134" i="8" s="1"/>
  <c r="F1133" i="3"/>
  <c r="A1133" i="8" s="1"/>
  <c r="E1133" i="3"/>
  <c r="E1133" i="8" s="1"/>
  <c r="D1133" i="3"/>
  <c r="D1133" i="8" s="1"/>
  <c r="C1133" i="3"/>
  <c r="C1133" i="8" s="1"/>
  <c r="B1133" i="3"/>
  <c r="B1133" i="8" s="1"/>
  <c r="F1132" i="3"/>
  <c r="A1132" i="8" s="1"/>
  <c r="E1132" i="3"/>
  <c r="E1132" i="8" s="1"/>
  <c r="D1132" i="3"/>
  <c r="D1132" i="8" s="1"/>
  <c r="C1132" i="3"/>
  <c r="C1132" i="8" s="1"/>
  <c r="B1132" i="3"/>
  <c r="B1132" i="8" s="1"/>
  <c r="F1131" i="3"/>
  <c r="A1131" i="8" s="1"/>
  <c r="E1131" i="3"/>
  <c r="E1131" i="8" s="1"/>
  <c r="D1131" i="3"/>
  <c r="D1131" i="8" s="1"/>
  <c r="C1131" i="3"/>
  <c r="C1131" i="8" s="1"/>
  <c r="B1131" i="3"/>
  <c r="B1131" i="8" s="1"/>
  <c r="F1130" i="3"/>
  <c r="A1130" i="8" s="1"/>
  <c r="E1130" i="3"/>
  <c r="E1130" i="8" s="1"/>
  <c r="D1130" i="3"/>
  <c r="D1130" i="8" s="1"/>
  <c r="C1130" i="3"/>
  <c r="C1130" i="8" s="1"/>
  <c r="B1130" i="3"/>
  <c r="B1130" i="8" s="1"/>
  <c r="F1129" i="3"/>
  <c r="A1129" i="8" s="1"/>
  <c r="E1129" i="3"/>
  <c r="E1129" i="8" s="1"/>
  <c r="D1129" i="3"/>
  <c r="D1129" i="8" s="1"/>
  <c r="C1129" i="3"/>
  <c r="C1129" i="8" s="1"/>
  <c r="B1129" i="3"/>
  <c r="B1129" i="8" s="1"/>
  <c r="F1128" i="3"/>
  <c r="A1128" i="8" s="1"/>
  <c r="E1128" i="3"/>
  <c r="E1128" i="8" s="1"/>
  <c r="D1128" i="3"/>
  <c r="D1128" i="8" s="1"/>
  <c r="C1128" i="3"/>
  <c r="C1128" i="8" s="1"/>
  <c r="B1128" i="3"/>
  <c r="B1128" i="8" s="1"/>
  <c r="F1127" i="3"/>
  <c r="A1127" i="8" s="1"/>
  <c r="E1127" i="3"/>
  <c r="E1127" i="8" s="1"/>
  <c r="D1127" i="3"/>
  <c r="D1127" i="8" s="1"/>
  <c r="C1127" i="3"/>
  <c r="C1127" i="8" s="1"/>
  <c r="B1127" i="3"/>
  <c r="B1127" i="8" s="1"/>
  <c r="F1126" i="3"/>
  <c r="A1126" i="8" s="1"/>
  <c r="E1126" i="3"/>
  <c r="E1126" i="8" s="1"/>
  <c r="D1126" i="3"/>
  <c r="D1126" i="8" s="1"/>
  <c r="C1126" i="3"/>
  <c r="C1126" i="8" s="1"/>
  <c r="B1126" i="3"/>
  <c r="B1126" i="8" s="1"/>
  <c r="F1125" i="3"/>
  <c r="A1125" i="8" s="1"/>
  <c r="E1125" i="3"/>
  <c r="E1125" i="8" s="1"/>
  <c r="D1125" i="3"/>
  <c r="D1125" i="8" s="1"/>
  <c r="C1125" i="3"/>
  <c r="C1125" i="8" s="1"/>
  <c r="B1125" i="3"/>
  <c r="B1125" i="8" s="1"/>
  <c r="F1124" i="3"/>
  <c r="A1124" i="8" s="1"/>
  <c r="E1124" i="3"/>
  <c r="E1124" i="8" s="1"/>
  <c r="D1124" i="3"/>
  <c r="D1124" i="8" s="1"/>
  <c r="C1124" i="3"/>
  <c r="C1124" i="8" s="1"/>
  <c r="B1124" i="3"/>
  <c r="B1124" i="8" s="1"/>
  <c r="F1123" i="3"/>
  <c r="A1123" i="8" s="1"/>
  <c r="E1123" i="3"/>
  <c r="E1123" i="8" s="1"/>
  <c r="D1123" i="3"/>
  <c r="D1123" i="8" s="1"/>
  <c r="C1123" i="3"/>
  <c r="C1123" i="8" s="1"/>
  <c r="B1123" i="3"/>
  <c r="B1123" i="8" s="1"/>
  <c r="F1122" i="3"/>
  <c r="A1122" i="8" s="1"/>
  <c r="E1122" i="3"/>
  <c r="E1122" i="8" s="1"/>
  <c r="D1122" i="3"/>
  <c r="D1122" i="8" s="1"/>
  <c r="C1122" i="3"/>
  <c r="C1122" i="8" s="1"/>
  <c r="B1122" i="3"/>
  <c r="B1122" i="8" s="1"/>
  <c r="F1121" i="3"/>
  <c r="A1121" i="8" s="1"/>
  <c r="E1121" i="3"/>
  <c r="E1121" i="8" s="1"/>
  <c r="D1121" i="3"/>
  <c r="D1121" i="8" s="1"/>
  <c r="C1121" i="3"/>
  <c r="C1121" i="8" s="1"/>
  <c r="B1121" i="3"/>
  <c r="B1121" i="8" s="1"/>
  <c r="F1120" i="3"/>
  <c r="A1120" i="8" s="1"/>
  <c r="E1120" i="3"/>
  <c r="E1120" i="8" s="1"/>
  <c r="D1120" i="3"/>
  <c r="D1120" i="8" s="1"/>
  <c r="C1120" i="3"/>
  <c r="C1120" i="8" s="1"/>
  <c r="B1120" i="3"/>
  <c r="B1120" i="8" s="1"/>
  <c r="F1119" i="3"/>
  <c r="A1119" i="8" s="1"/>
  <c r="E1119" i="3"/>
  <c r="E1119" i="8" s="1"/>
  <c r="D1119" i="3"/>
  <c r="D1119" i="8" s="1"/>
  <c r="C1119" i="3"/>
  <c r="C1119" i="8" s="1"/>
  <c r="B1119" i="3"/>
  <c r="B1119" i="8" s="1"/>
  <c r="F1118" i="3"/>
  <c r="A1118" i="8" s="1"/>
  <c r="E1118" i="3"/>
  <c r="E1118" i="8" s="1"/>
  <c r="D1118" i="3"/>
  <c r="D1118" i="8" s="1"/>
  <c r="C1118" i="3"/>
  <c r="C1118" i="8" s="1"/>
  <c r="B1118" i="3"/>
  <c r="B1118" i="8" s="1"/>
  <c r="F1117" i="3"/>
  <c r="A1117" i="8" s="1"/>
  <c r="E1117" i="3"/>
  <c r="E1117" i="8" s="1"/>
  <c r="D1117" i="3"/>
  <c r="D1117" i="8" s="1"/>
  <c r="C1117" i="3"/>
  <c r="C1117" i="8" s="1"/>
  <c r="B1117" i="3"/>
  <c r="B1117" i="8" s="1"/>
  <c r="F1116" i="3"/>
  <c r="A1116" i="8" s="1"/>
  <c r="E1116" i="3"/>
  <c r="E1116" i="8" s="1"/>
  <c r="D1116" i="3"/>
  <c r="D1116" i="8" s="1"/>
  <c r="C1116" i="3"/>
  <c r="C1116" i="8" s="1"/>
  <c r="B1116" i="3"/>
  <c r="B1116" i="8" s="1"/>
  <c r="F1115" i="3"/>
  <c r="A1115" i="8" s="1"/>
  <c r="E1115" i="3"/>
  <c r="E1115" i="8" s="1"/>
  <c r="D1115" i="3"/>
  <c r="D1115" i="8" s="1"/>
  <c r="C1115" i="3"/>
  <c r="C1115" i="8" s="1"/>
  <c r="B1115" i="3"/>
  <c r="B1115" i="8" s="1"/>
  <c r="F1114" i="3"/>
  <c r="A1114" i="8" s="1"/>
  <c r="E1114" i="3"/>
  <c r="E1114" i="8" s="1"/>
  <c r="D1114" i="3"/>
  <c r="D1114" i="8" s="1"/>
  <c r="C1114" i="3"/>
  <c r="C1114" i="8" s="1"/>
  <c r="B1114" i="3"/>
  <c r="B1114" i="8" s="1"/>
  <c r="F1113" i="3"/>
  <c r="A1113" i="8" s="1"/>
  <c r="E1113" i="3"/>
  <c r="E1113" i="8" s="1"/>
  <c r="D1113" i="3"/>
  <c r="D1113" i="8" s="1"/>
  <c r="C1113" i="3"/>
  <c r="C1113" i="8" s="1"/>
  <c r="B1113" i="3"/>
  <c r="B1113" i="8" s="1"/>
  <c r="F1112" i="3"/>
  <c r="A1112" i="8" s="1"/>
  <c r="E1112" i="3"/>
  <c r="E1112" i="8" s="1"/>
  <c r="D1112" i="3"/>
  <c r="D1112" i="8" s="1"/>
  <c r="C1112" i="3"/>
  <c r="C1112" i="8" s="1"/>
  <c r="B1112" i="3"/>
  <c r="B1112" i="8" s="1"/>
  <c r="F1111" i="3"/>
  <c r="A1111" i="8" s="1"/>
  <c r="E1111" i="3"/>
  <c r="E1111" i="8" s="1"/>
  <c r="D1111" i="3"/>
  <c r="D1111" i="8" s="1"/>
  <c r="C1111" i="3"/>
  <c r="C1111" i="8" s="1"/>
  <c r="B1111" i="3"/>
  <c r="B1111" i="8" s="1"/>
  <c r="F1110" i="3"/>
  <c r="A1110" i="8" s="1"/>
  <c r="E1110" i="3"/>
  <c r="E1110" i="8" s="1"/>
  <c r="D1110" i="3"/>
  <c r="D1110" i="8" s="1"/>
  <c r="C1110" i="3"/>
  <c r="C1110" i="8" s="1"/>
  <c r="B1110" i="3"/>
  <c r="B1110" i="8" s="1"/>
  <c r="F1109" i="3"/>
  <c r="A1109" i="8" s="1"/>
  <c r="E1109" i="3"/>
  <c r="E1109" i="8" s="1"/>
  <c r="D1109" i="3"/>
  <c r="D1109" i="8" s="1"/>
  <c r="C1109" i="3"/>
  <c r="C1109" i="8" s="1"/>
  <c r="B1109" i="3"/>
  <c r="B1109" i="8" s="1"/>
  <c r="F1108" i="3"/>
  <c r="A1108" i="8" s="1"/>
  <c r="E1108" i="3"/>
  <c r="E1108" i="8" s="1"/>
  <c r="D1108" i="3"/>
  <c r="D1108" i="8" s="1"/>
  <c r="C1108" i="3"/>
  <c r="C1108" i="8" s="1"/>
  <c r="B1108" i="3"/>
  <c r="B1108" i="8" s="1"/>
  <c r="F1107" i="3"/>
  <c r="A1107" i="8" s="1"/>
  <c r="E1107" i="3"/>
  <c r="E1107" i="8" s="1"/>
  <c r="D1107" i="3"/>
  <c r="D1107" i="8" s="1"/>
  <c r="C1107" i="3"/>
  <c r="C1107" i="8" s="1"/>
  <c r="B1107" i="3"/>
  <c r="B1107" i="8" s="1"/>
  <c r="F1106" i="3"/>
  <c r="A1106" i="8" s="1"/>
  <c r="E1106" i="3"/>
  <c r="E1106" i="8" s="1"/>
  <c r="D1106" i="3"/>
  <c r="D1106" i="8" s="1"/>
  <c r="C1106" i="3"/>
  <c r="C1106" i="8" s="1"/>
  <c r="B1106" i="3"/>
  <c r="B1106" i="8" s="1"/>
  <c r="F1105" i="3"/>
  <c r="A1105" i="8" s="1"/>
  <c r="E1105" i="3"/>
  <c r="E1105" i="8" s="1"/>
  <c r="D1105" i="3"/>
  <c r="D1105" i="8" s="1"/>
  <c r="C1105" i="3"/>
  <c r="C1105" i="8" s="1"/>
  <c r="B1105" i="3"/>
  <c r="B1105" i="8" s="1"/>
  <c r="F1104" i="3"/>
  <c r="A1104" i="8" s="1"/>
  <c r="E1104" i="3"/>
  <c r="E1104" i="8" s="1"/>
  <c r="D1104" i="3"/>
  <c r="D1104" i="8" s="1"/>
  <c r="C1104" i="3"/>
  <c r="C1104" i="8" s="1"/>
  <c r="B1104" i="3"/>
  <c r="B1104" i="8" s="1"/>
  <c r="F1103" i="3"/>
  <c r="A1103" i="8" s="1"/>
  <c r="E1103" i="3"/>
  <c r="E1103" i="8" s="1"/>
  <c r="D1103" i="3"/>
  <c r="D1103" i="8" s="1"/>
  <c r="C1103" i="3"/>
  <c r="C1103" i="8" s="1"/>
  <c r="B1103" i="3"/>
  <c r="B1103" i="8" s="1"/>
  <c r="F1102" i="3"/>
  <c r="A1102" i="8" s="1"/>
  <c r="E1102" i="3"/>
  <c r="E1102" i="8" s="1"/>
  <c r="D1102" i="3"/>
  <c r="D1102" i="8" s="1"/>
  <c r="C1102" i="3"/>
  <c r="C1102" i="8" s="1"/>
  <c r="B1102" i="3"/>
  <c r="B1102" i="8" s="1"/>
  <c r="F1101" i="3"/>
  <c r="A1101" i="8" s="1"/>
  <c r="E1101" i="3"/>
  <c r="E1101" i="8" s="1"/>
  <c r="D1101" i="3"/>
  <c r="D1101" i="8" s="1"/>
  <c r="C1101" i="3"/>
  <c r="C1101" i="8" s="1"/>
  <c r="B1101" i="3"/>
  <c r="B1101" i="8" s="1"/>
  <c r="F1100" i="3"/>
  <c r="A1100" i="8" s="1"/>
  <c r="E1100" i="3"/>
  <c r="E1100" i="8" s="1"/>
  <c r="D1100" i="3"/>
  <c r="D1100" i="8" s="1"/>
  <c r="C1100" i="3"/>
  <c r="C1100" i="8" s="1"/>
  <c r="B1100" i="3"/>
  <c r="B1100" i="8" s="1"/>
  <c r="F1099" i="3"/>
  <c r="A1099" i="8" s="1"/>
  <c r="E1099" i="3"/>
  <c r="E1099" i="8" s="1"/>
  <c r="D1099" i="3"/>
  <c r="D1099" i="8" s="1"/>
  <c r="C1099" i="3"/>
  <c r="C1099" i="8" s="1"/>
  <c r="B1099" i="3"/>
  <c r="B1099" i="8" s="1"/>
  <c r="F1098" i="3"/>
  <c r="A1098" i="8" s="1"/>
  <c r="E1098" i="3"/>
  <c r="E1098" i="8" s="1"/>
  <c r="D1098" i="3"/>
  <c r="D1098" i="8" s="1"/>
  <c r="C1098" i="3"/>
  <c r="C1098" i="8" s="1"/>
  <c r="B1098" i="3"/>
  <c r="B1098" i="8" s="1"/>
  <c r="F1097" i="3"/>
  <c r="A1097" i="8" s="1"/>
  <c r="E1097" i="3"/>
  <c r="E1097" i="8" s="1"/>
  <c r="D1097" i="3"/>
  <c r="D1097" i="8" s="1"/>
  <c r="C1097" i="3"/>
  <c r="C1097" i="8" s="1"/>
  <c r="B1097" i="3"/>
  <c r="B1097" i="8" s="1"/>
  <c r="F1096" i="3"/>
  <c r="A1096" i="8" s="1"/>
  <c r="E1096" i="3"/>
  <c r="E1096" i="8" s="1"/>
  <c r="D1096" i="3"/>
  <c r="D1096" i="8" s="1"/>
  <c r="C1096" i="3"/>
  <c r="C1096" i="8" s="1"/>
  <c r="B1096" i="3"/>
  <c r="B1096" i="8" s="1"/>
  <c r="F1095" i="3"/>
  <c r="A1095" i="8" s="1"/>
  <c r="E1095" i="3"/>
  <c r="E1095" i="8" s="1"/>
  <c r="D1095" i="3"/>
  <c r="D1095" i="8" s="1"/>
  <c r="C1095" i="3"/>
  <c r="C1095" i="8" s="1"/>
  <c r="B1095" i="3"/>
  <c r="B1095" i="8" s="1"/>
  <c r="F1094" i="3"/>
  <c r="A1094" i="8" s="1"/>
  <c r="E1094" i="3"/>
  <c r="E1094" i="8" s="1"/>
  <c r="D1094" i="3"/>
  <c r="D1094" i="8" s="1"/>
  <c r="C1094" i="3"/>
  <c r="C1094" i="8" s="1"/>
  <c r="B1094" i="3"/>
  <c r="B1094" i="8" s="1"/>
  <c r="F1093" i="3"/>
  <c r="A1093" i="8" s="1"/>
  <c r="E1093" i="3"/>
  <c r="E1093" i="8" s="1"/>
  <c r="D1093" i="3"/>
  <c r="D1093" i="8" s="1"/>
  <c r="C1093" i="3"/>
  <c r="C1093" i="8" s="1"/>
  <c r="B1093" i="3"/>
  <c r="B1093" i="8" s="1"/>
  <c r="F1092" i="3"/>
  <c r="A1092" i="8" s="1"/>
  <c r="E1092" i="3"/>
  <c r="E1092" i="8" s="1"/>
  <c r="D1092" i="3"/>
  <c r="D1092" i="8" s="1"/>
  <c r="C1092" i="3"/>
  <c r="C1092" i="8" s="1"/>
  <c r="B1092" i="3"/>
  <c r="B1092" i="8" s="1"/>
  <c r="F1091" i="3"/>
  <c r="A1091" i="8" s="1"/>
  <c r="E1091" i="3"/>
  <c r="E1091" i="8" s="1"/>
  <c r="D1091" i="3"/>
  <c r="D1091" i="8" s="1"/>
  <c r="C1091" i="3"/>
  <c r="C1091" i="8" s="1"/>
  <c r="B1091" i="3"/>
  <c r="B1091" i="8" s="1"/>
  <c r="F1090" i="3"/>
  <c r="A1090" i="8" s="1"/>
  <c r="E1090" i="3"/>
  <c r="E1090" i="8" s="1"/>
  <c r="D1090" i="3"/>
  <c r="D1090" i="8" s="1"/>
  <c r="C1090" i="3"/>
  <c r="C1090" i="8" s="1"/>
  <c r="B1090" i="3"/>
  <c r="B1090" i="8" s="1"/>
  <c r="F1089" i="3"/>
  <c r="A1089" i="8" s="1"/>
  <c r="E1089" i="3"/>
  <c r="E1089" i="8" s="1"/>
  <c r="D1089" i="3"/>
  <c r="D1089" i="8" s="1"/>
  <c r="C1089" i="3"/>
  <c r="C1089" i="8" s="1"/>
  <c r="B1089" i="3"/>
  <c r="B1089" i="8" s="1"/>
  <c r="F1088" i="3"/>
  <c r="A1088" i="8" s="1"/>
  <c r="E1088" i="3"/>
  <c r="E1088" i="8" s="1"/>
  <c r="D1088" i="3"/>
  <c r="D1088" i="8" s="1"/>
  <c r="C1088" i="3"/>
  <c r="C1088" i="8" s="1"/>
  <c r="B1088" i="3"/>
  <c r="B1088" i="8" s="1"/>
  <c r="F1087" i="3"/>
  <c r="A1087" i="8" s="1"/>
  <c r="E1087" i="3"/>
  <c r="E1087" i="8" s="1"/>
  <c r="D1087" i="3"/>
  <c r="D1087" i="8" s="1"/>
  <c r="C1087" i="3"/>
  <c r="C1087" i="8" s="1"/>
  <c r="B1087" i="3"/>
  <c r="B1087" i="8" s="1"/>
  <c r="F1086" i="3"/>
  <c r="A1086" i="8" s="1"/>
  <c r="E1086" i="3"/>
  <c r="E1086" i="8" s="1"/>
  <c r="D1086" i="3"/>
  <c r="D1086" i="8" s="1"/>
  <c r="C1086" i="3"/>
  <c r="C1086" i="8" s="1"/>
  <c r="B1086" i="3"/>
  <c r="B1086" i="8" s="1"/>
  <c r="F1085" i="3"/>
  <c r="A1085" i="8" s="1"/>
  <c r="E1085" i="3"/>
  <c r="E1085" i="8" s="1"/>
  <c r="D1085" i="3"/>
  <c r="D1085" i="8" s="1"/>
  <c r="C1085" i="3"/>
  <c r="C1085" i="8" s="1"/>
  <c r="B1085" i="3"/>
  <c r="B1085" i="8" s="1"/>
  <c r="F1084" i="3"/>
  <c r="A1084" i="8" s="1"/>
  <c r="E1084" i="3"/>
  <c r="E1084" i="8" s="1"/>
  <c r="D1084" i="3"/>
  <c r="D1084" i="8" s="1"/>
  <c r="C1084" i="3"/>
  <c r="C1084" i="8" s="1"/>
  <c r="B1084" i="3"/>
  <c r="B1084" i="8" s="1"/>
  <c r="F1083" i="3"/>
  <c r="A1083" i="8" s="1"/>
  <c r="E1083" i="3"/>
  <c r="E1083" i="8" s="1"/>
  <c r="D1083" i="3"/>
  <c r="D1083" i="8" s="1"/>
  <c r="C1083" i="3"/>
  <c r="C1083" i="8" s="1"/>
  <c r="B1083" i="3"/>
  <c r="B1083" i="8" s="1"/>
  <c r="F1082" i="3"/>
  <c r="A1082" i="8" s="1"/>
  <c r="E1082" i="3"/>
  <c r="E1082" i="8" s="1"/>
  <c r="D1082" i="3"/>
  <c r="D1082" i="8" s="1"/>
  <c r="C1082" i="3"/>
  <c r="C1082" i="8" s="1"/>
  <c r="B1082" i="3"/>
  <c r="B1082" i="8" s="1"/>
  <c r="F1081" i="3"/>
  <c r="A1081" i="8" s="1"/>
  <c r="E1081" i="3"/>
  <c r="E1081" i="8" s="1"/>
  <c r="D1081" i="3"/>
  <c r="D1081" i="8" s="1"/>
  <c r="C1081" i="3"/>
  <c r="C1081" i="8" s="1"/>
  <c r="B1081" i="3"/>
  <c r="B1081" i="8" s="1"/>
  <c r="F1080" i="3"/>
  <c r="A1080" i="8" s="1"/>
  <c r="E1080" i="3"/>
  <c r="E1080" i="8" s="1"/>
  <c r="D1080" i="3"/>
  <c r="D1080" i="8" s="1"/>
  <c r="C1080" i="3"/>
  <c r="C1080" i="8" s="1"/>
  <c r="B1080" i="3"/>
  <c r="B1080" i="8" s="1"/>
  <c r="F1079" i="3"/>
  <c r="A1079" i="8" s="1"/>
  <c r="E1079" i="3"/>
  <c r="E1079" i="8" s="1"/>
  <c r="D1079" i="3"/>
  <c r="D1079" i="8" s="1"/>
  <c r="C1079" i="3"/>
  <c r="C1079" i="8" s="1"/>
  <c r="B1079" i="3"/>
  <c r="B1079" i="8" s="1"/>
  <c r="F1078" i="3"/>
  <c r="A1078" i="8" s="1"/>
  <c r="E1078" i="3"/>
  <c r="E1078" i="8" s="1"/>
  <c r="D1078" i="3"/>
  <c r="D1078" i="8" s="1"/>
  <c r="C1078" i="3"/>
  <c r="C1078" i="8" s="1"/>
  <c r="B1078" i="3"/>
  <c r="B1078" i="8" s="1"/>
  <c r="F1077" i="3"/>
  <c r="A1077" i="8" s="1"/>
  <c r="E1077" i="3"/>
  <c r="E1077" i="8" s="1"/>
  <c r="D1077" i="3"/>
  <c r="D1077" i="8" s="1"/>
  <c r="C1077" i="3"/>
  <c r="C1077" i="8" s="1"/>
  <c r="B1077" i="3"/>
  <c r="B1077" i="8" s="1"/>
  <c r="F1076" i="3"/>
  <c r="A1076" i="8" s="1"/>
  <c r="E1076" i="3"/>
  <c r="E1076" i="8" s="1"/>
  <c r="D1076" i="3"/>
  <c r="D1076" i="8" s="1"/>
  <c r="C1076" i="3"/>
  <c r="C1076" i="8" s="1"/>
  <c r="B1076" i="3"/>
  <c r="B1076" i="8" s="1"/>
  <c r="F1075" i="3"/>
  <c r="A1075" i="8" s="1"/>
  <c r="E1075" i="3"/>
  <c r="E1075" i="8" s="1"/>
  <c r="D1075" i="3"/>
  <c r="D1075" i="8" s="1"/>
  <c r="C1075" i="3"/>
  <c r="C1075" i="8" s="1"/>
  <c r="B1075" i="3"/>
  <c r="B1075" i="8" s="1"/>
  <c r="F1074" i="3"/>
  <c r="A1074" i="8" s="1"/>
  <c r="E1074" i="3"/>
  <c r="E1074" i="8" s="1"/>
  <c r="D1074" i="3"/>
  <c r="D1074" i="8" s="1"/>
  <c r="C1074" i="3"/>
  <c r="C1074" i="8" s="1"/>
  <c r="B1074" i="3"/>
  <c r="B1074" i="8" s="1"/>
  <c r="F1073" i="3"/>
  <c r="A1073" i="8" s="1"/>
  <c r="E1073" i="3"/>
  <c r="E1073" i="8" s="1"/>
  <c r="D1073" i="3"/>
  <c r="D1073" i="8" s="1"/>
  <c r="C1073" i="3"/>
  <c r="C1073" i="8" s="1"/>
  <c r="B1073" i="3"/>
  <c r="B1073" i="8" s="1"/>
  <c r="F1072" i="3"/>
  <c r="A1072" i="8" s="1"/>
  <c r="E1072" i="3"/>
  <c r="E1072" i="8" s="1"/>
  <c r="D1072" i="3"/>
  <c r="D1072" i="8" s="1"/>
  <c r="C1072" i="3"/>
  <c r="C1072" i="8" s="1"/>
  <c r="B1072" i="3"/>
  <c r="B1072" i="8" s="1"/>
  <c r="F1071" i="3"/>
  <c r="A1071" i="8" s="1"/>
  <c r="E1071" i="3"/>
  <c r="E1071" i="8" s="1"/>
  <c r="D1071" i="3"/>
  <c r="D1071" i="8" s="1"/>
  <c r="C1071" i="3"/>
  <c r="C1071" i="8" s="1"/>
  <c r="B1071" i="3"/>
  <c r="B1071" i="8" s="1"/>
  <c r="F1070" i="3"/>
  <c r="A1070" i="8" s="1"/>
  <c r="E1070" i="3"/>
  <c r="E1070" i="8" s="1"/>
  <c r="D1070" i="3"/>
  <c r="D1070" i="8" s="1"/>
  <c r="C1070" i="3"/>
  <c r="C1070" i="8" s="1"/>
  <c r="B1070" i="3"/>
  <c r="B1070" i="8" s="1"/>
  <c r="F1069" i="3"/>
  <c r="A1069" i="8" s="1"/>
  <c r="E1069" i="3"/>
  <c r="E1069" i="8" s="1"/>
  <c r="D1069" i="3"/>
  <c r="D1069" i="8" s="1"/>
  <c r="C1069" i="3"/>
  <c r="C1069" i="8" s="1"/>
  <c r="B1069" i="3"/>
  <c r="B1069" i="8" s="1"/>
  <c r="F1068" i="3"/>
  <c r="A1068" i="8" s="1"/>
  <c r="E1068" i="3"/>
  <c r="E1068" i="8" s="1"/>
  <c r="D1068" i="3"/>
  <c r="D1068" i="8" s="1"/>
  <c r="C1068" i="3"/>
  <c r="C1068" i="8" s="1"/>
  <c r="B1068" i="3"/>
  <c r="B1068" i="8" s="1"/>
  <c r="F1067" i="3"/>
  <c r="A1067" i="8" s="1"/>
  <c r="E1067" i="3"/>
  <c r="E1067" i="8" s="1"/>
  <c r="D1067" i="3"/>
  <c r="D1067" i="8" s="1"/>
  <c r="C1067" i="3"/>
  <c r="C1067" i="8" s="1"/>
  <c r="B1067" i="3"/>
  <c r="B1067" i="8" s="1"/>
  <c r="F1066" i="3"/>
  <c r="A1066" i="8" s="1"/>
  <c r="E1066" i="3"/>
  <c r="E1066" i="8" s="1"/>
  <c r="D1066" i="3"/>
  <c r="D1066" i="8" s="1"/>
  <c r="C1066" i="3"/>
  <c r="C1066" i="8" s="1"/>
  <c r="B1066" i="3"/>
  <c r="B1066" i="8" s="1"/>
  <c r="F1065" i="3"/>
  <c r="A1065" i="8" s="1"/>
  <c r="E1065" i="3"/>
  <c r="E1065" i="8" s="1"/>
  <c r="D1065" i="3"/>
  <c r="D1065" i="8" s="1"/>
  <c r="C1065" i="3"/>
  <c r="C1065" i="8" s="1"/>
  <c r="B1065" i="3"/>
  <c r="B1065" i="8" s="1"/>
  <c r="F1064" i="3"/>
  <c r="A1064" i="8" s="1"/>
  <c r="E1064" i="3"/>
  <c r="E1064" i="8" s="1"/>
  <c r="D1064" i="3"/>
  <c r="D1064" i="8" s="1"/>
  <c r="C1064" i="3"/>
  <c r="C1064" i="8" s="1"/>
  <c r="B1064" i="3"/>
  <c r="B1064" i="8" s="1"/>
  <c r="F1063" i="3"/>
  <c r="A1063" i="8" s="1"/>
  <c r="E1063" i="3"/>
  <c r="E1063" i="8" s="1"/>
  <c r="D1063" i="3"/>
  <c r="D1063" i="8" s="1"/>
  <c r="C1063" i="3"/>
  <c r="C1063" i="8" s="1"/>
  <c r="B1063" i="3"/>
  <c r="B1063" i="8" s="1"/>
  <c r="F1062" i="3"/>
  <c r="A1062" i="8" s="1"/>
  <c r="E1062" i="3"/>
  <c r="E1062" i="8" s="1"/>
  <c r="D1062" i="3"/>
  <c r="D1062" i="8" s="1"/>
  <c r="C1062" i="3"/>
  <c r="C1062" i="8" s="1"/>
  <c r="B1062" i="3"/>
  <c r="B1062" i="8" s="1"/>
  <c r="F1061" i="3"/>
  <c r="A1061" i="8" s="1"/>
  <c r="E1061" i="3"/>
  <c r="E1061" i="8" s="1"/>
  <c r="D1061" i="3"/>
  <c r="D1061" i="8" s="1"/>
  <c r="C1061" i="3"/>
  <c r="C1061" i="8" s="1"/>
  <c r="B1061" i="3"/>
  <c r="B1061" i="8" s="1"/>
  <c r="F1060" i="3"/>
  <c r="A1060" i="8" s="1"/>
  <c r="E1060" i="3"/>
  <c r="E1060" i="8" s="1"/>
  <c r="D1060" i="3"/>
  <c r="D1060" i="8" s="1"/>
  <c r="C1060" i="3"/>
  <c r="C1060" i="8" s="1"/>
  <c r="B1060" i="3"/>
  <c r="B1060" i="8" s="1"/>
  <c r="F1059" i="3"/>
  <c r="A1059" i="8" s="1"/>
  <c r="E1059" i="3"/>
  <c r="E1059" i="8" s="1"/>
  <c r="D1059" i="3"/>
  <c r="D1059" i="8" s="1"/>
  <c r="C1059" i="3"/>
  <c r="C1059" i="8" s="1"/>
  <c r="B1059" i="3"/>
  <c r="B1059" i="8" s="1"/>
  <c r="F1058" i="3"/>
  <c r="A1058" i="8" s="1"/>
  <c r="E1058" i="3"/>
  <c r="E1058" i="8" s="1"/>
  <c r="D1058" i="3"/>
  <c r="D1058" i="8" s="1"/>
  <c r="C1058" i="3"/>
  <c r="C1058" i="8" s="1"/>
  <c r="B1058" i="3"/>
  <c r="B1058" i="8" s="1"/>
  <c r="F1057" i="3"/>
  <c r="A1057" i="8" s="1"/>
  <c r="E1057" i="3"/>
  <c r="E1057" i="8" s="1"/>
  <c r="D1057" i="3"/>
  <c r="D1057" i="8" s="1"/>
  <c r="C1057" i="3"/>
  <c r="C1057" i="8" s="1"/>
  <c r="B1057" i="3"/>
  <c r="B1057" i="8" s="1"/>
  <c r="F1056" i="3"/>
  <c r="A1056" i="8" s="1"/>
  <c r="E1056" i="3"/>
  <c r="E1056" i="8" s="1"/>
  <c r="D1056" i="3"/>
  <c r="D1056" i="8" s="1"/>
  <c r="C1056" i="3"/>
  <c r="C1056" i="8" s="1"/>
  <c r="B1056" i="3"/>
  <c r="B1056" i="8" s="1"/>
  <c r="F1055" i="3"/>
  <c r="A1055" i="8" s="1"/>
  <c r="E1055" i="3"/>
  <c r="E1055" i="8" s="1"/>
  <c r="D1055" i="3"/>
  <c r="D1055" i="8" s="1"/>
  <c r="C1055" i="3"/>
  <c r="C1055" i="8" s="1"/>
  <c r="B1055" i="3"/>
  <c r="B1055" i="8" s="1"/>
  <c r="F1054" i="3"/>
  <c r="A1054" i="8" s="1"/>
  <c r="E1054" i="3"/>
  <c r="E1054" i="8" s="1"/>
  <c r="D1054" i="3"/>
  <c r="D1054" i="8" s="1"/>
  <c r="C1054" i="3"/>
  <c r="C1054" i="8" s="1"/>
  <c r="B1054" i="3"/>
  <c r="B1054" i="8" s="1"/>
  <c r="F1053" i="3"/>
  <c r="A1053" i="8" s="1"/>
  <c r="E1053" i="3"/>
  <c r="E1053" i="8" s="1"/>
  <c r="D1053" i="3"/>
  <c r="D1053" i="8" s="1"/>
  <c r="C1053" i="3"/>
  <c r="C1053" i="8" s="1"/>
  <c r="B1053" i="3"/>
  <c r="B1053" i="8" s="1"/>
  <c r="F1052" i="3"/>
  <c r="A1052" i="8" s="1"/>
  <c r="E1052" i="3"/>
  <c r="E1052" i="8" s="1"/>
  <c r="D1052" i="3"/>
  <c r="D1052" i="8" s="1"/>
  <c r="C1052" i="3"/>
  <c r="C1052" i="8" s="1"/>
  <c r="B1052" i="3"/>
  <c r="B1052" i="8" s="1"/>
  <c r="F1051" i="3"/>
  <c r="A1051" i="8" s="1"/>
  <c r="E1051" i="3"/>
  <c r="E1051" i="8" s="1"/>
  <c r="D1051" i="3"/>
  <c r="D1051" i="8" s="1"/>
  <c r="C1051" i="3"/>
  <c r="C1051" i="8" s="1"/>
  <c r="B1051" i="3"/>
  <c r="B1051" i="8" s="1"/>
  <c r="F1050" i="3"/>
  <c r="A1050" i="8" s="1"/>
  <c r="E1050" i="3"/>
  <c r="E1050" i="8" s="1"/>
  <c r="D1050" i="3"/>
  <c r="D1050" i="8" s="1"/>
  <c r="C1050" i="3"/>
  <c r="C1050" i="8" s="1"/>
  <c r="B1050" i="3"/>
  <c r="B1050" i="8" s="1"/>
  <c r="F1049" i="3"/>
  <c r="A1049" i="8" s="1"/>
  <c r="E1049" i="3"/>
  <c r="E1049" i="8" s="1"/>
  <c r="D1049" i="3"/>
  <c r="D1049" i="8" s="1"/>
  <c r="C1049" i="3"/>
  <c r="C1049" i="8" s="1"/>
  <c r="B1049" i="3"/>
  <c r="B1049" i="8" s="1"/>
  <c r="F1048" i="3"/>
  <c r="A1048" i="8" s="1"/>
  <c r="E1048" i="3"/>
  <c r="E1048" i="8" s="1"/>
  <c r="D1048" i="3"/>
  <c r="D1048" i="8" s="1"/>
  <c r="C1048" i="3"/>
  <c r="C1048" i="8" s="1"/>
  <c r="B1048" i="3"/>
  <c r="B1048" i="8" s="1"/>
  <c r="F1047" i="3"/>
  <c r="A1047" i="8" s="1"/>
  <c r="E1047" i="3"/>
  <c r="E1047" i="8" s="1"/>
  <c r="D1047" i="3"/>
  <c r="D1047" i="8" s="1"/>
  <c r="C1047" i="3"/>
  <c r="C1047" i="8" s="1"/>
  <c r="B1047" i="3"/>
  <c r="B1047" i="8" s="1"/>
  <c r="F1046" i="3"/>
  <c r="A1046" i="8" s="1"/>
  <c r="E1046" i="3"/>
  <c r="E1046" i="8" s="1"/>
  <c r="D1046" i="3"/>
  <c r="D1046" i="8" s="1"/>
  <c r="C1046" i="3"/>
  <c r="C1046" i="8" s="1"/>
  <c r="B1046" i="3"/>
  <c r="B1046" i="8" s="1"/>
  <c r="F1045" i="3"/>
  <c r="A1045" i="8" s="1"/>
  <c r="E1045" i="3"/>
  <c r="E1045" i="8" s="1"/>
  <c r="D1045" i="3"/>
  <c r="D1045" i="8" s="1"/>
  <c r="C1045" i="3"/>
  <c r="C1045" i="8" s="1"/>
  <c r="B1045" i="3"/>
  <c r="B1045" i="8" s="1"/>
  <c r="F1044" i="3"/>
  <c r="A1044" i="8" s="1"/>
  <c r="E1044" i="3"/>
  <c r="E1044" i="8" s="1"/>
  <c r="D1044" i="3"/>
  <c r="D1044" i="8" s="1"/>
  <c r="C1044" i="3"/>
  <c r="C1044" i="8" s="1"/>
  <c r="B1044" i="3"/>
  <c r="B1044" i="8" s="1"/>
  <c r="F1043" i="3"/>
  <c r="A1043" i="8" s="1"/>
  <c r="E1043" i="3"/>
  <c r="E1043" i="8" s="1"/>
  <c r="D1043" i="3"/>
  <c r="D1043" i="8" s="1"/>
  <c r="C1043" i="3"/>
  <c r="C1043" i="8" s="1"/>
  <c r="B1043" i="3"/>
  <c r="B1043" i="8" s="1"/>
  <c r="F1042" i="3"/>
  <c r="A1042" i="8" s="1"/>
  <c r="E1042" i="3"/>
  <c r="E1042" i="8" s="1"/>
  <c r="D1042" i="3"/>
  <c r="D1042" i="8" s="1"/>
  <c r="C1042" i="3"/>
  <c r="C1042" i="8" s="1"/>
  <c r="B1042" i="3"/>
  <c r="B1042" i="8" s="1"/>
  <c r="F1041" i="3"/>
  <c r="A1041" i="8" s="1"/>
  <c r="E1041" i="3"/>
  <c r="E1041" i="8" s="1"/>
  <c r="D1041" i="3"/>
  <c r="D1041" i="8" s="1"/>
  <c r="C1041" i="3"/>
  <c r="C1041" i="8" s="1"/>
  <c r="B1041" i="3"/>
  <c r="B1041" i="8" s="1"/>
  <c r="F1040" i="3"/>
  <c r="A1040" i="8" s="1"/>
  <c r="E1040" i="3"/>
  <c r="E1040" i="8" s="1"/>
  <c r="D1040" i="3"/>
  <c r="D1040" i="8" s="1"/>
  <c r="C1040" i="3"/>
  <c r="C1040" i="8" s="1"/>
  <c r="B1040" i="3"/>
  <c r="B1040" i="8" s="1"/>
  <c r="F1039" i="3"/>
  <c r="A1039" i="8" s="1"/>
  <c r="E1039" i="3"/>
  <c r="E1039" i="8" s="1"/>
  <c r="D1039" i="3"/>
  <c r="D1039" i="8" s="1"/>
  <c r="C1039" i="3"/>
  <c r="C1039" i="8" s="1"/>
  <c r="B1039" i="3"/>
  <c r="B1039" i="8" s="1"/>
  <c r="F1038" i="3"/>
  <c r="A1038" i="8" s="1"/>
  <c r="E1038" i="3"/>
  <c r="E1038" i="8" s="1"/>
  <c r="D1038" i="3"/>
  <c r="D1038" i="8" s="1"/>
  <c r="C1038" i="3"/>
  <c r="C1038" i="8" s="1"/>
  <c r="B1038" i="3"/>
  <c r="B1038" i="8" s="1"/>
  <c r="F1037" i="3"/>
  <c r="A1037" i="8" s="1"/>
  <c r="E1037" i="3"/>
  <c r="E1037" i="8" s="1"/>
  <c r="D1037" i="3"/>
  <c r="D1037" i="8" s="1"/>
  <c r="C1037" i="3"/>
  <c r="C1037" i="8" s="1"/>
  <c r="B1037" i="3"/>
  <c r="B1037" i="8" s="1"/>
  <c r="F1036" i="3"/>
  <c r="A1036" i="8" s="1"/>
  <c r="E1036" i="3"/>
  <c r="E1036" i="8" s="1"/>
  <c r="D1036" i="3"/>
  <c r="D1036" i="8" s="1"/>
  <c r="C1036" i="3"/>
  <c r="C1036" i="8" s="1"/>
  <c r="B1036" i="3"/>
  <c r="B1036" i="8" s="1"/>
  <c r="F1035" i="3"/>
  <c r="A1035" i="8" s="1"/>
  <c r="E1035" i="3"/>
  <c r="E1035" i="8" s="1"/>
  <c r="D1035" i="3"/>
  <c r="D1035" i="8" s="1"/>
  <c r="C1035" i="3"/>
  <c r="C1035" i="8" s="1"/>
  <c r="B1035" i="3"/>
  <c r="B1035" i="8" s="1"/>
  <c r="F1034" i="3"/>
  <c r="A1034" i="8" s="1"/>
  <c r="E1034" i="3"/>
  <c r="E1034" i="8" s="1"/>
  <c r="D1034" i="3"/>
  <c r="D1034" i="8" s="1"/>
  <c r="C1034" i="3"/>
  <c r="C1034" i="8" s="1"/>
  <c r="B1034" i="3"/>
  <c r="B1034" i="8" s="1"/>
  <c r="F1033" i="3"/>
  <c r="A1033" i="8" s="1"/>
  <c r="E1033" i="3"/>
  <c r="E1033" i="8" s="1"/>
  <c r="D1033" i="3"/>
  <c r="D1033" i="8" s="1"/>
  <c r="C1033" i="3"/>
  <c r="C1033" i="8" s="1"/>
  <c r="B1033" i="3"/>
  <c r="B1033" i="8" s="1"/>
  <c r="F1032" i="3"/>
  <c r="A1032" i="8" s="1"/>
  <c r="E1032" i="3"/>
  <c r="E1032" i="8" s="1"/>
  <c r="D1032" i="3"/>
  <c r="D1032" i="8" s="1"/>
  <c r="C1032" i="3"/>
  <c r="C1032" i="8" s="1"/>
  <c r="B1032" i="3"/>
  <c r="B1032" i="8" s="1"/>
  <c r="F1031" i="3"/>
  <c r="A1031" i="8" s="1"/>
  <c r="E1031" i="3"/>
  <c r="E1031" i="8" s="1"/>
  <c r="D1031" i="3"/>
  <c r="D1031" i="8" s="1"/>
  <c r="C1031" i="3"/>
  <c r="C1031" i="8" s="1"/>
  <c r="B1031" i="3"/>
  <c r="B1031" i="8" s="1"/>
  <c r="F1030" i="3"/>
  <c r="A1030" i="8" s="1"/>
  <c r="E1030" i="3"/>
  <c r="E1030" i="8" s="1"/>
  <c r="D1030" i="3"/>
  <c r="D1030" i="8" s="1"/>
  <c r="C1030" i="3"/>
  <c r="C1030" i="8" s="1"/>
  <c r="B1030" i="3"/>
  <c r="B1030" i="8" s="1"/>
  <c r="F1029" i="3"/>
  <c r="A1029" i="8" s="1"/>
  <c r="E1029" i="3"/>
  <c r="E1029" i="8" s="1"/>
  <c r="D1029" i="3"/>
  <c r="D1029" i="8" s="1"/>
  <c r="C1029" i="3"/>
  <c r="C1029" i="8" s="1"/>
  <c r="B1029" i="3"/>
  <c r="B1029" i="8" s="1"/>
  <c r="F1028" i="3"/>
  <c r="A1028" i="8" s="1"/>
  <c r="E1028" i="3"/>
  <c r="E1028" i="8" s="1"/>
  <c r="D1028" i="3"/>
  <c r="D1028" i="8" s="1"/>
  <c r="C1028" i="3"/>
  <c r="C1028" i="8" s="1"/>
  <c r="B1028" i="3"/>
  <c r="B1028" i="8" s="1"/>
  <c r="F1027" i="3"/>
  <c r="A1027" i="8" s="1"/>
  <c r="E1027" i="3"/>
  <c r="E1027" i="8" s="1"/>
  <c r="D1027" i="3"/>
  <c r="D1027" i="8" s="1"/>
  <c r="C1027" i="3"/>
  <c r="C1027" i="8" s="1"/>
  <c r="B1027" i="3"/>
  <c r="B1027" i="8" s="1"/>
  <c r="F1026" i="3"/>
  <c r="A1026" i="8" s="1"/>
  <c r="E1026" i="3"/>
  <c r="E1026" i="8" s="1"/>
  <c r="D1026" i="3"/>
  <c r="D1026" i="8" s="1"/>
  <c r="C1026" i="3"/>
  <c r="C1026" i="8" s="1"/>
  <c r="B1026" i="3"/>
  <c r="B1026" i="8" s="1"/>
  <c r="F1025" i="3"/>
  <c r="A1025" i="8" s="1"/>
  <c r="E1025" i="3"/>
  <c r="E1025" i="8" s="1"/>
  <c r="D1025" i="3"/>
  <c r="D1025" i="8" s="1"/>
  <c r="C1025" i="3"/>
  <c r="C1025" i="8" s="1"/>
  <c r="B1025" i="3"/>
  <c r="B1025" i="8" s="1"/>
  <c r="F1024" i="3"/>
  <c r="A1024" i="8" s="1"/>
  <c r="E1024" i="3"/>
  <c r="E1024" i="8" s="1"/>
  <c r="D1024" i="3"/>
  <c r="D1024" i="8" s="1"/>
  <c r="C1024" i="3"/>
  <c r="C1024" i="8" s="1"/>
  <c r="B1024" i="3"/>
  <c r="B1024" i="8" s="1"/>
  <c r="F1023" i="3"/>
  <c r="A1023" i="8" s="1"/>
  <c r="E1023" i="3"/>
  <c r="E1023" i="8" s="1"/>
  <c r="D1023" i="3"/>
  <c r="D1023" i="8" s="1"/>
  <c r="C1023" i="3"/>
  <c r="C1023" i="8" s="1"/>
  <c r="B1023" i="3"/>
  <c r="B1023" i="8" s="1"/>
  <c r="F1022" i="3"/>
  <c r="A1022" i="8" s="1"/>
  <c r="E1022" i="3"/>
  <c r="E1022" i="8" s="1"/>
  <c r="D1022" i="3"/>
  <c r="D1022" i="8" s="1"/>
  <c r="C1022" i="3"/>
  <c r="C1022" i="8" s="1"/>
  <c r="B1022" i="3"/>
  <c r="B1022" i="8" s="1"/>
  <c r="F1021" i="3"/>
  <c r="A1021" i="8" s="1"/>
  <c r="E1021" i="3"/>
  <c r="E1021" i="8" s="1"/>
  <c r="D1021" i="3"/>
  <c r="D1021" i="8" s="1"/>
  <c r="C1021" i="3"/>
  <c r="C1021" i="8" s="1"/>
  <c r="B1021" i="3"/>
  <c r="B1021" i="8" s="1"/>
  <c r="F1020" i="3"/>
  <c r="A1020" i="8" s="1"/>
  <c r="E1020" i="3"/>
  <c r="E1020" i="8" s="1"/>
  <c r="D1020" i="3"/>
  <c r="D1020" i="8" s="1"/>
  <c r="C1020" i="3"/>
  <c r="C1020" i="8" s="1"/>
  <c r="B1020" i="3"/>
  <c r="B1020" i="8" s="1"/>
  <c r="F1019" i="3"/>
  <c r="A1019" i="8" s="1"/>
  <c r="E1019" i="3"/>
  <c r="E1019" i="8" s="1"/>
  <c r="D1019" i="3"/>
  <c r="D1019" i="8" s="1"/>
  <c r="C1019" i="3"/>
  <c r="C1019" i="8" s="1"/>
  <c r="B1019" i="3"/>
  <c r="B1019" i="8" s="1"/>
  <c r="F1018" i="3"/>
  <c r="A1018" i="8" s="1"/>
  <c r="E1018" i="3"/>
  <c r="E1018" i="8" s="1"/>
  <c r="D1018" i="3"/>
  <c r="D1018" i="8" s="1"/>
  <c r="C1018" i="3"/>
  <c r="C1018" i="8" s="1"/>
  <c r="B1018" i="3"/>
  <c r="B1018" i="8" s="1"/>
  <c r="F1017" i="3"/>
  <c r="A1017" i="8" s="1"/>
  <c r="E1017" i="3"/>
  <c r="E1017" i="8" s="1"/>
  <c r="D1017" i="3"/>
  <c r="D1017" i="8" s="1"/>
  <c r="C1017" i="3"/>
  <c r="C1017" i="8" s="1"/>
  <c r="B1017" i="3"/>
  <c r="B1017" i="8" s="1"/>
  <c r="F1016" i="3"/>
  <c r="A1016" i="8" s="1"/>
  <c r="E1016" i="3"/>
  <c r="E1016" i="8" s="1"/>
  <c r="D1016" i="3"/>
  <c r="D1016" i="8" s="1"/>
  <c r="C1016" i="3"/>
  <c r="C1016" i="8" s="1"/>
  <c r="B1016" i="3"/>
  <c r="B1016" i="8" s="1"/>
  <c r="F1015" i="3"/>
  <c r="A1015" i="8" s="1"/>
  <c r="E1015" i="3"/>
  <c r="E1015" i="8" s="1"/>
  <c r="D1015" i="3"/>
  <c r="D1015" i="8" s="1"/>
  <c r="C1015" i="3"/>
  <c r="C1015" i="8" s="1"/>
  <c r="B1015" i="3"/>
  <c r="B1015" i="8" s="1"/>
  <c r="F1014" i="3"/>
  <c r="A1014" i="8" s="1"/>
  <c r="E1014" i="3"/>
  <c r="E1014" i="8" s="1"/>
  <c r="D1014" i="3"/>
  <c r="D1014" i="8" s="1"/>
  <c r="C1014" i="3"/>
  <c r="C1014" i="8" s="1"/>
  <c r="B1014" i="3"/>
  <c r="B1014" i="8" s="1"/>
  <c r="F1013" i="3"/>
  <c r="A1013" i="8" s="1"/>
  <c r="E1013" i="3"/>
  <c r="E1013" i="8" s="1"/>
  <c r="D1013" i="3"/>
  <c r="D1013" i="8" s="1"/>
  <c r="C1013" i="3"/>
  <c r="C1013" i="8" s="1"/>
  <c r="B1013" i="3"/>
  <c r="B1013" i="8" s="1"/>
  <c r="F1012" i="3"/>
  <c r="A1012" i="8" s="1"/>
  <c r="E1012" i="3"/>
  <c r="E1012" i="8" s="1"/>
  <c r="D1012" i="3"/>
  <c r="D1012" i="8" s="1"/>
  <c r="C1012" i="3"/>
  <c r="C1012" i="8" s="1"/>
  <c r="B1012" i="3"/>
  <c r="B1012" i="8" s="1"/>
  <c r="F1011" i="3"/>
  <c r="A1011" i="8" s="1"/>
  <c r="E1011" i="3"/>
  <c r="E1011" i="8" s="1"/>
  <c r="D1011" i="3"/>
  <c r="D1011" i="8" s="1"/>
  <c r="C1011" i="3"/>
  <c r="C1011" i="8" s="1"/>
  <c r="B1011" i="3"/>
  <c r="B1011" i="8" s="1"/>
  <c r="F1010" i="3"/>
  <c r="A1010" i="8" s="1"/>
  <c r="E1010" i="3"/>
  <c r="E1010" i="8" s="1"/>
  <c r="D1010" i="3"/>
  <c r="D1010" i="8" s="1"/>
  <c r="C1010" i="3"/>
  <c r="C1010" i="8" s="1"/>
  <c r="B1010" i="3"/>
  <c r="B1010" i="8" s="1"/>
  <c r="F1009" i="3"/>
  <c r="A1009" i="8" s="1"/>
  <c r="E1009" i="3"/>
  <c r="E1009" i="8" s="1"/>
  <c r="D1009" i="3"/>
  <c r="D1009" i="8" s="1"/>
  <c r="C1009" i="3"/>
  <c r="C1009" i="8" s="1"/>
  <c r="B1009" i="3"/>
  <c r="B1009" i="8" s="1"/>
  <c r="F1008" i="3"/>
  <c r="A1008" i="8" s="1"/>
  <c r="E1008" i="3"/>
  <c r="E1008" i="8" s="1"/>
  <c r="D1008" i="3"/>
  <c r="D1008" i="8" s="1"/>
  <c r="C1008" i="3"/>
  <c r="C1008" i="8" s="1"/>
  <c r="B1008" i="3"/>
  <c r="B1008" i="8" s="1"/>
  <c r="F1007" i="3"/>
  <c r="A1007" i="8" s="1"/>
  <c r="E1007" i="3"/>
  <c r="E1007" i="8" s="1"/>
  <c r="D1007" i="3"/>
  <c r="D1007" i="8" s="1"/>
  <c r="C1007" i="3"/>
  <c r="C1007" i="8" s="1"/>
  <c r="B1007" i="3"/>
  <c r="B1007" i="8" s="1"/>
  <c r="F1006" i="3"/>
  <c r="A1006" i="8" s="1"/>
  <c r="E1006" i="3"/>
  <c r="E1006" i="8" s="1"/>
  <c r="D1006" i="3"/>
  <c r="D1006" i="8" s="1"/>
  <c r="C1006" i="3"/>
  <c r="C1006" i="8" s="1"/>
  <c r="B1006" i="3"/>
  <c r="B1006" i="8" s="1"/>
  <c r="F1005" i="3"/>
  <c r="A1005" i="8" s="1"/>
  <c r="E1005" i="3"/>
  <c r="E1005" i="8" s="1"/>
  <c r="D1005" i="3"/>
  <c r="D1005" i="8" s="1"/>
  <c r="C1005" i="3"/>
  <c r="C1005" i="8" s="1"/>
  <c r="B1005" i="3"/>
  <c r="B1005" i="8" s="1"/>
  <c r="F1004" i="3"/>
  <c r="A1004" i="8" s="1"/>
  <c r="E1004" i="3"/>
  <c r="E1004" i="8" s="1"/>
  <c r="D1004" i="3"/>
  <c r="D1004" i="8" s="1"/>
  <c r="C1004" i="3"/>
  <c r="C1004" i="8" s="1"/>
  <c r="B1004" i="3"/>
  <c r="B1004" i="8" s="1"/>
  <c r="F1003" i="3"/>
  <c r="A1003" i="8" s="1"/>
  <c r="E1003" i="3"/>
  <c r="E1003" i="8" s="1"/>
  <c r="D1003" i="3"/>
  <c r="D1003" i="8" s="1"/>
  <c r="C1003" i="3"/>
  <c r="C1003" i="8" s="1"/>
  <c r="B1003" i="3"/>
  <c r="B1003" i="8" s="1"/>
  <c r="F1002" i="3"/>
  <c r="A1002" i="8" s="1"/>
  <c r="E1002" i="3"/>
  <c r="E1002" i="8" s="1"/>
  <c r="D1002" i="3"/>
  <c r="D1002" i="8" s="1"/>
  <c r="C1002" i="3"/>
  <c r="C1002" i="8" s="1"/>
  <c r="B1002" i="3"/>
  <c r="B1002" i="8" s="1"/>
  <c r="F1001" i="3"/>
  <c r="A1001" i="8" s="1"/>
  <c r="E1001" i="3"/>
  <c r="E1001" i="8" s="1"/>
  <c r="D1001" i="3"/>
  <c r="D1001" i="8" s="1"/>
  <c r="C1001" i="3"/>
  <c r="C1001" i="8" s="1"/>
  <c r="B1001" i="3"/>
  <c r="B1001" i="8" s="1"/>
  <c r="F1000" i="3"/>
  <c r="A1000" i="8" s="1"/>
  <c r="E1000" i="3"/>
  <c r="E1000" i="8" s="1"/>
  <c r="D1000" i="3"/>
  <c r="D1000" i="8" s="1"/>
  <c r="C1000" i="3"/>
  <c r="C1000" i="8" s="1"/>
  <c r="B1000" i="3"/>
  <c r="B1000" i="8" s="1"/>
  <c r="F999" i="3"/>
  <c r="A999" i="8" s="1"/>
  <c r="E999" i="3"/>
  <c r="E999" i="8" s="1"/>
  <c r="D999" i="3"/>
  <c r="D999" i="8" s="1"/>
  <c r="C999" i="3"/>
  <c r="C999" i="8" s="1"/>
  <c r="B999" i="3"/>
  <c r="B999" i="8" s="1"/>
  <c r="F998" i="3"/>
  <c r="A998" i="8" s="1"/>
  <c r="E998" i="3"/>
  <c r="E998" i="8" s="1"/>
  <c r="D998" i="3"/>
  <c r="D998" i="8" s="1"/>
  <c r="C998" i="3"/>
  <c r="C998" i="8" s="1"/>
  <c r="B998" i="3"/>
  <c r="B998" i="8" s="1"/>
  <c r="F997" i="3"/>
  <c r="A997" i="8" s="1"/>
  <c r="E997" i="3"/>
  <c r="E997" i="8" s="1"/>
  <c r="D997" i="3"/>
  <c r="D997" i="8" s="1"/>
  <c r="C997" i="3"/>
  <c r="C997" i="8" s="1"/>
  <c r="B997" i="3"/>
  <c r="B997" i="8" s="1"/>
  <c r="F996" i="3"/>
  <c r="A996" i="8" s="1"/>
  <c r="E996" i="3"/>
  <c r="E996" i="8" s="1"/>
  <c r="D996" i="3"/>
  <c r="D996" i="8" s="1"/>
  <c r="C996" i="3"/>
  <c r="C996" i="8" s="1"/>
  <c r="B996" i="3"/>
  <c r="B996" i="8" s="1"/>
  <c r="F995" i="3"/>
  <c r="A995" i="8" s="1"/>
  <c r="E995" i="3"/>
  <c r="E995" i="8" s="1"/>
  <c r="D995" i="3"/>
  <c r="D995" i="8" s="1"/>
  <c r="C995" i="3"/>
  <c r="C995" i="8" s="1"/>
  <c r="B995" i="3"/>
  <c r="B995" i="8" s="1"/>
  <c r="F994" i="3"/>
  <c r="A994" i="8" s="1"/>
  <c r="E994" i="3"/>
  <c r="E994" i="8" s="1"/>
  <c r="D994" i="3"/>
  <c r="D994" i="8" s="1"/>
  <c r="C994" i="3"/>
  <c r="C994" i="8" s="1"/>
  <c r="B994" i="3"/>
  <c r="B994" i="8" s="1"/>
  <c r="F993" i="3"/>
  <c r="A993" i="8" s="1"/>
  <c r="E993" i="3"/>
  <c r="E993" i="8" s="1"/>
  <c r="D993" i="3"/>
  <c r="D993" i="8" s="1"/>
  <c r="C993" i="3"/>
  <c r="C993" i="8" s="1"/>
  <c r="B993" i="3"/>
  <c r="B993" i="8" s="1"/>
  <c r="F992" i="3"/>
  <c r="A992" i="8" s="1"/>
  <c r="E992" i="3"/>
  <c r="E992" i="8" s="1"/>
  <c r="D992" i="3"/>
  <c r="D992" i="8" s="1"/>
  <c r="C992" i="3"/>
  <c r="C992" i="8" s="1"/>
  <c r="B992" i="3"/>
  <c r="B992" i="8" s="1"/>
  <c r="F991" i="3"/>
  <c r="A991" i="8" s="1"/>
  <c r="E991" i="3"/>
  <c r="E991" i="8" s="1"/>
  <c r="D991" i="3"/>
  <c r="D991" i="8" s="1"/>
  <c r="C991" i="3"/>
  <c r="C991" i="8" s="1"/>
  <c r="B991" i="3"/>
  <c r="B991" i="8" s="1"/>
  <c r="F990" i="3"/>
  <c r="A990" i="8" s="1"/>
  <c r="E990" i="3"/>
  <c r="E990" i="8" s="1"/>
  <c r="D990" i="3"/>
  <c r="D990" i="8" s="1"/>
  <c r="C990" i="3"/>
  <c r="C990" i="8" s="1"/>
  <c r="B990" i="3"/>
  <c r="B990" i="8" s="1"/>
  <c r="F989" i="3"/>
  <c r="A989" i="8" s="1"/>
  <c r="E989" i="3"/>
  <c r="E989" i="8" s="1"/>
  <c r="D989" i="3"/>
  <c r="D989" i="8" s="1"/>
  <c r="C989" i="3"/>
  <c r="C989" i="8" s="1"/>
  <c r="B989" i="3"/>
  <c r="B989" i="8" s="1"/>
  <c r="F988" i="3"/>
  <c r="A988" i="8" s="1"/>
  <c r="E988" i="3"/>
  <c r="E988" i="8" s="1"/>
  <c r="D988" i="3"/>
  <c r="D988" i="8" s="1"/>
  <c r="C988" i="3"/>
  <c r="C988" i="8" s="1"/>
  <c r="B988" i="3"/>
  <c r="B988" i="8" s="1"/>
  <c r="F987" i="3"/>
  <c r="A987" i="8" s="1"/>
  <c r="E987" i="3"/>
  <c r="E987" i="8" s="1"/>
  <c r="D987" i="3"/>
  <c r="D987" i="8" s="1"/>
  <c r="C987" i="3"/>
  <c r="C987" i="8" s="1"/>
  <c r="B987" i="3"/>
  <c r="B987" i="8" s="1"/>
  <c r="F986" i="3"/>
  <c r="A986" i="8" s="1"/>
  <c r="E986" i="3"/>
  <c r="E986" i="8" s="1"/>
  <c r="D986" i="3"/>
  <c r="D986" i="8" s="1"/>
  <c r="C986" i="3"/>
  <c r="C986" i="8" s="1"/>
  <c r="B986" i="3"/>
  <c r="B986" i="8" s="1"/>
  <c r="F985" i="3"/>
  <c r="A985" i="8" s="1"/>
  <c r="E985" i="3"/>
  <c r="E985" i="8" s="1"/>
  <c r="D985" i="3"/>
  <c r="D985" i="8" s="1"/>
  <c r="C985" i="3"/>
  <c r="C985" i="8" s="1"/>
  <c r="B985" i="3"/>
  <c r="B985" i="8" s="1"/>
  <c r="F984" i="3"/>
  <c r="A984" i="8" s="1"/>
  <c r="E984" i="3"/>
  <c r="E984" i="8" s="1"/>
  <c r="D984" i="3"/>
  <c r="D984" i="8" s="1"/>
  <c r="C984" i="3"/>
  <c r="C984" i="8" s="1"/>
  <c r="B984" i="3"/>
  <c r="B984" i="8" s="1"/>
  <c r="F983" i="3"/>
  <c r="A983" i="8" s="1"/>
  <c r="E983" i="3"/>
  <c r="E983" i="8" s="1"/>
  <c r="D983" i="3"/>
  <c r="D983" i="8" s="1"/>
  <c r="C983" i="3"/>
  <c r="C983" i="8" s="1"/>
  <c r="B983" i="3"/>
  <c r="B983" i="8" s="1"/>
  <c r="F982" i="3"/>
  <c r="A982" i="8" s="1"/>
  <c r="E982" i="3"/>
  <c r="E982" i="8" s="1"/>
  <c r="D982" i="3"/>
  <c r="D982" i="8" s="1"/>
  <c r="C982" i="3"/>
  <c r="C982" i="8" s="1"/>
  <c r="B982" i="3"/>
  <c r="B982" i="8" s="1"/>
  <c r="F981" i="3"/>
  <c r="A981" i="8" s="1"/>
  <c r="E981" i="3"/>
  <c r="E981" i="8" s="1"/>
  <c r="D981" i="3"/>
  <c r="D981" i="8" s="1"/>
  <c r="C981" i="3"/>
  <c r="C981" i="8" s="1"/>
  <c r="B981" i="3"/>
  <c r="B981" i="8" s="1"/>
  <c r="F980" i="3"/>
  <c r="A980" i="8" s="1"/>
  <c r="E980" i="3"/>
  <c r="E980" i="8" s="1"/>
  <c r="D980" i="3"/>
  <c r="D980" i="8" s="1"/>
  <c r="C980" i="3"/>
  <c r="C980" i="8" s="1"/>
  <c r="B980" i="3"/>
  <c r="B980" i="8" s="1"/>
  <c r="F979" i="3"/>
  <c r="A979" i="8" s="1"/>
  <c r="E979" i="3"/>
  <c r="E979" i="8" s="1"/>
  <c r="D979" i="3"/>
  <c r="D979" i="8" s="1"/>
  <c r="C979" i="3"/>
  <c r="C979" i="8" s="1"/>
  <c r="B979" i="3"/>
  <c r="B979" i="8" s="1"/>
  <c r="F978" i="3"/>
  <c r="A978" i="8" s="1"/>
  <c r="E978" i="3"/>
  <c r="E978" i="8" s="1"/>
  <c r="D978" i="3"/>
  <c r="D978" i="8" s="1"/>
  <c r="C978" i="3"/>
  <c r="C978" i="8" s="1"/>
  <c r="B978" i="3"/>
  <c r="B978" i="8" s="1"/>
  <c r="F977" i="3"/>
  <c r="A977" i="8" s="1"/>
  <c r="E977" i="3"/>
  <c r="E977" i="8" s="1"/>
  <c r="D977" i="3"/>
  <c r="D977" i="8" s="1"/>
  <c r="C977" i="3"/>
  <c r="C977" i="8" s="1"/>
  <c r="B977" i="3"/>
  <c r="B977" i="8" s="1"/>
  <c r="F976" i="3"/>
  <c r="A976" i="8" s="1"/>
  <c r="E976" i="3"/>
  <c r="E976" i="8" s="1"/>
  <c r="D976" i="3"/>
  <c r="D976" i="8" s="1"/>
  <c r="C976" i="3"/>
  <c r="C976" i="8" s="1"/>
  <c r="B976" i="3"/>
  <c r="B976" i="8" s="1"/>
  <c r="F975" i="3"/>
  <c r="A975" i="8" s="1"/>
  <c r="E975" i="3"/>
  <c r="E975" i="8" s="1"/>
  <c r="D975" i="3"/>
  <c r="D975" i="8" s="1"/>
  <c r="C975" i="3"/>
  <c r="C975" i="8" s="1"/>
  <c r="B975" i="3"/>
  <c r="B975" i="8" s="1"/>
  <c r="F974" i="3"/>
  <c r="A974" i="8" s="1"/>
  <c r="E974" i="3"/>
  <c r="E974" i="8" s="1"/>
  <c r="D974" i="3"/>
  <c r="D974" i="8" s="1"/>
  <c r="C974" i="3"/>
  <c r="C974" i="8" s="1"/>
  <c r="B974" i="3"/>
  <c r="B974" i="8" s="1"/>
  <c r="F973" i="3"/>
  <c r="A973" i="8" s="1"/>
  <c r="E973" i="3"/>
  <c r="E973" i="8" s="1"/>
  <c r="D973" i="3"/>
  <c r="D973" i="8" s="1"/>
  <c r="C973" i="3"/>
  <c r="C973" i="8" s="1"/>
  <c r="B973" i="3"/>
  <c r="B973" i="8" s="1"/>
  <c r="F972" i="3"/>
  <c r="A972" i="8" s="1"/>
  <c r="E972" i="3"/>
  <c r="E972" i="8" s="1"/>
  <c r="D972" i="3"/>
  <c r="D972" i="8" s="1"/>
  <c r="C972" i="3"/>
  <c r="C972" i="8" s="1"/>
  <c r="B972" i="3"/>
  <c r="B972" i="8" s="1"/>
  <c r="F971" i="3"/>
  <c r="A971" i="8" s="1"/>
  <c r="E971" i="3"/>
  <c r="E971" i="8" s="1"/>
  <c r="D971" i="3"/>
  <c r="D971" i="8" s="1"/>
  <c r="C971" i="3"/>
  <c r="C971" i="8" s="1"/>
  <c r="B971" i="3"/>
  <c r="B971" i="8" s="1"/>
  <c r="F970" i="3"/>
  <c r="A970" i="8" s="1"/>
  <c r="E970" i="3"/>
  <c r="E970" i="8" s="1"/>
  <c r="D970" i="3"/>
  <c r="D970" i="8" s="1"/>
  <c r="C970" i="3"/>
  <c r="C970" i="8" s="1"/>
  <c r="B970" i="3"/>
  <c r="B970" i="8" s="1"/>
  <c r="F969" i="3"/>
  <c r="A969" i="8" s="1"/>
  <c r="E969" i="3"/>
  <c r="E969" i="8" s="1"/>
  <c r="D969" i="3"/>
  <c r="D969" i="8" s="1"/>
  <c r="C969" i="3"/>
  <c r="C969" i="8" s="1"/>
  <c r="B969" i="3"/>
  <c r="B969" i="8" s="1"/>
  <c r="F968" i="3"/>
  <c r="A968" i="8" s="1"/>
  <c r="E968" i="3"/>
  <c r="E968" i="8" s="1"/>
  <c r="D968" i="3"/>
  <c r="D968" i="8" s="1"/>
  <c r="C968" i="3"/>
  <c r="C968" i="8" s="1"/>
  <c r="B968" i="3"/>
  <c r="B968" i="8" s="1"/>
  <c r="F967" i="3"/>
  <c r="A967" i="8" s="1"/>
  <c r="E967" i="3"/>
  <c r="E967" i="8" s="1"/>
  <c r="D967" i="3"/>
  <c r="D967" i="8" s="1"/>
  <c r="C967" i="3"/>
  <c r="C967" i="8" s="1"/>
  <c r="B967" i="3"/>
  <c r="B967" i="8" s="1"/>
  <c r="F966" i="3"/>
  <c r="A966" i="8" s="1"/>
  <c r="E966" i="3"/>
  <c r="E966" i="8" s="1"/>
  <c r="D966" i="3"/>
  <c r="D966" i="8" s="1"/>
  <c r="C966" i="3"/>
  <c r="C966" i="8" s="1"/>
  <c r="B966" i="3"/>
  <c r="B966" i="8" s="1"/>
  <c r="F965" i="3"/>
  <c r="A965" i="8" s="1"/>
  <c r="E965" i="3"/>
  <c r="E965" i="8" s="1"/>
  <c r="D965" i="3"/>
  <c r="D965" i="8" s="1"/>
  <c r="C965" i="3"/>
  <c r="C965" i="8" s="1"/>
  <c r="B965" i="3"/>
  <c r="B965" i="8" s="1"/>
  <c r="F964" i="3"/>
  <c r="A964" i="8" s="1"/>
  <c r="E964" i="3"/>
  <c r="E964" i="8" s="1"/>
  <c r="D964" i="3"/>
  <c r="D964" i="8" s="1"/>
  <c r="C964" i="3"/>
  <c r="C964" i="8" s="1"/>
  <c r="B964" i="3"/>
  <c r="B964" i="8" s="1"/>
  <c r="F963" i="3"/>
  <c r="A963" i="8" s="1"/>
  <c r="E963" i="3"/>
  <c r="E963" i="8" s="1"/>
  <c r="D963" i="3"/>
  <c r="D963" i="8" s="1"/>
  <c r="C963" i="3"/>
  <c r="C963" i="8" s="1"/>
  <c r="B963" i="3"/>
  <c r="B963" i="8" s="1"/>
  <c r="F962" i="3"/>
  <c r="A962" i="8" s="1"/>
  <c r="E962" i="3"/>
  <c r="E962" i="8" s="1"/>
  <c r="D962" i="3"/>
  <c r="D962" i="8" s="1"/>
  <c r="C962" i="3"/>
  <c r="C962" i="8" s="1"/>
  <c r="B962" i="3"/>
  <c r="B962" i="8" s="1"/>
  <c r="F961" i="3"/>
  <c r="A961" i="8" s="1"/>
  <c r="E961" i="3"/>
  <c r="E961" i="8" s="1"/>
  <c r="D961" i="3"/>
  <c r="D961" i="8" s="1"/>
  <c r="C961" i="3"/>
  <c r="C961" i="8" s="1"/>
  <c r="B961" i="3"/>
  <c r="B961" i="8" s="1"/>
  <c r="F960" i="3"/>
  <c r="A960" i="8" s="1"/>
  <c r="E960" i="3"/>
  <c r="E960" i="8" s="1"/>
  <c r="D960" i="3"/>
  <c r="D960" i="8" s="1"/>
  <c r="C960" i="3"/>
  <c r="C960" i="8" s="1"/>
  <c r="B960" i="3"/>
  <c r="B960" i="8" s="1"/>
  <c r="F959" i="3"/>
  <c r="A959" i="8" s="1"/>
  <c r="E959" i="3"/>
  <c r="E959" i="8" s="1"/>
  <c r="D959" i="3"/>
  <c r="D959" i="8" s="1"/>
  <c r="C959" i="3"/>
  <c r="C959" i="8" s="1"/>
  <c r="B959" i="3"/>
  <c r="B959" i="8" s="1"/>
  <c r="F958" i="3"/>
  <c r="A958" i="8" s="1"/>
  <c r="E958" i="3"/>
  <c r="E958" i="8" s="1"/>
  <c r="D958" i="3"/>
  <c r="D958" i="8" s="1"/>
  <c r="C958" i="3"/>
  <c r="C958" i="8" s="1"/>
  <c r="B958" i="3"/>
  <c r="B958" i="8" s="1"/>
  <c r="F957" i="3"/>
  <c r="A957" i="8" s="1"/>
  <c r="E957" i="3"/>
  <c r="E957" i="8" s="1"/>
  <c r="D957" i="3"/>
  <c r="D957" i="8" s="1"/>
  <c r="C957" i="3"/>
  <c r="C957" i="8" s="1"/>
  <c r="B957" i="3"/>
  <c r="B957" i="8" s="1"/>
  <c r="F956" i="3"/>
  <c r="A956" i="8" s="1"/>
  <c r="E956" i="3"/>
  <c r="E956" i="8" s="1"/>
  <c r="D956" i="3"/>
  <c r="D956" i="8" s="1"/>
  <c r="C956" i="3"/>
  <c r="C956" i="8" s="1"/>
  <c r="B956" i="3"/>
  <c r="B956" i="8" s="1"/>
  <c r="F955" i="3"/>
  <c r="A955" i="8" s="1"/>
  <c r="E955" i="3"/>
  <c r="E955" i="8" s="1"/>
  <c r="D955" i="3"/>
  <c r="D955" i="8" s="1"/>
  <c r="C955" i="3"/>
  <c r="C955" i="8" s="1"/>
  <c r="B955" i="3"/>
  <c r="B955" i="8" s="1"/>
  <c r="F954" i="3"/>
  <c r="A954" i="8" s="1"/>
  <c r="E954" i="3"/>
  <c r="E954" i="8" s="1"/>
  <c r="D954" i="3"/>
  <c r="D954" i="8" s="1"/>
  <c r="C954" i="3"/>
  <c r="C954" i="8" s="1"/>
  <c r="B954" i="3"/>
  <c r="B954" i="8" s="1"/>
  <c r="F953" i="3"/>
  <c r="A953" i="8" s="1"/>
  <c r="E953" i="3"/>
  <c r="E953" i="8" s="1"/>
  <c r="D953" i="3"/>
  <c r="D953" i="8" s="1"/>
  <c r="C953" i="3"/>
  <c r="C953" i="8" s="1"/>
  <c r="B953" i="3"/>
  <c r="B953" i="8" s="1"/>
  <c r="F952" i="3"/>
  <c r="A952" i="8" s="1"/>
  <c r="E952" i="3"/>
  <c r="E952" i="8" s="1"/>
  <c r="D952" i="3"/>
  <c r="D952" i="8" s="1"/>
  <c r="C952" i="3"/>
  <c r="C952" i="8" s="1"/>
  <c r="B952" i="3"/>
  <c r="B952" i="8" s="1"/>
  <c r="F951" i="3"/>
  <c r="A951" i="8" s="1"/>
  <c r="E951" i="3"/>
  <c r="E951" i="8" s="1"/>
  <c r="D951" i="3"/>
  <c r="D951" i="8" s="1"/>
  <c r="C951" i="3"/>
  <c r="C951" i="8" s="1"/>
  <c r="B951" i="3"/>
  <c r="B951" i="8" s="1"/>
  <c r="F950" i="3"/>
  <c r="A950" i="8" s="1"/>
  <c r="E950" i="3"/>
  <c r="E950" i="8" s="1"/>
  <c r="D950" i="3"/>
  <c r="D950" i="8" s="1"/>
  <c r="C950" i="3"/>
  <c r="C950" i="8" s="1"/>
  <c r="B950" i="3"/>
  <c r="B950" i="8" s="1"/>
  <c r="F949" i="3"/>
  <c r="A949" i="8" s="1"/>
  <c r="E949" i="3"/>
  <c r="E949" i="8" s="1"/>
  <c r="D949" i="3"/>
  <c r="D949" i="8" s="1"/>
  <c r="C949" i="3"/>
  <c r="C949" i="8" s="1"/>
  <c r="B949" i="3"/>
  <c r="B949" i="8" s="1"/>
  <c r="F948" i="3"/>
  <c r="A948" i="8" s="1"/>
  <c r="E948" i="3"/>
  <c r="E948" i="8" s="1"/>
  <c r="D948" i="3"/>
  <c r="D948" i="8" s="1"/>
  <c r="C948" i="3"/>
  <c r="C948" i="8" s="1"/>
  <c r="B948" i="3"/>
  <c r="B948" i="8" s="1"/>
  <c r="F947" i="3"/>
  <c r="A947" i="8" s="1"/>
  <c r="E947" i="3"/>
  <c r="E947" i="8" s="1"/>
  <c r="D947" i="3"/>
  <c r="D947" i="8" s="1"/>
  <c r="C947" i="3"/>
  <c r="C947" i="8" s="1"/>
  <c r="B947" i="3"/>
  <c r="B947" i="8" s="1"/>
  <c r="F946" i="3"/>
  <c r="A946" i="8" s="1"/>
  <c r="E946" i="3"/>
  <c r="E946" i="8" s="1"/>
  <c r="D946" i="3"/>
  <c r="D946" i="8" s="1"/>
  <c r="C946" i="3"/>
  <c r="C946" i="8" s="1"/>
  <c r="B946" i="3"/>
  <c r="B946" i="8" s="1"/>
  <c r="F945" i="3"/>
  <c r="A945" i="8" s="1"/>
  <c r="E945" i="3"/>
  <c r="E945" i="8" s="1"/>
  <c r="D945" i="3"/>
  <c r="D945" i="8" s="1"/>
  <c r="C945" i="3"/>
  <c r="C945" i="8" s="1"/>
  <c r="B945" i="3"/>
  <c r="B945" i="8" s="1"/>
  <c r="F944" i="3"/>
  <c r="A944" i="8" s="1"/>
  <c r="E944" i="3"/>
  <c r="E944" i="8" s="1"/>
  <c r="D944" i="3"/>
  <c r="D944" i="8" s="1"/>
  <c r="C944" i="3"/>
  <c r="C944" i="8" s="1"/>
  <c r="B944" i="3"/>
  <c r="B944" i="8" s="1"/>
  <c r="F943" i="3"/>
  <c r="A943" i="8" s="1"/>
  <c r="E943" i="3"/>
  <c r="E943" i="8" s="1"/>
  <c r="D943" i="3"/>
  <c r="D943" i="8" s="1"/>
  <c r="C943" i="3"/>
  <c r="C943" i="8" s="1"/>
  <c r="B943" i="3"/>
  <c r="B943" i="8" s="1"/>
  <c r="F942" i="3"/>
  <c r="A942" i="8" s="1"/>
  <c r="E942" i="3"/>
  <c r="E942" i="8" s="1"/>
  <c r="D942" i="3"/>
  <c r="D942" i="8" s="1"/>
  <c r="C942" i="3"/>
  <c r="C942" i="8" s="1"/>
  <c r="B942" i="3"/>
  <c r="B942" i="8" s="1"/>
  <c r="F941" i="3"/>
  <c r="A941" i="8" s="1"/>
  <c r="E941" i="3"/>
  <c r="E941" i="8" s="1"/>
  <c r="D941" i="3"/>
  <c r="D941" i="8" s="1"/>
  <c r="C941" i="3"/>
  <c r="C941" i="8" s="1"/>
  <c r="B941" i="3"/>
  <c r="B941" i="8" s="1"/>
  <c r="F940" i="3"/>
  <c r="A940" i="8" s="1"/>
  <c r="E940" i="3"/>
  <c r="E940" i="8" s="1"/>
  <c r="D940" i="3"/>
  <c r="D940" i="8" s="1"/>
  <c r="C940" i="3"/>
  <c r="C940" i="8" s="1"/>
  <c r="B940" i="3"/>
  <c r="B940" i="8" s="1"/>
  <c r="F939" i="3"/>
  <c r="A939" i="8" s="1"/>
  <c r="E939" i="3"/>
  <c r="E939" i="8" s="1"/>
  <c r="D939" i="3"/>
  <c r="D939" i="8" s="1"/>
  <c r="C939" i="3"/>
  <c r="C939" i="8" s="1"/>
  <c r="B939" i="3"/>
  <c r="B939" i="8" s="1"/>
  <c r="F938" i="3"/>
  <c r="A938" i="8" s="1"/>
  <c r="E938" i="3"/>
  <c r="E938" i="8" s="1"/>
  <c r="D938" i="3"/>
  <c r="D938" i="8" s="1"/>
  <c r="C938" i="3"/>
  <c r="C938" i="8" s="1"/>
  <c r="B938" i="3"/>
  <c r="B938" i="8" s="1"/>
  <c r="F937" i="3"/>
  <c r="A937" i="8" s="1"/>
  <c r="E937" i="3"/>
  <c r="E937" i="8" s="1"/>
  <c r="D937" i="3"/>
  <c r="D937" i="8" s="1"/>
  <c r="C937" i="3"/>
  <c r="C937" i="8" s="1"/>
  <c r="B937" i="3"/>
  <c r="B937" i="8" s="1"/>
  <c r="F936" i="3"/>
  <c r="A936" i="8" s="1"/>
  <c r="E936" i="3"/>
  <c r="E936" i="8" s="1"/>
  <c r="D936" i="3"/>
  <c r="D936" i="8" s="1"/>
  <c r="C936" i="3"/>
  <c r="C936" i="8" s="1"/>
  <c r="B936" i="3"/>
  <c r="B936" i="8" s="1"/>
  <c r="F935" i="3"/>
  <c r="A935" i="8" s="1"/>
  <c r="E935" i="3"/>
  <c r="E935" i="8" s="1"/>
  <c r="D935" i="3"/>
  <c r="D935" i="8" s="1"/>
  <c r="C935" i="3"/>
  <c r="C935" i="8" s="1"/>
  <c r="B935" i="3"/>
  <c r="B935" i="8" s="1"/>
  <c r="F934" i="3"/>
  <c r="A934" i="8" s="1"/>
  <c r="E934" i="3"/>
  <c r="E934" i="8" s="1"/>
  <c r="D934" i="3"/>
  <c r="D934" i="8" s="1"/>
  <c r="C934" i="3"/>
  <c r="C934" i="8" s="1"/>
  <c r="B934" i="3"/>
  <c r="B934" i="8" s="1"/>
  <c r="F933" i="3"/>
  <c r="A933" i="8" s="1"/>
  <c r="E933" i="3"/>
  <c r="E933" i="8" s="1"/>
  <c r="D933" i="3"/>
  <c r="D933" i="8" s="1"/>
  <c r="C933" i="3"/>
  <c r="C933" i="8" s="1"/>
  <c r="B933" i="3"/>
  <c r="B933" i="8" s="1"/>
  <c r="F932" i="3"/>
  <c r="A932" i="8" s="1"/>
  <c r="E932" i="3"/>
  <c r="E932" i="8" s="1"/>
  <c r="D932" i="3"/>
  <c r="D932" i="8" s="1"/>
  <c r="C932" i="3"/>
  <c r="C932" i="8" s="1"/>
  <c r="B932" i="3"/>
  <c r="B932" i="8" s="1"/>
  <c r="F931" i="3"/>
  <c r="A931" i="8" s="1"/>
  <c r="E931" i="3"/>
  <c r="E931" i="8" s="1"/>
  <c r="D931" i="3"/>
  <c r="D931" i="8" s="1"/>
  <c r="C931" i="3"/>
  <c r="C931" i="8" s="1"/>
  <c r="B931" i="3"/>
  <c r="B931" i="8" s="1"/>
  <c r="F930" i="3"/>
  <c r="A930" i="8" s="1"/>
  <c r="E930" i="3"/>
  <c r="E930" i="8" s="1"/>
  <c r="D930" i="3"/>
  <c r="D930" i="8" s="1"/>
  <c r="C930" i="3"/>
  <c r="C930" i="8" s="1"/>
  <c r="B930" i="3"/>
  <c r="B930" i="8" s="1"/>
  <c r="F929" i="3"/>
  <c r="A929" i="8" s="1"/>
  <c r="E929" i="3"/>
  <c r="E929" i="8" s="1"/>
  <c r="D929" i="3"/>
  <c r="D929" i="8" s="1"/>
  <c r="C929" i="3"/>
  <c r="C929" i="8" s="1"/>
  <c r="B929" i="3"/>
  <c r="B929" i="8" s="1"/>
  <c r="F928" i="3"/>
  <c r="A928" i="8" s="1"/>
  <c r="E928" i="3"/>
  <c r="E928" i="8" s="1"/>
  <c r="D928" i="3"/>
  <c r="D928" i="8" s="1"/>
  <c r="C928" i="3"/>
  <c r="C928" i="8" s="1"/>
  <c r="B928" i="3"/>
  <c r="B928" i="8" s="1"/>
  <c r="F927" i="3"/>
  <c r="A927" i="8" s="1"/>
  <c r="E927" i="3"/>
  <c r="E927" i="8" s="1"/>
  <c r="D927" i="3"/>
  <c r="D927" i="8" s="1"/>
  <c r="C927" i="3"/>
  <c r="C927" i="8" s="1"/>
  <c r="B927" i="3"/>
  <c r="B927" i="8" s="1"/>
  <c r="F926" i="3"/>
  <c r="A926" i="8" s="1"/>
  <c r="E926" i="3"/>
  <c r="E926" i="8" s="1"/>
  <c r="D926" i="3"/>
  <c r="D926" i="8" s="1"/>
  <c r="C926" i="3"/>
  <c r="C926" i="8" s="1"/>
  <c r="B926" i="3"/>
  <c r="B926" i="8" s="1"/>
  <c r="F925" i="3"/>
  <c r="A925" i="8" s="1"/>
  <c r="E925" i="3"/>
  <c r="E925" i="8" s="1"/>
  <c r="D925" i="3"/>
  <c r="D925" i="8" s="1"/>
  <c r="C925" i="3"/>
  <c r="C925" i="8" s="1"/>
  <c r="B925" i="3"/>
  <c r="B925" i="8" s="1"/>
  <c r="F924" i="3"/>
  <c r="A924" i="8" s="1"/>
  <c r="E924" i="3"/>
  <c r="E924" i="8" s="1"/>
  <c r="D924" i="3"/>
  <c r="D924" i="8" s="1"/>
  <c r="C924" i="3"/>
  <c r="C924" i="8" s="1"/>
  <c r="B924" i="3"/>
  <c r="B924" i="8" s="1"/>
  <c r="F923" i="3"/>
  <c r="A923" i="8" s="1"/>
  <c r="E923" i="3"/>
  <c r="E923" i="8" s="1"/>
  <c r="D923" i="3"/>
  <c r="D923" i="8" s="1"/>
  <c r="C923" i="3"/>
  <c r="C923" i="8" s="1"/>
  <c r="B923" i="3"/>
  <c r="B923" i="8" s="1"/>
  <c r="F922" i="3"/>
  <c r="A922" i="8" s="1"/>
  <c r="E922" i="3"/>
  <c r="E922" i="8" s="1"/>
  <c r="D922" i="3"/>
  <c r="D922" i="8" s="1"/>
  <c r="C922" i="3"/>
  <c r="C922" i="8" s="1"/>
  <c r="B922" i="3"/>
  <c r="B922" i="8" s="1"/>
  <c r="F921" i="3"/>
  <c r="A921" i="8" s="1"/>
  <c r="E921" i="3"/>
  <c r="E921" i="8" s="1"/>
  <c r="D921" i="3"/>
  <c r="D921" i="8" s="1"/>
  <c r="C921" i="3"/>
  <c r="C921" i="8" s="1"/>
  <c r="B921" i="3"/>
  <c r="B921" i="8" s="1"/>
  <c r="F920" i="3"/>
  <c r="A920" i="8" s="1"/>
  <c r="E920" i="3"/>
  <c r="E920" i="8" s="1"/>
  <c r="D920" i="3"/>
  <c r="D920" i="8" s="1"/>
  <c r="C920" i="3"/>
  <c r="C920" i="8" s="1"/>
  <c r="B920" i="3"/>
  <c r="B920" i="8" s="1"/>
  <c r="F919" i="3"/>
  <c r="A919" i="8" s="1"/>
  <c r="E919" i="3"/>
  <c r="E919" i="8" s="1"/>
  <c r="D919" i="3"/>
  <c r="D919" i="8" s="1"/>
  <c r="C919" i="3"/>
  <c r="C919" i="8" s="1"/>
  <c r="B919" i="3"/>
  <c r="B919" i="8" s="1"/>
  <c r="F918" i="3"/>
  <c r="A918" i="8" s="1"/>
  <c r="E918" i="3"/>
  <c r="E918" i="8" s="1"/>
  <c r="D918" i="3"/>
  <c r="D918" i="8" s="1"/>
  <c r="C918" i="3"/>
  <c r="C918" i="8" s="1"/>
  <c r="B918" i="3"/>
  <c r="B918" i="8" s="1"/>
  <c r="F917" i="3"/>
  <c r="A917" i="8" s="1"/>
  <c r="E917" i="3"/>
  <c r="E917" i="8" s="1"/>
  <c r="D917" i="3"/>
  <c r="D917" i="8" s="1"/>
  <c r="C917" i="3"/>
  <c r="C917" i="8" s="1"/>
  <c r="B917" i="3"/>
  <c r="B917" i="8" s="1"/>
  <c r="F916" i="3"/>
  <c r="A916" i="8" s="1"/>
  <c r="E916" i="3"/>
  <c r="E916" i="8" s="1"/>
  <c r="D916" i="3"/>
  <c r="D916" i="8" s="1"/>
  <c r="C916" i="3"/>
  <c r="C916" i="8" s="1"/>
  <c r="B916" i="3"/>
  <c r="B916" i="8" s="1"/>
  <c r="F915" i="3"/>
  <c r="A915" i="8" s="1"/>
  <c r="E915" i="3"/>
  <c r="E915" i="8" s="1"/>
  <c r="D915" i="3"/>
  <c r="D915" i="8" s="1"/>
  <c r="C915" i="3"/>
  <c r="C915" i="8" s="1"/>
  <c r="B915" i="3"/>
  <c r="B915" i="8" s="1"/>
  <c r="F914" i="3"/>
  <c r="A914" i="8" s="1"/>
  <c r="E914" i="3"/>
  <c r="E914" i="8" s="1"/>
  <c r="D914" i="3"/>
  <c r="D914" i="8" s="1"/>
  <c r="C914" i="3"/>
  <c r="C914" i="8" s="1"/>
  <c r="B914" i="3"/>
  <c r="B914" i="8" s="1"/>
  <c r="F913" i="3"/>
  <c r="A913" i="8" s="1"/>
  <c r="E913" i="3"/>
  <c r="E913" i="8" s="1"/>
  <c r="D913" i="3"/>
  <c r="D913" i="8" s="1"/>
  <c r="C913" i="3"/>
  <c r="C913" i="8" s="1"/>
  <c r="B913" i="3"/>
  <c r="B913" i="8" s="1"/>
  <c r="F912" i="3"/>
  <c r="A912" i="8" s="1"/>
  <c r="E912" i="3"/>
  <c r="E912" i="8" s="1"/>
  <c r="D912" i="3"/>
  <c r="D912" i="8" s="1"/>
  <c r="C912" i="3"/>
  <c r="C912" i="8" s="1"/>
  <c r="B912" i="3"/>
  <c r="B912" i="8" s="1"/>
  <c r="F911" i="3"/>
  <c r="A911" i="8" s="1"/>
  <c r="E911" i="3"/>
  <c r="E911" i="8" s="1"/>
  <c r="D911" i="3"/>
  <c r="D911" i="8" s="1"/>
  <c r="C911" i="3"/>
  <c r="C911" i="8" s="1"/>
  <c r="B911" i="3"/>
  <c r="B911" i="8" s="1"/>
  <c r="F910" i="3"/>
  <c r="A910" i="8" s="1"/>
  <c r="E910" i="3"/>
  <c r="E910" i="8" s="1"/>
  <c r="D910" i="3"/>
  <c r="D910" i="8" s="1"/>
  <c r="C910" i="3"/>
  <c r="C910" i="8" s="1"/>
  <c r="B910" i="3"/>
  <c r="B910" i="8" s="1"/>
  <c r="F909" i="3"/>
  <c r="A909" i="8" s="1"/>
  <c r="E909" i="3"/>
  <c r="E909" i="8" s="1"/>
  <c r="D909" i="3"/>
  <c r="D909" i="8" s="1"/>
  <c r="C909" i="3"/>
  <c r="C909" i="8" s="1"/>
  <c r="B909" i="3"/>
  <c r="B909" i="8" s="1"/>
  <c r="F908" i="3"/>
  <c r="A908" i="8" s="1"/>
  <c r="E908" i="3"/>
  <c r="E908" i="8" s="1"/>
  <c r="D908" i="3"/>
  <c r="D908" i="8" s="1"/>
  <c r="C908" i="3"/>
  <c r="C908" i="8" s="1"/>
  <c r="B908" i="3"/>
  <c r="B908" i="8" s="1"/>
  <c r="F907" i="3"/>
  <c r="A907" i="8" s="1"/>
  <c r="E907" i="3"/>
  <c r="E907" i="8" s="1"/>
  <c r="D907" i="3"/>
  <c r="D907" i="8" s="1"/>
  <c r="C907" i="3"/>
  <c r="C907" i="8" s="1"/>
  <c r="B907" i="3"/>
  <c r="B907" i="8" s="1"/>
  <c r="F906" i="3"/>
  <c r="A906" i="8" s="1"/>
  <c r="E906" i="3"/>
  <c r="E906" i="8" s="1"/>
  <c r="D906" i="3"/>
  <c r="D906" i="8" s="1"/>
  <c r="C906" i="3"/>
  <c r="C906" i="8" s="1"/>
  <c r="B906" i="3"/>
  <c r="B906" i="8" s="1"/>
  <c r="F905" i="3"/>
  <c r="A905" i="8" s="1"/>
  <c r="E905" i="3"/>
  <c r="E905" i="8" s="1"/>
  <c r="D905" i="3"/>
  <c r="D905" i="8" s="1"/>
  <c r="C905" i="3"/>
  <c r="C905" i="8" s="1"/>
  <c r="B905" i="3"/>
  <c r="B905" i="8" s="1"/>
  <c r="F904" i="3"/>
  <c r="A904" i="8" s="1"/>
  <c r="E904" i="3"/>
  <c r="E904" i="8" s="1"/>
  <c r="D904" i="3"/>
  <c r="D904" i="8" s="1"/>
  <c r="C904" i="3"/>
  <c r="C904" i="8" s="1"/>
  <c r="B904" i="3"/>
  <c r="B904" i="8" s="1"/>
  <c r="F903" i="3"/>
  <c r="A903" i="8" s="1"/>
  <c r="E903" i="3"/>
  <c r="E903" i="8" s="1"/>
  <c r="D903" i="3"/>
  <c r="D903" i="8" s="1"/>
  <c r="C903" i="3"/>
  <c r="C903" i="8" s="1"/>
  <c r="B903" i="3"/>
  <c r="B903" i="8" s="1"/>
  <c r="F902" i="3"/>
  <c r="A902" i="8" s="1"/>
  <c r="E902" i="3"/>
  <c r="E902" i="8" s="1"/>
  <c r="D902" i="3"/>
  <c r="D902" i="8" s="1"/>
  <c r="C902" i="3"/>
  <c r="C902" i="8" s="1"/>
  <c r="B902" i="3"/>
  <c r="B902" i="8" s="1"/>
  <c r="F901" i="3"/>
  <c r="A901" i="8" s="1"/>
  <c r="E901" i="3"/>
  <c r="E901" i="8" s="1"/>
  <c r="D901" i="3"/>
  <c r="D901" i="8" s="1"/>
  <c r="C901" i="3"/>
  <c r="C901" i="8" s="1"/>
  <c r="B901" i="3"/>
  <c r="B901" i="8" s="1"/>
  <c r="F900" i="3"/>
  <c r="A900" i="8" s="1"/>
  <c r="E900" i="3"/>
  <c r="E900" i="8" s="1"/>
  <c r="D900" i="3"/>
  <c r="D900" i="8" s="1"/>
  <c r="C900" i="3"/>
  <c r="C900" i="8" s="1"/>
  <c r="B900" i="3"/>
  <c r="B900" i="8" s="1"/>
  <c r="F899" i="3"/>
  <c r="A899" i="8" s="1"/>
  <c r="E899" i="3"/>
  <c r="E899" i="8" s="1"/>
  <c r="D899" i="3"/>
  <c r="D899" i="8" s="1"/>
  <c r="C899" i="3"/>
  <c r="C899" i="8" s="1"/>
  <c r="B899" i="3"/>
  <c r="B899" i="8" s="1"/>
  <c r="F898" i="3"/>
  <c r="A898" i="8" s="1"/>
  <c r="E898" i="3"/>
  <c r="E898" i="8" s="1"/>
  <c r="D898" i="3"/>
  <c r="D898" i="8" s="1"/>
  <c r="C898" i="3"/>
  <c r="C898" i="8" s="1"/>
  <c r="B898" i="3"/>
  <c r="B898" i="8" s="1"/>
  <c r="F897" i="3"/>
  <c r="A897" i="8" s="1"/>
  <c r="E897" i="3"/>
  <c r="E897" i="8" s="1"/>
  <c r="D897" i="3"/>
  <c r="D897" i="8" s="1"/>
  <c r="C897" i="3"/>
  <c r="C897" i="8" s="1"/>
  <c r="B897" i="3"/>
  <c r="B897" i="8" s="1"/>
  <c r="F896" i="3"/>
  <c r="A896" i="8" s="1"/>
  <c r="E896" i="3"/>
  <c r="E896" i="8" s="1"/>
  <c r="D896" i="3"/>
  <c r="D896" i="8" s="1"/>
  <c r="C896" i="3"/>
  <c r="C896" i="8" s="1"/>
  <c r="B896" i="3"/>
  <c r="B896" i="8" s="1"/>
  <c r="F895" i="3"/>
  <c r="A895" i="8" s="1"/>
  <c r="E895" i="3"/>
  <c r="E895" i="8" s="1"/>
  <c r="D895" i="3"/>
  <c r="D895" i="8" s="1"/>
  <c r="C895" i="3"/>
  <c r="C895" i="8" s="1"/>
  <c r="B895" i="3"/>
  <c r="B895" i="8" s="1"/>
  <c r="F894" i="3"/>
  <c r="A894" i="8" s="1"/>
  <c r="E894" i="3"/>
  <c r="E894" i="8" s="1"/>
  <c r="D894" i="3"/>
  <c r="D894" i="8" s="1"/>
  <c r="C894" i="3"/>
  <c r="C894" i="8" s="1"/>
  <c r="B894" i="3"/>
  <c r="B894" i="8" s="1"/>
  <c r="F893" i="3"/>
  <c r="A893" i="8" s="1"/>
  <c r="E893" i="3"/>
  <c r="E893" i="8" s="1"/>
  <c r="D893" i="3"/>
  <c r="D893" i="8" s="1"/>
  <c r="C893" i="3"/>
  <c r="C893" i="8" s="1"/>
  <c r="B893" i="3"/>
  <c r="B893" i="8" s="1"/>
  <c r="F892" i="3"/>
  <c r="A892" i="8" s="1"/>
  <c r="E892" i="3"/>
  <c r="E892" i="8" s="1"/>
  <c r="D892" i="3"/>
  <c r="D892" i="8" s="1"/>
  <c r="C892" i="3"/>
  <c r="C892" i="8" s="1"/>
  <c r="B892" i="3"/>
  <c r="B892" i="8" s="1"/>
  <c r="F891" i="3"/>
  <c r="A891" i="8" s="1"/>
  <c r="E891" i="3"/>
  <c r="E891" i="8" s="1"/>
  <c r="D891" i="3"/>
  <c r="D891" i="8" s="1"/>
  <c r="C891" i="3"/>
  <c r="C891" i="8" s="1"/>
  <c r="B891" i="3"/>
  <c r="B891" i="8" s="1"/>
  <c r="F890" i="3"/>
  <c r="A890" i="8" s="1"/>
  <c r="E890" i="3"/>
  <c r="E890" i="8" s="1"/>
  <c r="D890" i="3"/>
  <c r="D890" i="8" s="1"/>
  <c r="C890" i="3"/>
  <c r="C890" i="8" s="1"/>
  <c r="B890" i="3"/>
  <c r="B890" i="8" s="1"/>
  <c r="F889" i="3"/>
  <c r="A889" i="8" s="1"/>
  <c r="E889" i="3"/>
  <c r="E889" i="8" s="1"/>
  <c r="D889" i="3"/>
  <c r="D889" i="8" s="1"/>
  <c r="C889" i="3"/>
  <c r="C889" i="8" s="1"/>
  <c r="B889" i="3"/>
  <c r="B889" i="8" s="1"/>
  <c r="F888" i="3"/>
  <c r="A888" i="8" s="1"/>
  <c r="E888" i="3"/>
  <c r="E888" i="8" s="1"/>
  <c r="D888" i="3"/>
  <c r="D888" i="8" s="1"/>
  <c r="C888" i="3"/>
  <c r="C888" i="8" s="1"/>
  <c r="B888" i="3"/>
  <c r="B888" i="8" s="1"/>
  <c r="F887" i="3"/>
  <c r="A887" i="8" s="1"/>
  <c r="E887" i="3"/>
  <c r="E887" i="8" s="1"/>
  <c r="D887" i="3"/>
  <c r="D887" i="8" s="1"/>
  <c r="C887" i="3"/>
  <c r="C887" i="8" s="1"/>
  <c r="B887" i="3"/>
  <c r="B887" i="8" s="1"/>
  <c r="F886" i="3"/>
  <c r="A886" i="8" s="1"/>
  <c r="E886" i="3"/>
  <c r="E886" i="8" s="1"/>
  <c r="D886" i="3"/>
  <c r="D886" i="8" s="1"/>
  <c r="C886" i="3"/>
  <c r="C886" i="8" s="1"/>
  <c r="B886" i="3"/>
  <c r="B886" i="8" s="1"/>
  <c r="F885" i="3"/>
  <c r="A885" i="8" s="1"/>
  <c r="E885" i="3"/>
  <c r="E885" i="8" s="1"/>
  <c r="D885" i="3"/>
  <c r="D885" i="8" s="1"/>
  <c r="C885" i="3"/>
  <c r="C885" i="8" s="1"/>
  <c r="B885" i="3"/>
  <c r="B885" i="8" s="1"/>
  <c r="F884" i="3"/>
  <c r="A884" i="8" s="1"/>
  <c r="E884" i="3"/>
  <c r="E884" i="8" s="1"/>
  <c r="D884" i="3"/>
  <c r="D884" i="8" s="1"/>
  <c r="C884" i="3"/>
  <c r="C884" i="8" s="1"/>
  <c r="B884" i="3"/>
  <c r="B884" i="8" s="1"/>
  <c r="F883" i="3"/>
  <c r="A883" i="8" s="1"/>
  <c r="E883" i="3"/>
  <c r="E883" i="8" s="1"/>
  <c r="D883" i="3"/>
  <c r="D883" i="8" s="1"/>
  <c r="C883" i="3"/>
  <c r="C883" i="8" s="1"/>
  <c r="B883" i="3"/>
  <c r="B883" i="8" s="1"/>
  <c r="F882" i="3"/>
  <c r="A882" i="8" s="1"/>
  <c r="E882" i="3"/>
  <c r="E882" i="8" s="1"/>
  <c r="D882" i="3"/>
  <c r="D882" i="8" s="1"/>
  <c r="C882" i="3"/>
  <c r="C882" i="8" s="1"/>
  <c r="B882" i="3"/>
  <c r="B882" i="8" s="1"/>
  <c r="F881" i="3"/>
  <c r="A881" i="8" s="1"/>
  <c r="E881" i="3"/>
  <c r="E881" i="8" s="1"/>
  <c r="D881" i="3"/>
  <c r="D881" i="8" s="1"/>
  <c r="C881" i="3"/>
  <c r="C881" i="8" s="1"/>
  <c r="B881" i="3"/>
  <c r="B881" i="8" s="1"/>
  <c r="F880" i="3"/>
  <c r="A880" i="8" s="1"/>
  <c r="E880" i="3"/>
  <c r="E880" i="8" s="1"/>
  <c r="D880" i="3"/>
  <c r="D880" i="8" s="1"/>
  <c r="C880" i="3"/>
  <c r="C880" i="8" s="1"/>
  <c r="B880" i="3"/>
  <c r="B880" i="8" s="1"/>
  <c r="F879" i="3"/>
  <c r="A879" i="8" s="1"/>
  <c r="E879" i="3"/>
  <c r="E879" i="8" s="1"/>
  <c r="D879" i="3"/>
  <c r="D879" i="8" s="1"/>
  <c r="C879" i="3"/>
  <c r="C879" i="8" s="1"/>
  <c r="B879" i="3"/>
  <c r="B879" i="8" s="1"/>
  <c r="F878" i="3"/>
  <c r="A878" i="8" s="1"/>
  <c r="E878" i="3"/>
  <c r="E878" i="8" s="1"/>
  <c r="D878" i="3"/>
  <c r="D878" i="8" s="1"/>
  <c r="C878" i="3"/>
  <c r="C878" i="8" s="1"/>
  <c r="B878" i="3"/>
  <c r="B878" i="8" s="1"/>
  <c r="F877" i="3"/>
  <c r="A877" i="8" s="1"/>
  <c r="E877" i="3"/>
  <c r="E877" i="8" s="1"/>
  <c r="D877" i="3"/>
  <c r="D877" i="8" s="1"/>
  <c r="C877" i="3"/>
  <c r="C877" i="8" s="1"/>
  <c r="B877" i="3"/>
  <c r="B877" i="8" s="1"/>
  <c r="F876" i="3"/>
  <c r="A876" i="8" s="1"/>
  <c r="E876" i="3"/>
  <c r="E876" i="8" s="1"/>
  <c r="D876" i="3"/>
  <c r="D876" i="8" s="1"/>
  <c r="C876" i="3"/>
  <c r="C876" i="8" s="1"/>
  <c r="B876" i="3"/>
  <c r="B876" i="8" s="1"/>
  <c r="F875" i="3"/>
  <c r="A875" i="8" s="1"/>
  <c r="E875" i="3"/>
  <c r="E875" i="8" s="1"/>
  <c r="D875" i="3"/>
  <c r="D875" i="8" s="1"/>
  <c r="C875" i="3"/>
  <c r="C875" i="8" s="1"/>
  <c r="B875" i="3"/>
  <c r="B875" i="8" s="1"/>
  <c r="F874" i="3"/>
  <c r="A874" i="8" s="1"/>
  <c r="E874" i="3"/>
  <c r="E874" i="8" s="1"/>
  <c r="D874" i="3"/>
  <c r="D874" i="8" s="1"/>
  <c r="C874" i="3"/>
  <c r="C874" i="8" s="1"/>
  <c r="B874" i="3"/>
  <c r="B874" i="8" s="1"/>
  <c r="F873" i="3"/>
  <c r="A873" i="8" s="1"/>
  <c r="E873" i="3"/>
  <c r="E873" i="8" s="1"/>
  <c r="D873" i="3"/>
  <c r="D873" i="8" s="1"/>
  <c r="C873" i="3"/>
  <c r="C873" i="8" s="1"/>
  <c r="B873" i="3"/>
  <c r="B873" i="8" s="1"/>
  <c r="F872" i="3"/>
  <c r="A872" i="8" s="1"/>
  <c r="E872" i="3"/>
  <c r="E872" i="8" s="1"/>
  <c r="D872" i="3"/>
  <c r="D872" i="8" s="1"/>
  <c r="C872" i="3"/>
  <c r="C872" i="8" s="1"/>
  <c r="B872" i="3"/>
  <c r="B872" i="8" s="1"/>
  <c r="F871" i="3"/>
  <c r="A871" i="8" s="1"/>
  <c r="E871" i="3"/>
  <c r="E871" i="8" s="1"/>
  <c r="D871" i="3"/>
  <c r="D871" i="8" s="1"/>
  <c r="C871" i="3"/>
  <c r="C871" i="8" s="1"/>
  <c r="B871" i="3"/>
  <c r="B871" i="8" s="1"/>
  <c r="F870" i="3"/>
  <c r="A870" i="8" s="1"/>
  <c r="E870" i="3"/>
  <c r="E870" i="8" s="1"/>
  <c r="D870" i="3"/>
  <c r="D870" i="8" s="1"/>
  <c r="C870" i="3"/>
  <c r="C870" i="8" s="1"/>
  <c r="B870" i="3"/>
  <c r="B870" i="8" s="1"/>
  <c r="F869" i="3"/>
  <c r="A869" i="8" s="1"/>
  <c r="E869" i="3"/>
  <c r="E869" i="8" s="1"/>
  <c r="D869" i="3"/>
  <c r="D869" i="8" s="1"/>
  <c r="C869" i="3"/>
  <c r="C869" i="8" s="1"/>
  <c r="B869" i="3"/>
  <c r="B869" i="8" s="1"/>
  <c r="F868" i="3"/>
  <c r="A868" i="8" s="1"/>
  <c r="E868" i="3"/>
  <c r="E868" i="8" s="1"/>
  <c r="D868" i="3"/>
  <c r="D868" i="8" s="1"/>
  <c r="C868" i="3"/>
  <c r="C868" i="8" s="1"/>
  <c r="B868" i="3"/>
  <c r="B868" i="8" s="1"/>
  <c r="F867" i="3"/>
  <c r="A867" i="8" s="1"/>
  <c r="E867" i="3"/>
  <c r="E867" i="8" s="1"/>
  <c r="D867" i="3"/>
  <c r="D867" i="8" s="1"/>
  <c r="C867" i="3"/>
  <c r="C867" i="8" s="1"/>
  <c r="B867" i="3"/>
  <c r="B867" i="8" s="1"/>
  <c r="F866" i="3"/>
  <c r="A866" i="8" s="1"/>
  <c r="E866" i="3"/>
  <c r="E866" i="8" s="1"/>
  <c r="D866" i="3"/>
  <c r="D866" i="8" s="1"/>
  <c r="C866" i="3"/>
  <c r="C866" i="8" s="1"/>
  <c r="B866" i="3"/>
  <c r="B866" i="8" s="1"/>
  <c r="F865" i="3"/>
  <c r="A865" i="8" s="1"/>
  <c r="E865" i="3"/>
  <c r="E865" i="8" s="1"/>
  <c r="D865" i="3"/>
  <c r="D865" i="8" s="1"/>
  <c r="C865" i="3"/>
  <c r="C865" i="8" s="1"/>
  <c r="B865" i="3"/>
  <c r="B865" i="8" s="1"/>
  <c r="F864" i="3"/>
  <c r="A864" i="8" s="1"/>
  <c r="E864" i="3"/>
  <c r="E864" i="8" s="1"/>
  <c r="D864" i="3"/>
  <c r="D864" i="8" s="1"/>
  <c r="C864" i="3"/>
  <c r="C864" i="8" s="1"/>
  <c r="B864" i="3"/>
  <c r="B864" i="8" s="1"/>
  <c r="F863" i="3"/>
  <c r="A863" i="8" s="1"/>
  <c r="E863" i="3"/>
  <c r="E863" i="8" s="1"/>
  <c r="D863" i="3"/>
  <c r="D863" i="8" s="1"/>
  <c r="C863" i="3"/>
  <c r="C863" i="8" s="1"/>
  <c r="B863" i="3"/>
  <c r="B863" i="8" s="1"/>
  <c r="F862" i="3"/>
  <c r="A862" i="8" s="1"/>
  <c r="E862" i="3"/>
  <c r="E862" i="8" s="1"/>
  <c r="D862" i="3"/>
  <c r="D862" i="8" s="1"/>
  <c r="C862" i="3"/>
  <c r="C862" i="8" s="1"/>
  <c r="B862" i="3"/>
  <c r="B862" i="8" s="1"/>
  <c r="F861" i="3"/>
  <c r="A861" i="8" s="1"/>
  <c r="E861" i="3"/>
  <c r="E861" i="8" s="1"/>
  <c r="D861" i="3"/>
  <c r="D861" i="8" s="1"/>
  <c r="C861" i="3"/>
  <c r="C861" i="8" s="1"/>
  <c r="B861" i="3"/>
  <c r="B861" i="8" s="1"/>
  <c r="F860" i="3"/>
  <c r="A860" i="8" s="1"/>
  <c r="E860" i="3"/>
  <c r="E860" i="8" s="1"/>
  <c r="D860" i="3"/>
  <c r="D860" i="8" s="1"/>
  <c r="C860" i="3"/>
  <c r="C860" i="8" s="1"/>
  <c r="B860" i="3"/>
  <c r="B860" i="8" s="1"/>
  <c r="F859" i="3"/>
  <c r="A859" i="8" s="1"/>
  <c r="E859" i="3"/>
  <c r="E859" i="8" s="1"/>
  <c r="D859" i="3"/>
  <c r="D859" i="8" s="1"/>
  <c r="C859" i="3"/>
  <c r="C859" i="8" s="1"/>
  <c r="B859" i="3"/>
  <c r="B859" i="8" s="1"/>
  <c r="F858" i="3"/>
  <c r="A858" i="8" s="1"/>
  <c r="E858" i="3"/>
  <c r="E858" i="8" s="1"/>
  <c r="D858" i="3"/>
  <c r="D858" i="8" s="1"/>
  <c r="C858" i="3"/>
  <c r="C858" i="8" s="1"/>
  <c r="B858" i="3"/>
  <c r="B858" i="8" s="1"/>
  <c r="F857" i="3"/>
  <c r="A857" i="8" s="1"/>
  <c r="E857" i="3"/>
  <c r="E857" i="8" s="1"/>
  <c r="D857" i="3"/>
  <c r="D857" i="8" s="1"/>
  <c r="C857" i="3"/>
  <c r="C857" i="8" s="1"/>
  <c r="B857" i="3"/>
  <c r="B857" i="8" s="1"/>
  <c r="F856" i="3"/>
  <c r="A856" i="8" s="1"/>
  <c r="E856" i="3"/>
  <c r="E856" i="8" s="1"/>
  <c r="D856" i="3"/>
  <c r="D856" i="8" s="1"/>
  <c r="C856" i="3"/>
  <c r="C856" i="8" s="1"/>
  <c r="B856" i="3"/>
  <c r="B856" i="8" s="1"/>
  <c r="F855" i="3"/>
  <c r="A855" i="8" s="1"/>
  <c r="E855" i="3"/>
  <c r="E855" i="8" s="1"/>
  <c r="D855" i="3"/>
  <c r="D855" i="8" s="1"/>
  <c r="C855" i="3"/>
  <c r="C855" i="8" s="1"/>
  <c r="B855" i="3"/>
  <c r="B855" i="8" s="1"/>
  <c r="F854" i="3"/>
  <c r="A854" i="8" s="1"/>
  <c r="E854" i="3"/>
  <c r="E854" i="8" s="1"/>
  <c r="D854" i="3"/>
  <c r="D854" i="8" s="1"/>
  <c r="C854" i="3"/>
  <c r="C854" i="8" s="1"/>
  <c r="B854" i="3"/>
  <c r="B854" i="8" s="1"/>
  <c r="F853" i="3"/>
  <c r="A853" i="8" s="1"/>
  <c r="E853" i="3"/>
  <c r="E853" i="8" s="1"/>
  <c r="D853" i="3"/>
  <c r="D853" i="8" s="1"/>
  <c r="C853" i="3"/>
  <c r="C853" i="8" s="1"/>
  <c r="B853" i="3"/>
  <c r="B853" i="8" s="1"/>
  <c r="F852" i="3"/>
  <c r="A852" i="8" s="1"/>
  <c r="E852" i="3"/>
  <c r="E852" i="8" s="1"/>
  <c r="D852" i="3"/>
  <c r="D852" i="8" s="1"/>
  <c r="C852" i="3"/>
  <c r="C852" i="8" s="1"/>
  <c r="B852" i="3"/>
  <c r="B852" i="8" s="1"/>
  <c r="F851" i="3"/>
  <c r="A851" i="8" s="1"/>
  <c r="E851" i="3"/>
  <c r="E851" i="8" s="1"/>
  <c r="D851" i="3"/>
  <c r="D851" i="8" s="1"/>
  <c r="C851" i="3"/>
  <c r="C851" i="8" s="1"/>
  <c r="B851" i="3"/>
  <c r="B851" i="8" s="1"/>
  <c r="F850" i="3"/>
  <c r="A850" i="8" s="1"/>
  <c r="E850" i="3"/>
  <c r="E850" i="8" s="1"/>
  <c r="D850" i="3"/>
  <c r="D850" i="8" s="1"/>
  <c r="C850" i="3"/>
  <c r="C850" i="8" s="1"/>
  <c r="B850" i="3"/>
  <c r="B850" i="8" s="1"/>
  <c r="F849" i="3"/>
  <c r="A849" i="8" s="1"/>
  <c r="E849" i="3"/>
  <c r="E849" i="8" s="1"/>
  <c r="D849" i="3"/>
  <c r="D849" i="8" s="1"/>
  <c r="C849" i="3"/>
  <c r="C849" i="8" s="1"/>
  <c r="B849" i="3"/>
  <c r="B849" i="8" s="1"/>
  <c r="F848" i="3"/>
  <c r="A848" i="8" s="1"/>
  <c r="E848" i="3"/>
  <c r="E848" i="8" s="1"/>
  <c r="D848" i="3"/>
  <c r="D848" i="8" s="1"/>
  <c r="C848" i="3"/>
  <c r="C848" i="8" s="1"/>
  <c r="B848" i="3"/>
  <c r="B848" i="8" s="1"/>
  <c r="F847" i="3"/>
  <c r="A847" i="8" s="1"/>
  <c r="E847" i="3"/>
  <c r="E847" i="8" s="1"/>
  <c r="D847" i="3"/>
  <c r="D847" i="8" s="1"/>
  <c r="C847" i="3"/>
  <c r="C847" i="8" s="1"/>
  <c r="B847" i="3"/>
  <c r="B847" i="8" s="1"/>
  <c r="F846" i="3"/>
  <c r="A846" i="8" s="1"/>
  <c r="E846" i="3"/>
  <c r="E846" i="8" s="1"/>
  <c r="D846" i="3"/>
  <c r="D846" i="8" s="1"/>
  <c r="C846" i="3"/>
  <c r="C846" i="8" s="1"/>
  <c r="B846" i="3"/>
  <c r="B846" i="8" s="1"/>
  <c r="F845" i="3"/>
  <c r="A845" i="8" s="1"/>
  <c r="E845" i="3"/>
  <c r="E845" i="8" s="1"/>
  <c r="D845" i="3"/>
  <c r="D845" i="8" s="1"/>
  <c r="C845" i="3"/>
  <c r="C845" i="8" s="1"/>
  <c r="B845" i="3"/>
  <c r="B845" i="8" s="1"/>
  <c r="F844" i="3"/>
  <c r="A844" i="8" s="1"/>
  <c r="E844" i="3"/>
  <c r="E844" i="8" s="1"/>
  <c r="D844" i="3"/>
  <c r="D844" i="8" s="1"/>
  <c r="C844" i="3"/>
  <c r="C844" i="8" s="1"/>
  <c r="B844" i="3"/>
  <c r="B844" i="8" s="1"/>
  <c r="F843" i="3"/>
  <c r="A843" i="8" s="1"/>
  <c r="E843" i="3"/>
  <c r="E843" i="8" s="1"/>
  <c r="D843" i="3"/>
  <c r="D843" i="8" s="1"/>
  <c r="C843" i="3"/>
  <c r="C843" i="8" s="1"/>
  <c r="B843" i="3"/>
  <c r="B843" i="8" s="1"/>
  <c r="F842" i="3"/>
  <c r="A842" i="8" s="1"/>
  <c r="E842" i="3"/>
  <c r="E842" i="8" s="1"/>
  <c r="D842" i="3"/>
  <c r="D842" i="8" s="1"/>
  <c r="C842" i="3"/>
  <c r="C842" i="8" s="1"/>
  <c r="B842" i="3"/>
  <c r="B842" i="8" s="1"/>
  <c r="F841" i="3"/>
  <c r="A841" i="8" s="1"/>
  <c r="E841" i="3"/>
  <c r="E841" i="8" s="1"/>
  <c r="D841" i="3"/>
  <c r="D841" i="8" s="1"/>
  <c r="C841" i="3"/>
  <c r="C841" i="8" s="1"/>
  <c r="B841" i="3"/>
  <c r="B841" i="8" s="1"/>
  <c r="F840" i="3"/>
  <c r="A840" i="8" s="1"/>
  <c r="E840" i="3"/>
  <c r="E840" i="8" s="1"/>
  <c r="D840" i="3"/>
  <c r="D840" i="8" s="1"/>
  <c r="C840" i="3"/>
  <c r="C840" i="8" s="1"/>
  <c r="B840" i="3"/>
  <c r="B840" i="8" s="1"/>
  <c r="F839" i="3"/>
  <c r="A839" i="8" s="1"/>
  <c r="E839" i="3"/>
  <c r="E839" i="8" s="1"/>
  <c r="D839" i="3"/>
  <c r="D839" i="8" s="1"/>
  <c r="C839" i="3"/>
  <c r="C839" i="8" s="1"/>
  <c r="B839" i="3"/>
  <c r="B839" i="8" s="1"/>
  <c r="F838" i="3"/>
  <c r="A838" i="8" s="1"/>
  <c r="E838" i="3"/>
  <c r="E838" i="8" s="1"/>
  <c r="D838" i="3"/>
  <c r="D838" i="8" s="1"/>
  <c r="C838" i="3"/>
  <c r="C838" i="8" s="1"/>
  <c r="B838" i="3"/>
  <c r="B838" i="8" s="1"/>
  <c r="F837" i="3"/>
  <c r="A837" i="8" s="1"/>
  <c r="E837" i="3"/>
  <c r="E837" i="8" s="1"/>
  <c r="D837" i="3"/>
  <c r="D837" i="8" s="1"/>
  <c r="C837" i="3"/>
  <c r="C837" i="8" s="1"/>
  <c r="B837" i="3"/>
  <c r="B837" i="8" s="1"/>
  <c r="F836" i="3"/>
  <c r="A836" i="8" s="1"/>
  <c r="E836" i="3"/>
  <c r="E836" i="8" s="1"/>
  <c r="D836" i="3"/>
  <c r="D836" i="8" s="1"/>
  <c r="C836" i="3"/>
  <c r="C836" i="8" s="1"/>
  <c r="B836" i="3"/>
  <c r="B836" i="8" s="1"/>
  <c r="F835" i="3"/>
  <c r="A835" i="8" s="1"/>
  <c r="E835" i="3"/>
  <c r="E835" i="8" s="1"/>
  <c r="D835" i="3"/>
  <c r="D835" i="8" s="1"/>
  <c r="C835" i="3"/>
  <c r="C835" i="8" s="1"/>
  <c r="B835" i="3"/>
  <c r="B835" i="8" s="1"/>
  <c r="F834" i="3"/>
  <c r="A834" i="8" s="1"/>
  <c r="E834" i="3"/>
  <c r="E834" i="8" s="1"/>
  <c r="D834" i="3"/>
  <c r="D834" i="8" s="1"/>
  <c r="C834" i="3"/>
  <c r="C834" i="8" s="1"/>
  <c r="B834" i="3"/>
  <c r="B834" i="8" s="1"/>
  <c r="F833" i="3"/>
  <c r="A833" i="8" s="1"/>
  <c r="E833" i="3"/>
  <c r="E833" i="8" s="1"/>
  <c r="D833" i="3"/>
  <c r="D833" i="8" s="1"/>
  <c r="C833" i="3"/>
  <c r="C833" i="8" s="1"/>
  <c r="B833" i="3"/>
  <c r="B833" i="8" s="1"/>
  <c r="F832" i="3"/>
  <c r="A832" i="8" s="1"/>
  <c r="E832" i="3"/>
  <c r="E832" i="8" s="1"/>
  <c r="D832" i="3"/>
  <c r="D832" i="8" s="1"/>
  <c r="C832" i="3"/>
  <c r="C832" i="8" s="1"/>
  <c r="B832" i="3"/>
  <c r="B832" i="8" s="1"/>
  <c r="F831" i="3"/>
  <c r="A831" i="8" s="1"/>
  <c r="E831" i="3"/>
  <c r="E831" i="8" s="1"/>
  <c r="D831" i="3"/>
  <c r="D831" i="8" s="1"/>
  <c r="C831" i="3"/>
  <c r="C831" i="8" s="1"/>
  <c r="B831" i="3"/>
  <c r="B831" i="8" s="1"/>
  <c r="F830" i="3"/>
  <c r="A830" i="8" s="1"/>
  <c r="E830" i="3"/>
  <c r="E830" i="8" s="1"/>
  <c r="D830" i="3"/>
  <c r="D830" i="8" s="1"/>
  <c r="C830" i="3"/>
  <c r="C830" i="8" s="1"/>
  <c r="B830" i="3"/>
  <c r="B830" i="8" s="1"/>
  <c r="F829" i="3"/>
  <c r="A829" i="8" s="1"/>
  <c r="E829" i="3"/>
  <c r="E829" i="8" s="1"/>
  <c r="D829" i="3"/>
  <c r="D829" i="8" s="1"/>
  <c r="C829" i="3"/>
  <c r="C829" i="8" s="1"/>
  <c r="B829" i="3"/>
  <c r="B829" i="8" s="1"/>
  <c r="F828" i="3"/>
  <c r="A828" i="8" s="1"/>
  <c r="E828" i="3"/>
  <c r="E828" i="8" s="1"/>
  <c r="D828" i="3"/>
  <c r="D828" i="8" s="1"/>
  <c r="C828" i="3"/>
  <c r="C828" i="8" s="1"/>
  <c r="B828" i="3"/>
  <c r="B828" i="8" s="1"/>
  <c r="F827" i="3"/>
  <c r="A827" i="8" s="1"/>
  <c r="E827" i="3"/>
  <c r="E827" i="8" s="1"/>
  <c r="D827" i="3"/>
  <c r="D827" i="8" s="1"/>
  <c r="C827" i="3"/>
  <c r="C827" i="8" s="1"/>
  <c r="B827" i="3"/>
  <c r="B827" i="8" s="1"/>
  <c r="F826" i="3"/>
  <c r="A826" i="8" s="1"/>
  <c r="E826" i="3"/>
  <c r="E826" i="8" s="1"/>
  <c r="D826" i="3"/>
  <c r="D826" i="8" s="1"/>
  <c r="C826" i="3"/>
  <c r="C826" i="8" s="1"/>
  <c r="B826" i="3"/>
  <c r="B826" i="8" s="1"/>
  <c r="F825" i="3"/>
  <c r="A825" i="8" s="1"/>
  <c r="E825" i="3"/>
  <c r="E825" i="8" s="1"/>
  <c r="D825" i="3"/>
  <c r="D825" i="8" s="1"/>
  <c r="C825" i="3"/>
  <c r="C825" i="8" s="1"/>
  <c r="B825" i="3"/>
  <c r="B825" i="8" s="1"/>
  <c r="F824" i="3"/>
  <c r="A824" i="8" s="1"/>
  <c r="E824" i="3"/>
  <c r="E824" i="8" s="1"/>
  <c r="D824" i="3"/>
  <c r="D824" i="8" s="1"/>
  <c r="C824" i="3"/>
  <c r="C824" i="8" s="1"/>
  <c r="B824" i="3"/>
  <c r="B824" i="8" s="1"/>
  <c r="F823" i="3"/>
  <c r="A823" i="8" s="1"/>
  <c r="E823" i="3"/>
  <c r="E823" i="8" s="1"/>
  <c r="D823" i="3"/>
  <c r="D823" i="8" s="1"/>
  <c r="C823" i="3"/>
  <c r="C823" i="8" s="1"/>
  <c r="B823" i="3"/>
  <c r="B823" i="8" s="1"/>
  <c r="F822" i="3"/>
  <c r="A822" i="8" s="1"/>
  <c r="E822" i="3"/>
  <c r="E822" i="8" s="1"/>
  <c r="D822" i="3"/>
  <c r="D822" i="8" s="1"/>
  <c r="C822" i="3"/>
  <c r="C822" i="8" s="1"/>
  <c r="B822" i="3"/>
  <c r="B822" i="8" s="1"/>
  <c r="F821" i="3"/>
  <c r="A821" i="8" s="1"/>
  <c r="E821" i="3"/>
  <c r="E821" i="8" s="1"/>
  <c r="D821" i="3"/>
  <c r="D821" i="8" s="1"/>
  <c r="C821" i="3"/>
  <c r="C821" i="8" s="1"/>
  <c r="B821" i="3"/>
  <c r="B821" i="8" s="1"/>
  <c r="F820" i="3"/>
  <c r="A820" i="8" s="1"/>
  <c r="E820" i="3"/>
  <c r="E820" i="8" s="1"/>
  <c r="D820" i="3"/>
  <c r="D820" i="8" s="1"/>
  <c r="C820" i="3"/>
  <c r="C820" i="8" s="1"/>
  <c r="B820" i="3"/>
  <c r="B820" i="8" s="1"/>
  <c r="F819" i="3"/>
  <c r="A819" i="8" s="1"/>
  <c r="E819" i="3"/>
  <c r="E819" i="8" s="1"/>
  <c r="D819" i="3"/>
  <c r="D819" i="8" s="1"/>
  <c r="C819" i="3"/>
  <c r="C819" i="8" s="1"/>
  <c r="B819" i="3"/>
  <c r="B819" i="8" s="1"/>
  <c r="F818" i="3"/>
  <c r="A818" i="8" s="1"/>
  <c r="E818" i="3"/>
  <c r="E818" i="8" s="1"/>
  <c r="D818" i="3"/>
  <c r="D818" i="8" s="1"/>
  <c r="C818" i="3"/>
  <c r="C818" i="8" s="1"/>
  <c r="B818" i="3"/>
  <c r="B818" i="8" s="1"/>
  <c r="F817" i="3"/>
  <c r="A817" i="8" s="1"/>
  <c r="E817" i="3"/>
  <c r="E817" i="8" s="1"/>
  <c r="D817" i="3"/>
  <c r="D817" i="8" s="1"/>
  <c r="C817" i="3"/>
  <c r="C817" i="8" s="1"/>
  <c r="B817" i="3"/>
  <c r="B817" i="8" s="1"/>
  <c r="F816" i="3"/>
  <c r="A816" i="8" s="1"/>
  <c r="E816" i="3"/>
  <c r="E816" i="8" s="1"/>
  <c r="D816" i="3"/>
  <c r="D816" i="8" s="1"/>
  <c r="C816" i="3"/>
  <c r="C816" i="8" s="1"/>
  <c r="B816" i="3"/>
  <c r="B816" i="8" s="1"/>
  <c r="F815" i="3"/>
  <c r="A815" i="8" s="1"/>
  <c r="E815" i="3"/>
  <c r="E815" i="8" s="1"/>
  <c r="D815" i="3"/>
  <c r="D815" i="8" s="1"/>
  <c r="C815" i="3"/>
  <c r="C815" i="8" s="1"/>
  <c r="B815" i="3"/>
  <c r="B815" i="8" s="1"/>
  <c r="F814" i="3"/>
  <c r="A814" i="8" s="1"/>
  <c r="E814" i="3"/>
  <c r="E814" i="8" s="1"/>
  <c r="D814" i="3"/>
  <c r="D814" i="8" s="1"/>
  <c r="C814" i="3"/>
  <c r="C814" i="8" s="1"/>
  <c r="B814" i="3"/>
  <c r="B814" i="8" s="1"/>
  <c r="F813" i="3"/>
  <c r="A813" i="8" s="1"/>
  <c r="E813" i="3"/>
  <c r="E813" i="8" s="1"/>
  <c r="D813" i="3"/>
  <c r="D813" i="8" s="1"/>
  <c r="C813" i="3"/>
  <c r="C813" i="8" s="1"/>
  <c r="B813" i="3"/>
  <c r="B813" i="8" s="1"/>
  <c r="F812" i="3"/>
  <c r="A812" i="8" s="1"/>
  <c r="E812" i="3"/>
  <c r="E812" i="8" s="1"/>
  <c r="D812" i="3"/>
  <c r="D812" i="8" s="1"/>
  <c r="C812" i="3"/>
  <c r="C812" i="8" s="1"/>
  <c r="B812" i="3"/>
  <c r="B812" i="8" s="1"/>
  <c r="F811" i="3"/>
  <c r="A811" i="8" s="1"/>
  <c r="E811" i="3"/>
  <c r="E811" i="8" s="1"/>
  <c r="D811" i="3"/>
  <c r="D811" i="8" s="1"/>
  <c r="C811" i="3"/>
  <c r="C811" i="8" s="1"/>
  <c r="B811" i="3"/>
  <c r="B811" i="8" s="1"/>
  <c r="F810" i="3"/>
  <c r="A810" i="8" s="1"/>
  <c r="E810" i="3"/>
  <c r="E810" i="8" s="1"/>
  <c r="D810" i="3"/>
  <c r="D810" i="8" s="1"/>
  <c r="C810" i="3"/>
  <c r="C810" i="8" s="1"/>
  <c r="B810" i="3"/>
  <c r="B810" i="8" s="1"/>
  <c r="F809" i="3"/>
  <c r="A809" i="8" s="1"/>
  <c r="E809" i="3"/>
  <c r="E809" i="8" s="1"/>
  <c r="D809" i="3"/>
  <c r="D809" i="8" s="1"/>
  <c r="C809" i="3"/>
  <c r="C809" i="8" s="1"/>
  <c r="B809" i="3"/>
  <c r="B809" i="8" s="1"/>
  <c r="F808" i="3"/>
  <c r="A808" i="8" s="1"/>
  <c r="E808" i="3"/>
  <c r="E808" i="8" s="1"/>
  <c r="D808" i="3"/>
  <c r="D808" i="8" s="1"/>
  <c r="C808" i="3"/>
  <c r="C808" i="8" s="1"/>
  <c r="B808" i="3"/>
  <c r="B808" i="8" s="1"/>
  <c r="F807" i="3"/>
  <c r="A807" i="8" s="1"/>
  <c r="E807" i="3"/>
  <c r="E807" i="8" s="1"/>
  <c r="D807" i="3"/>
  <c r="D807" i="8" s="1"/>
  <c r="C807" i="3"/>
  <c r="C807" i="8" s="1"/>
  <c r="B807" i="3"/>
  <c r="B807" i="8" s="1"/>
  <c r="F806" i="3"/>
  <c r="A806" i="8" s="1"/>
  <c r="E806" i="3"/>
  <c r="E806" i="8" s="1"/>
  <c r="D806" i="3"/>
  <c r="D806" i="8" s="1"/>
  <c r="C806" i="3"/>
  <c r="C806" i="8" s="1"/>
  <c r="B806" i="3"/>
  <c r="B806" i="8" s="1"/>
  <c r="F805" i="3"/>
  <c r="A805" i="8" s="1"/>
  <c r="E805" i="3"/>
  <c r="E805" i="8" s="1"/>
  <c r="D805" i="3"/>
  <c r="D805" i="8" s="1"/>
  <c r="C805" i="3"/>
  <c r="C805" i="8" s="1"/>
  <c r="B805" i="3"/>
  <c r="B805" i="8" s="1"/>
  <c r="F804" i="3"/>
  <c r="A804" i="8" s="1"/>
  <c r="E804" i="3"/>
  <c r="E804" i="8" s="1"/>
  <c r="D804" i="3"/>
  <c r="D804" i="8" s="1"/>
  <c r="C804" i="3"/>
  <c r="C804" i="8" s="1"/>
  <c r="B804" i="3"/>
  <c r="B804" i="8" s="1"/>
  <c r="F803" i="3"/>
  <c r="A803" i="8" s="1"/>
  <c r="E803" i="3"/>
  <c r="E803" i="8" s="1"/>
  <c r="D803" i="3"/>
  <c r="D803" i="8" s="1"/>
  <c r="C803" i="3"/>
  <c r="C803" i="8" s="1"/>
  <c r="B803" i="3"/>
  <c r="B803" i="8" s="1"/>
  <c r="F802" i="3"/>
  <c r="A802" i="8" s="1"/>
  <c r="E802" i="3"/>
  <c r="E802" i="8" s="1"/>
  <c r="D802" i="3"/>
  <c r="D802" i="8" s="1"/>
  <c r="C802" i="3"/>
  <c r="C802" i="8" s="1"/>
  <c r="B802" i="3"/>
  <c r="B802" i="8" s="1"/>
  <c r="F801" i="3"/>
  <c r="A801" i="8" s="1"/>
  <c r="E801" i="3"/>
  <c r="E801" i="8" s="1"/>
  <c r="D801" i="3"/>
  <c r="D801" i="8" s="1"/>
  <c r="C801" i="3"/>
  <c r="C801" i="8" s="1"/>
  <c r="B801" i="3"/>
  <c r="B801" i="8" s="1"/>
  <c r="F800" i="3"/>
  <c r="A800" i="8" s="1"/>
  <c r="E800" i="3"/>
  <c r="E800" i="8" s="1"/>
  <c r="D800" i="3"/>
  <c r="D800" i="8" s="1"/>
  <c r="C800" i="3"/>
  <c r="C800" i="8" s="1"/>
  <c r="B800" i="3"/>
  <c r="B800" i="8" s="1"/>
  <c r="F799" i="3"/>
  <c r="A799" i="8" s="1"/>
  <c r="E799" i="3"/>
  <c r="E799" i="8" s="1"/>
  <c r="D799" i="3"/>
  <c r="D799" i="8" s="1"/>
  <c r="C799" i="3"/>
  <c r="C799" i="8" s="1"/>
  <c r="B799" i="3"/>
  <c r="B799" i="8" s="1"/>
  <c r="F798" i="3"/>
  <c r="A798" i="8" s="1"/>
  <c r="E798" i="3"/>
  <c r="E798" i="8" s="1"/>
  <c r="D798" i="3"/>
  <c r="D798" i="8" s="1"/>
  <c r="C798" i="3"/>
  <c r="C798" i="8" s="1"/>
  <c r="B798" i="3"/>
  <c r="B798" i="8" s="1"/>
  <c r="F797" i="3"/>
  <c r="A797" i="8" s="1"/>
  <c r="E797" i="3"/>
  <c r="E797" i="8" s="1"/>
  <c r="D797" i="3"/>
  <c r="D797" i="8" s="1"/>
  <c r="C797" i="3"/>
  <c r="C797" i="8" s="1"/>
  <c r="B797" i="3"/>
  <c r="B797" i="8" s="1"/>
  <c r="F796" i="3"/>
  <c r="A796" i="8" s="1"/>
  <c r="E796" i="3"/>
  <c r="E796" i="8" s="1"/>
  <c r="D796" i="3"/>
  <c r="D796" i="8" s="1"/>
  <c r="C796" i="3"/>
  <c r="C796" i="8" s="1"/>
  <c r="B796" i="3"/>
  <c r="B796" i="8" s="1"/>
  <c r="F795" i="3"/>
  <c r="A795" i="8" s="1"/>
  <c r="E795" i="3"/>
  <c r="E795" i="8" s="1"/>
  <c r="D795" i="3"/>
  <c r="D795" i="8" s="1"/>
  <c r="C795" i="3"/>
  <c r="C795" i="8" s="1"/>
  <c r="B795" i="3"/>
  <c r="B795" i="8" s="1"/>
  <c r="F794" i="3"/>
  <c r="A794" i="8" s="1"/>
  <c r="E794" i="3"/>
  <c r="E794" i="8" s="1"/>
  <c r="D794" i="3"/>
  <c r="D794" i="8" s="1"/>
  <c r="C794" i="3"/>
  <c r="C794" i="8" s="1"/>
  <c r="B794" i="3"/>
  <c r="B794" i="8" s="1"/>
  <c r="F793" i="3"/>
  <c r="A793" i="8" s="1"/>
  <c r="E793" i="3"/>
  <c r="E793" i="8" s="1"/>
  <c r="D793" i="3"/>
  <c r="D793" i="8" s="1"/>
  <c r="C793" i="3"/>
  <c r="C793" i="8" s="1"/>
  <c r="B793" i="3"/>
  <c r="B793" i="8" s="1"/>
  <c r="F792" i="3"/>
  <c r="A792" i="8" s="1"/>
  <c r="E792" i="3"/>
  <c r="E792" i="8" s="1"/>
  <c r="D792" i="3"/>
  <c r="D792" i="8" s="1"/>
  <c r="C792" i="3"/>
  <c r="C792" i="8" s="1"/>
  <c r="B792" i="3"/>
  <c r="B792" i="8" s="1"/>
  <c r="F791" i="3"/>
  <c r="A791" i="8" s="1"/>
  <c r="E791" i="3"/>
  <c r="E791" i="8" s="1"/>
  <c r="D791" i="3"/>
  <c r="D791" i="8" s="1"/>
  <c r="C791" i="3"/>
  <c r="C791" i="8" s="1"/>
  <c r="B791" i="3"/>
  <c r="B791" i="8" s="1"/>
  <c r="F790" i="3"/>
  <c r="A790" i="8" s="1"/>
  <c r="E790" i="3"/>
  <c r="E790" i="8" s="1"/>
  <c r="D790" i="3"/>
  <c r="D790" i="8" s="1"/>
  <c r="C790" i="3"/>
  <c r="C790" i="8" s="1"/>
  <c r="B790" i="3"/>
  <c r="B790" i="8" s="1"/>
  <c r="F789" i="3"/>
  <c r="A789" i="8" s="1"/>
  <c r="E789" i="3"/>
  <c r="E789" i="8" s="1"/>
  <c r="D789" i="3"/>
  <c r="D789" i="8" s="1"/>
  <c r="C789" i="3"/>
  <c r="C789" i="8" s="1"/>
  <c r="B789" i="3"/>
  <c r="B789" i="8" s="1"/>
  <c r="F788" i="3"/>
  <c r="A788" i="8" s="1"/>
  <c r="E788" i="3"/>
  <c r="E788" i="8" s="1"/>
  <c r="D788" i="3"/>
  <c r="D788" i="8" s="1"/>
  <c r="C788" i="3"/>
  <c r="C788" i="8" s="1"/>
  <c r="B788" i="3"/>
  <c r="B788" i="8" s="1"/>
  <c r="F787" i="3"/>
  <c r="A787" i="8" s="1"/>
  <c r="E787" i="3"/>
  <c r="E787" i="8" s="1"/>
  <c r="D787" i="3"/>
  <c r="D787" i="8" s="1"/>
  <c r="C787" i="3"/>
  <c r="C787" i="8" s="1"/>
  <c r="B787" i="3"/>
  <c r="B787" i="8" s="1"/>
  <c r="F786" i="3"/>
  <c r="A786" i="8" s="1"/>
  <c r="E786" i="3"/>
  <c r="E786" i="8" s="1"/>
  <c r="D786" i="3"/>
  <c r="D786" i="8" s="1"/>
  <c r="C786" i="3"/>
  <c r="C786" i="8" s="1"/>
  <c r="B786" i="3"/>
  <c r="B786" i="8" s="1"/>
  <c r="F785" i="3"/>
  <c r="A785" i="8" s="1"/>
  <c r="E785" i="3"/>
  <c r="E785" i="8" s="1"/>
  <c r="D785" i="3"/>
  <c r="D785" i="8" s="1"/>
  <c r="C785" i="3"/>
  <c r="C785" i="8" s="1"/>
  <c r="B785" i="3"/>
  <c r="B785" i="8" s="1"/>
  <c r="F784" i="3"/>
  <c r="A784" i="8" s="1"/>
  <c r="E784" i="3"/>
  <c r="E784" i="8" s="1"/>
  <c r="D784" i="3"/>
  <c r="D784" i="8" s="1"/>
  <c r="C784" i="3"/>
  <c r="C784" i="8" s="1"/>
  <c r="B784" i="3"/>
  <c r="B784" i="8" s="1"/>
  <c r="F783" i="3"/>
  <c r="A783" i="8" s="1"/>
  <c r="E783" i="3"/>
  <c r="E783" i="8" s="1"/>
  <c r="D783" i="3"/>
  <c r="D783" i="8" s="1"/>
  <c r="C783" i="3"/>
  <c r="C783" i="8" s="1"/>
  <c r="B783" i="3"/>
  <c r="B783" i="8" s="1"/>
  <c r="F782" i="3"/>
  <c r="A782" i="8" s="1"/>
  <c r="E782" i="3"/>
  <c r="E782" i="8" s="1"/>
  <c r="D782" i="3"/>
  <c r="D782" i="8" s="1"/>
  <c r="C782" i="3"/>
  <c r="C782" i="8" s="1"/>
  <c r="B782" i="3"/>
  <c r="B782" i="8" s="1"/>
  <c r="F781" i="3"/>
  <c r="A781" i="8" s="1"/>
  <c r="E781" i="3"/>
  <c r="E781" i="8" s="1"/>
  <c r="D781" i="3"/>
  <c r="D781" i="8" s="1"/>
  <c r="C781" i="3"/>
  <c r="C781" i="8" s="1"/>
  <c r="B781" i="3"/>
  <c r="B781" i="8" s="1"/>
  <c r="F780" i="3"/>
  <c r="A780" i="8" s="1"/>
  <c r="E780" i="3"/>
  <c r="E780" i="8" s="1"/>
  <c r="D780" i="3"/>
  <c r="D780" i="8" s="1"/>
  <c r="C780" i="3"/>
  <c r="C780" i="8" s="1"/>
  <c r="B780" i="3"/>
  <c r="B780" i="8" s="1"/>
  <c r="F779" i="3"/>
  <c r="A779" i="8" s="1"/>
  <c r="E779" i="3"/>
  <c r="E779" i="8" s="1"/>
  <c r="D779" i="3"/>
  <c r="D779" i="8" s="1"/>
  <c r="C779" i="3"/>
  <c r="C779" i="8" s="1"/>
  <c r="B779" i="3"/>
  <c r="B779" i="8" s="1"/>
  <c r="F778" i="3"/>
  <c r="A778" i="8" s="1"/>
  <c r="E778" i="3"/>
  <c r="E778" i="8" s="1"/>
  <c r="D778" i="3"/>
  <c r="D778" i="8" s="1"/>
  <c r="C778" i="3"/>
  <c r="C778" i="8" s="1"/>
  <c r="B778" i="3"/>
  <c r="B778" i="8" s="1"/>
  <c r="F777" i="3"/>
  <c r="A777" i="8" s="1"/>
  <c r="E777" i="3"/>
  <c r="E777" i="8" s="1"/>
  <c r="D777" i="3"/>
  <c r="D777" i="8" s="1"/>
  <c r="C777" i="3"/>
  <c r="C777" i="8" s="1"/>
  <c r="B777" i="3"/>
  <c r="B777" i="8" s="1"/>
  <c r="F776" i="3"/>
  <c r="A776" i="8" s="1"/>
  <c r="E776" i="3"/>
  <c r="E776" i="8" s="1"/>
  <c r="D776" i="3"/>
  <c r="D776" i="8" s="1"/>
  <c r="C776" i="3"/>
  <c r="C776" i="8" s="1"/>
  <c r="B776" i="3"/>
  <c r="B776" i="8" s="1"/>
  <c r="F775" i="3"/>
  <c r="A775" i="8" s="1"/>
  <c r="E775" i="3"/>
  <c r="E775" i="8" s="1"/>
  <c r="D775" i="3"/>
  <c r="D775" i="8" s="1"/>
  <c r="C775" i="3"/>
  <c r="C775" i="8" s="1"/>
  <c r="B775" i="3"/>
  <c r="B775" i="8" s="1"/>
  <c r="F774" i="3"/>
  <c r="A774" i="8" s="1"/>
  <c r="E774" i="3"/>
  <c r="E774" i="8" s="1"/>
  <c r="D774" i="3"/>
  <c r="D774" i="8" s="1"/>
  <c r="C774" i="3"/>
  <c r="C774" i="8" s="1"/>
  <c r="B774" i="3"/>
  <c r="B774" i="8" s="1"/>
  <c r="F773" i="3"/>
  <c r="A773" i="8" s="1"/>
  <c r="E773" i="3"/>
  <c r="E773" i="8" s="1"/>
  <c r="D773" i="3"/>
  <c r="D773" i="8" s="1"/>
  <c r="C773" i="3"/>
  <c r="C773" i="8" s="1"/>
  <c r="B773" i="3"/>
  <c r="B773" i="8" s="1"/>
  <c r="F772" i="3"/>
  <c r="A772" i="8" s="1"/>
  <c r="E772" i="3"/>
  <c r="E772" i="8" s="1"/>
  <c r="D772" i="3"/>
  <c r="D772" i="8" s="1"/>
  <c r="C772" i="3"/>
  <c r="C772" i="8" s="1"/>
  <c r="B772" i="3"/>
  <c r="B772" i="8" s="1"/>
  <c r="F771" i="3"/>
  <c r="A771" i="8" s="1"/>
  <c r="E771" i="3"/>
  <c r="E771" i="8" s="1"/>
  <c r="D771" i="3"/>
  <c r="D771" i="8" s="1"/>
  <c r="C771" i="3"/>
  <c r="C771" i="8" s="1"/>
  <c r="B771" i="3"/>
  <c r="B771" i="8" s="1"/>
  <c r="F770" i="3"/>
  <c r="A770" i="8" s="1"/>
  <c r="E770" i="3"/>
  <c r="E770" i="8" s="1"/>
  <c r="D770" i="3"/>
  <c r="D770" i="8" s="1"/>
  <c r="C770" i="3"/>
  <c r="C770" i="8" s="1"/>
  <c r="B770" i="3"/>
  <c r="B770" i="8" s="1"/>
  <c r="F769" i="3"/>
  <c r="A769" i="8" s="1"/>
  <c r="E769" i="3"/>
  <c r="E769" i="8" s="1"/>
  <c r="D769" i="3"/>
  <c r="D769" i="8" s="1"/>
  <c r="C769" i="3"/>
  <c r="C769" i="8" s="1"/>
  <c r="B769" i="3"/>
  <c r="B769" i="8" s="1"/>
  <c r="F768" i="3"/>
  <c r="A768" i="8" s="1"/>
  <c r="E768" i="3"/>
  <c r="E768" i="8" s="1"/>
  <c r="D768" i="3"/>
  <c r="D768" i="8" s="1"/>
  <c r="C768" i="3"/>
  <c r="C768" i="8" s="1"/>
  <c r="B768" i="3"/>
  <c r="B768" i="8" s="1"/>
  <c r="F767" i="3"/>
  <c r="A767" i="8" s="1"/>
  <c r="E767" i="3"/>
  <c r="E767" i="8" s="1"/>
  <c r="D767" i="3"/>
  <c r="D767" i="8" s="1"/>
  <c r="C767" i="3"/>
  <c r="C767" i="8" s="1"/>
  <c r="B767" i="3"/>
  <c r="B767" i="8" s="1"/>
  <c r="F766" i="3"/>
  <c r="A766" i="8" s="1"/>
  <c r="E766" i="3"/>
  <c r="E766" i="8" s="1"/>
  <c r="D766" i="3"/>
  <c r="D766" i="8" s="1"/>
  <c r="C766" i="3"/>
  <c r="C766" i="8" s="1"/>
  <c r="B766" i="3"/>
  <c r="B766" i="8" s="1"/>
  <c r="F765" i="3"/>
  <c r="A765" i="8" s="1"/>
  <c r="E765" i="3"/>
  <c r="E765" i="8" s="1"/>
  <c r="D765" i="3"/>
  <c r="D765" i="8" s="1"/>
  <c r="C765" i="3"/>
  <c r="C765" i="8" s="1"/>
  <c r="B765" i="3"/>
  <c r="B765" i="8" s="1"/>
  <c r="F764" i="3"/>
  <c r="A764" i="8" s="1"/>
  <c r="E764" i="3"/>
  <c r="E764" i="8" s="1"/>
  <c r="D764" i="3"/>
  <c r="D764" i="8" s="1"/>
  <c r="C764" i="3"/>
  <c r="C764" i="8" s="1"/>
  <c r="B764" i="3"/>
  <c r="B764" i="8" s="1"/>
  <c r="F763" i="3"/>
  <c r="A763" i="8" s="1"/>
  <c r="E763" i="3"/>
  <c r="E763" i="8" s="1"/>
  <c r="D763" i="3"/>
  <c r="D763" i="8" s="1"/>
  <c r="C763" i="3"/>
  <c r="C763" i="8" s="1"/>
  <c r="B763" i="3"/>
  <c r="B763" i="8" s="1"/>
  <c r="F762" i="3"/>
  <c r="A762" i="8" s="1"/>
  <c r="E762" i="3"/>
  <c r="E762" i="8" s="1"/>
  <c r="D762" i="3"/>
  <c r="D762" i="8" s="1"/>
  <c r="C762" i="3"/>
  <c r="C762" i="8" s="1"/>
  <c r="B762" i="3"/>
  <c r="B762" i="8" s="1"/>
  <c r="F761" i="3"/>
  <c r="A761" i="8" s="1"/>
  <c r="E761" i="3"/>
  <c r="E761" i="8" s="1"/>
  <c r="D761" i="3"/>
  <c r="D761" i="8" s="1"/>
  <c r="C761" i="3"/>
  <c r="C761" i="8" s="1"/>
  <c r="B761" i="3"/>
  <c r="B761" i="8" s="1"/>
  <c r="F760" i="3"/>
  <c r="A760" i="8" s="1"/>
  <c r="E760" i="3"/>
  <c r="E760" i="8" s="1"/>
  <c r="D760" i="3"/>
  <c r="D760" i="8" s="1"/>
  <c r="C760" i="3"/>
  <c r="C760" i="8" s="1"/>
  <c r="B760" i="3"/>
  <c r="B760" i="8" s="1"/>
  <c r="F759" i="3"/>
  <c r="A759" i="8" s="1"/>
  <c r="E759" i="3"/>
  <c r="E759" i="8" s="1"/>
  <c r="D759" i="3"/>
  <c r="D759" i="8" s="1"/>
  <c r="C759" i="3"/>
  <c r="C759" i="8" s="1"/>
  <c r="B759" i="3"/>
  <c r="B759" i="8" s="1"/>
  <c r="F758" i="3"/>
  <c r="A758" i="8" s="1"/>
  <c r="E758" i="3"/>
  <c r="E758" i="8" s="1"/>
  <c r="D758" i="3"/>
  <c r="D758" i="8" s="1"/>
  <c r="C758" i="3"/>
  <c r="C758" i="8" s="1"/>
  <c r="B758" i="3"/>
  <c r="B758" i="8" s="1"/>
  <c r="F757" i="3"/>
  <c r="A757" i="8" s="1"/>
  <c r="E757" i="3"/>
  <c r="E757" i="8" s="1"/>
  <c r="D757" i="3"/>
  <c r="D757" i="8" s="1"/>
  <c r="C757" i="3"/>
  <c r="C757" i="8" s="1"/>
  <c r="B757" i="3"/>
  <c r="B757" i="8" s="1"/>
  <c r="F756" i="3"/>
  <c r="A756" i="8" s="1"/>
  <c r="E756" i="3"/>
  <c r="E756" i="8" s="1"/>
  <c r="D756" i="3"/>
  <c r="D756" i="8" s="1"/>
  <c r="C756" i="3"/>
  <c r="C756" i="8" s="1"/>
  <c r="B756" i="3"/>
  <c r="B756" i="8" s="1"/>
  <c r="F755" i="3"/>
  <c r="A755" i="8" s="1"/>
  <c r="E755" i="3"/>
  <c r="E755" i="8" s="1"/>
  <c r="D755" i="3"/>
  <c r="D755" i="8" s="1"/>
  <c r="C755" i="3"/>
  <c r="C755" i="8" s="1"/>
  <c r="B755" i="3"/>
  <c r="B755" i="8" s="1"/>
  <c r="F754" i="3"/>
  <c r="A754" i="8" s="1"/>
  <c r="E754" i="3"/>
  <c r="E754" i="8" s="1"/>
  <c r="D754" i="3"/>
  <c r="D754" i="8" s="1"/>
  <c r="C754" i="3"/>
  <c r="C754" i="8" s="1"/>
  <c r="B754" i="3"/>
  <c r="B754" i="8" s="1"/>
  <c r="F753" i="3"/>
  <c r="A753" i="8" s="1"/>
  <c r="E753" i="3"/>
  <c r="E753" i="8" s="1"/>
  <c r="D753" i="3"/>
  <c r="D753" i="8" s="1"/>
  <c r="C753" i="3"/>
  <c r="C753" i="8" s="1"/>
  <c r="B753" i="3"/>
  <c r="B753" i="8" s="1"/>
  <c r="F752" i="3"/>
  <c r="A752" i="8" s="1"/>
  <c r="E752" i="3"/>
  <c r="E752" i="8" s="1"/>
  <c r="D752" i="3"/>
  <c r="D752" i="8" s="1"/>
  <c r="C752" i="3"/>
  <c r="C752" i="8" s="1"/>
  <c r="B752" i="3"/>
  <c r="B752" i="8" s="1"/>
  <c r="F751" i="3"/>
  <c r="A751" i="8" s="1"/>
  <c r="E751" i="3"/>
  <c r="E751" i="8" s="1"/>
  <c r="D751" i="3"/>
  <c r="D751" i="8" s="1"/>
  <c r="C751" i="3"/>
  <c r="C751" i="8" s="1"/>
  <c r="B751" i="3"/>
  <c r="B751" i="8" s="1"/>
  <c r="F750" i="3"/>
  <c r="A750" i="8" s="1"/>
  <c r="E750" i="3"/>
  <c r="E750" i="8" s="1"/>
  <c r="D750" i="3"/>
  <c r="D750" i="8" s="1"/>
  <c r="C750" i="3"/>
  <c r="C750" i="8" s="1"/>
  <c r="B750" i="3"/>
  <c r="B750" i="8" s="1"/>
  <c r="F749" i="3"/>
  <c r="A749" i="8" s="1"/>
  <c r="E749" i="3"/>
  <c r="E749" i="8" s="1"/>
  <c r="D749" i="3"/>
  <c r="D749" i="8" s="1"/>
  <c r="C749" i="3"/>
  <c r="C749" i="8" s="1"/>
  <c r="B749" i="3"/>
  <c r="B749" i="8" s="1"/>
  <c r="F748" i="3"/>
  <c r="A748" i="8" s="1"/>
  <c r="E748" i="3"/>
  <c r="E748" i="8" s="1"/>
  <c r="D748" i="3"/>
  <c r="D748" i="8" s="1"/>
  <c r="C748" i="3"/>
  <c r="C748" i="8" s="1"/>
  <c r="B748" i="3"/>
  <c r="B748" i="8" s="1"/>
  <c r="F747" i="3"/>
  <c r="A747" i="8" s="1"/>
  <c r="E747" i="3"/>
  <c r="E747" i="8" s="1"/>
  <c r="D747" i="3"/>
  <c r="D747" i="8" s="1"/>
  <c r="C747" i="3"/>
  <c r="C747" i="8" s="1"/>
  <c r="B747" i="3"/>
  <c r="B747" i="8" s="1"/>
  <c r="F746" i="3"/>
  <c r="A746" i="8" s="1"/>
  <c r="E746" i="3"/>
  <c r="E746" i="8" s="1"/>
  <c r="D746" i="3"/>
  <c r="D746" i="8" s="1"/>
  <c r="C746" i="3"/>
  <c r="C746" i="8" s="1"/>
  <c r="B746" i="3"/>
  <c r="B746" i="8" s="1"/>
  <c r="F745" i="3"/>
  <c r="A745" i="8" s="1"/>
  <c r="E745" i="3"/>
  <c r="E745" i="8" s="1"/>
  <c r="D745" i="3"/>
  <c r="D745" i="8" s="1"/>
  <c r="C745" i="3"/>
  <c r="C745" i="8" s="1"/>
  <c r="B745" i="3"/>
  <c r="B745" i="8" s="1"/>
  <c r="F744" i="3"/>
  <c r="A744" i="8" s="1"/>
  <c r="E744" i="3"/>
  <c r="E744" i="8" s="1"/>
  <c r="D744" i="3"/>
  <c r="D744" i="8" s="1"/>
  <c r="C744" i="3"/>
  <c r="C744" i="8" s="1"/>
  <c r="B744" i="3"/>
  <c r="B744" i="8" s="1"/>
  <c r="F743" i="3"/>
  <c r="A743" i="8" s="1"/>
  <c r="E743" i="3"/>
  <c r="E743" i="8" s="1"/>
  <c r="D743" i="3"/>
  <c r="D743" i="8" s="1"/>
  <c r="C743" i="3"/>
  <c r="C743" i="8" s="1"/>
  <c r="B743" i="3"/>
  <c r="B743" i="8" s="1"/>
  <c r="F742" i="3"/>
  <c r="A742" i="8" s="1"/>
  <c r="E742" i="3"/>
  <c r="E742" i="8" s="1"/>
  <c r="D742" i="3"/>
  <c r="D742" i="8" s="1"/>
  <c r="C742" i="3"/>
  <c r="C742" i="8" s="1"/>
  <c r="B742" i="3"/>
  <c r="B742" i="8" s="1"/>
  <c r="F741" i="3"/>
  <c r="A741" i="8" s="1"/>
  <c r="E741" i="3"/>
  <c r="E741" i="8" s="1"/>
  <c r="D741" i="3"/>
  <c r="D741" i="8" s="1"/>
  <c r="C741" i="3"/>
  <c r="C741" i="8" s="1"/>
  <c r="B741" i="3"/>
  <c r="B741" i="8" s="1"/>
  <c r="F740" i="3"/>
  <c r="A740" i="8" s="1"/>
  <c r="E740" i="3"/>
  <c r="E740" i="8" s="1"/>
  <c r="D740" i="3"/>
  <c r="D740" i="8" s="1"/>
  <c r="C740" i="3"/>
  <c r="C740" i="8" s="1"/>
  <c r="B740" i="3"/>
  <c r="B740" i="8" s="1"/>
  <c r="F739" i="3"/>
  <c r="A739" i="8" s="1"/>
  <c r="E739" i="3"/>
  <c r="E739" i="8" s="1"/>
  <c r="D739" i="3"/>
  <c r="D739" i="8" s="1"/>
  <c r="C739" i="3"/>
  <c r="C739" i="8" s="1"/>
  <c r="B739" i="3"/>
  <c r="B739" i="8" s="1"/>
  <c r="F738" i="3"/>
  <c r="A738" i="8" s="1"/>
  <c r="E738" i="3"/>
  <c r="E738" i="8" s="1"/>
  <c r="D738" i="3"/>
  <c r="D738" i="8" s="1"/>
  <c r="C738" i="3"/>
  <c r="C738" i="8" s="1"/>
  <c r="B738" i="3"/>
  <c r="B738" i="8" s="1"/>
  <c r="F737" i="3"/>
  <c r="A737" i="8" s="1"/>
  <c r="E737" i="3"/>
  <c r="E737" i="8" s="1"/>
  <c r="D737" i="3"/>
  <c r="D737" i="8" s="1"/>
  <c r="C737" i="3"/>
  <c r="C737" i="8" s="1"/>
  <c r="B737" i="3"/>
  <c r="B737" i="8" s="1"/>
  <c r="F736" i="3"/>
  <c r="A736" i="8" s="1"/>
  <c r="E736" i="3"/>
  <c r="E736" i="8" s="1"/>
  <c r="D736" i="3"/>
  <c r="D736" i="8" s="1"/>
  <c r="C736" i="3"/>
  <c r="C736" i="8" s="1"/>
  <c r="B736" i="3"/>
  <c r="B736" i="8" s="1"/>
  <c r="F735" i="3"/>
  <c r="A735" i="8" s="1"/>
  <c r="E735" i="3"/>
  <c r="E735" i="8" s="1"/>
  <c r="D735" i="3"/>
  <c r="D735" i="8" s="1"/>
  <c r="C735" i="3"/>
  <c r="C735" i="8" s="1"/>
  <c r="B735" i="3"/>
  <c r="B735" i="8" s="1"/>
  <c r="F734" i="3"/>
  <c r="A734" i="8" s="1"/>
  <c r="E734" i="3"/>
  <c r="E734" i="8" s="1"/>
  <c r="D734" i="3"/>
  <c r="D734" i="8" s="1"/>
  <c r="C734" i="3"/>
  <c r="C734" i="8" s="1"/>
  <c r="B734" i="3"/>
  <c r="B734" i="8" s="1"/>
  <c r="F733" i="3"/>
  <c r="A733" i="8" s="1"/>
  <c r="E733" i="3"/>
  <c r="E733" i="8" s="1"/>
  <c r="D733" i="3"/>
  <c r="D733" i="8" s="1"/>
  <c r="C733" i="3"/>
  <c r="C733" i="8" s="1"/>
  <c r="B733" i="3"/>
  <c r="B733" i="8" s="1"/>
  <c r="F732" i="3"/>
  <c r="A732" i="8" s="1"/>
  <c r="E732" i="3"/>
  <c r="E732" i="8" s="1"/>
  <c r="D732" i="3"/>
  <c r="D732" i="8" s="1"/>
  <c r="C732" i="3"/>
  <c r="C732" i="8" s="1"/>
  <c r="B732" i="3"/>
  <c r="B732" i="8" s="1"/>
  <c r="F731" i="3"/>
  <c r="A731" i="8" s="1"/>
  <c r="E731" i="3"/>
  <c r="E731" i="8" s="1"/>
  <c r="D731" i="3"/>
  <c r="D731" i="8" s="1"/>
  <c r="C731" i="3"/>
  <c r="C731" i="8" s="1"/>
  <c r="B731" i="3"/>
  <c r="B731" i="8" s="1"/>
  <c r="F730" i="3"/>
  <c r="A730" i="8" s="1"/>
  <c r="E730" i="3"/>
  <c r="E730" i="8" s="1"/>
  <c r="D730" i="3"/>
  <c r="D730" i="8" s="1"/>
  <c r="C730" i="3"/>
  <c r="C730" i="8" s="1"/>
  <c r="B730" i="3"/>
  <c r="B730" i="8" s="1"/>
  <c r="F729" i="3"/>
  <c r="A729" i="8" s="1"/>
  <c r="E729" i="3"/>
  <c r="E729" i="8" s="1"/>
  <c r="D729" i="3"/>
  <c r="D729" i="8" s="1"/>
  <c r="C729" i="3"/>
  <c r="C729" i="8" s="1"/>
  <c r="B729" i="3"/>
  <c r="B729" i="8" s="1"/>
  <c r="F728" i="3"/>
  <c r="A728" i="8" s="1"/>
  <c r="E728" i="3"/>
  <c r="E728" i="8" s="1"/>
  <c r="D728" i="3"/>
  <c r="D728" i="8" s="1"/>
  <c r="C728" i="3"/>
  <c r="C728" i="8" s="1"/>
  <c r="B728" i="3"/>
  <c r="B728" i="8" s="1"/>
  <c r="F727" i="3"/>
  <c r="A727" i="8" s="1"/>
  <c r="E727" i="3"/>
  <c r="E727" i="8" s="1"/>
  <c r="D727" i="3"/>
  <c r="D727" i="8" s="1"/>
  <c r="C727" i="3"/>
  <c r="C727" i="8" s="1"/>
  <c r="B727" i="3"/>
  <c r="B727" i="8" s="1"/>
  <c r="F726" i="3"/>
  <c r="A726" i="8" s="1"/>
  <c r="E726" i="3"/>
  <c r="E726" i="8" s="1"/>
  <c r="D726" i="3"/>
  <c r="D726" i="8" s="1"/>
  <c r="C726" i="3"/>
  <c r="C726" i="8" s="1"/>
  <c r="B726" i="3"/>
  <c r="B726" i="8" s="1"/>
  <c r="F725" i="3"/>
  <c r="A725" i="8" s="1"/>
  <c r="E725" i="3"/>
  <c r="E725" i="8" s="1"/>
  <c r="D725" i="3"/>
  <c r="D725" i="8" s="1"/>
  <c r="C725" i="3"/>
  <c r="C725" i="8" s="1"/>
  <c r="B725" i="3"/>
  <c r="B725" i="8" s="1"/>
  <c r="F724" i="3"/>
  <c r="A724" i="8" s="1"/>
  <c r="E724" i="3"/>
  <c r="E724" i="8" s="1"/>
  <c r="D724" i="3"/>
  <c r="D724" i="8" s="1"/>
  <c r="C724" i="3"/>
  <c r="C724" i="8" s="1"/>
  <c r="B724" i="3"/>
  <c r="B724" i="8" s="1"/>
  <c r="F723" i="3"/>
  <c r="A723" i="8" s="1"/>
  <c r="E723" i="3"/>
  <c r="E723" i="8" s="1"/>
  <c r="D723" i="3"/>
  <c r="D723" i="8" s="1"/>
  <c r="C723" i="3"/>
  <c r="C723" i="8" s="1"/>
  <c r="B723" i="3"/>
  <c r="B723" i="8" s="1"/>
  <c r="F722" i="3"/>
  <c r="A722" i="8" s="1"/>
  <c r="E722" i="3"/>
  <c r="E722" i="8" s="1"/>
  <c r="D722" i="3"/>
  <c r="D722" i="8" s="1"/>
  <c r="C722" i="3"/>
  <c r="C722" i="8" s="1"/>
  <c r="B722" i="3"/>
  <c r="B722" i="8" s="1"/>
  <c r="F721" i="3"/>
  <c r="A721" i="8" s="1"/>
  <c r="E721" i="3"/>
  <c r="E721" i="8" s="1"/>
  <c r="D721" i="3"/>
  <c r="D721" i="8" s="1"/>
  <c r="C721" i="3"/>
  <c r="C721" i="8" s="1"/>
  <c r="B721" i="3"/>
  <c r="B721" i="8" s="1"/>
  <c r="F720" i="3"/>
  <c r="A720" i="8" s="1"/>
  <c r="E720" i="3"/>
  <c r="E720" i="8" s="1"/>
  <c r="D720" i="3"/>
  <c r="D720" i="8" s="1"/>
  <c r="C720" i="3"/>
  <c r="C720" i="8" s="1"/>
  <c r="B720" i="3"/>
  <c r="B720" i="8" s="1"/>
  <c r="F719" i="3"/>
  <c r="A719" i="8" s="1"/>
  <c r="E719" i="3"/>
  <c r="E719" i="8" s="1"/>
  <c r="D719" i="3"/>
  <c r="D719" i="8" s="1"/>
  <c r="C719" i="3"/>
  <c r="C719" i="8" s="1"/>
  <c r="B719" i="3"/>
  <c r="B719" i="8" s="1"/>
  <c r="F718" i="3"/>
  <c r="A718" i="8" s="1"/>
  <c r="E718" i="3"/>
  <c r="E718" i="8" s="1"/>
  <c r="D718" i="3"/>
  <c r="D718" i="8" s="1"/>
  <c r="C718" i="3"/>
  <c r="C718" i="8" s="1"/>
  <c r="B718" i="3"/>
  <c r="B718" i="8" s="1"/>
  <c r="F717" i="3"/>
  <c r="A717" i="8" s="1"/>
  <c r="E717" i="3"/>
  <c r="E717" i="8" s="1"/>
  <c r="D717" i="3"/>
  <c r="D717" i="8" s="1"/>
  <c r="C717" i="3"/>
  <c r="C717" i="8" s="1"/>
  <c r="B717" i="3"/>
  <c r="B717" i="8" s="1"/>
  <c r="F716" i="3"/>
  <c r="A716" i="8" s="1"/>
  <c r="E716" i="3"/>
  <c r="E716" i="8" s="1"/>
  <c r="D716" i="3"/>
  <c r="D716" i="8" s="1"/>
  <c r="C716" i="3"/>
  <c r="C716" i="8" s="1"/>
  <c r="B716" i="3"/>
  <c r="B716" i="8" s="1"/>
  <c r="F715" i="3"/>
  <c r="A715" i="8" s="1"/>
  <c r="E715" i="3"/>
  <c r="E715" i="8" s="1"/>
  <c r="D715" i="3"/>
  <c r="D715" i="8" s="1"/>
  <c r="C715" i="3"/>
  <c r="C715" i="8" s="1"/>
  <c r="B715" i="3"/>
  <c r="B715" i="8" s="1"/>
  <c r="F714" i="3"/>
  <c r="A714" i="8" s="1"/>
  <c r="E714" i="3"/>
  <c r="E714" i="8" s="1"/>
  <c r="D714" i="3"/>
  <c r="D714" i="8" s="1"/>
  <c r="C714" i="3"/>
  <c r="C714" i="8" s="1"/>
  <c r="B714" i="3"/>
  <c r="B714" i="8" s="1"/>
  <c r="F713" i="3"/>
  <c r="A713" i="8" s="1"/>
  <c r="E713" i="3"/>
  <c r="E713" i="8" s="1"/>
  <c r="D713" i="3"/>
  <c r="D713" i="8" s="1"/>
  <c r="C713" i="3"/>
  <c r="C713" i="8" s="1"/>
  <c r="B713" i="3"/>
  <c r="B713" i="8" s="1"/>
  <c r="F712" i="3"/>
  <c r="A712" i="8" s="1"/>
  <c r="E712" i="3"/>
  <c r="E712" i="8" s="1"/>
  <c r="D712" i="3"/>
  <c r="D712" i="8" s="1"/>
  <c r="C712" i="3"/>
  <c r="C712" i="8" s="1"/>
  <c r="B712" i="3"/>
  <c r="B712" i="8" s="1"/>
  <c r="F711" i="3"/>
  <c r="A711" i="8" s="1"/>
  <c r="E711" i="3"/>
  <c r="E711" i="8" s="1"/>
  <c r="D711" i="3"/>
  <c r="D711" i="8" s="1"/>
  <c r="C711" i="3"/>
  <c r="C711" i="8" s="1"/>
  <c r="B711" i="3"/>
  <c r="B711" i="8" s="1"/>
  <c r="F710" i="3"/>
  <c r="A710" i="8" s="1"/>
  <c r="E710" i="3"/>
  <c r="E710" i="8" s="1"/>
  <c r="D710" i="3"/>
  <c r="D710" i="8" s="1"/>
  <c r="C710" i="3"/>
  <c r="C710" i="8" s="1"/>
  <c r="B710" i="3"/>
  <c r="B710" i="8" s="1"/>
  <c r="F709" i="3"/>
  <c r="A709" i="8" s="1"/>
  <c r="E709" i="3"/>
  <c r="E709" i="8" s="1"/>
  <c r="D709" i="3"/>
  <c r="D709" i="8" s="1"/>
  <c r="C709" i="3"/>
  <c r="C709" i="8" s="1"/>
  <c r="B709" i="3"/>
  <c r="B709" i="8" s="1"/>
  <c r="F708" i="3"/>
  <c r="A708" i="8" s="1"/>
  <c r="E708" i="3"/>
  <c r="E708" i="8" s="1"/>
  <c r="D708" i="3"/>
  <c r="D708" i="8" s="1"/>
  <c r="C708" i="3"/>
  <c r="C708" i="8" s="1"/>
  <c r="B708" i="3"/>
  <c r="B708" i="8" s="1"/>
  <c r="F707" i="3"/>
  <c r="A707" i="8" s="1"/>
  <c r="E707" i="3"/>
  <c r="E707" i="8" s="1"/>
  <c r="D707" i="3"/>
  <c r="D707" i="8" s="1"/>
  <c r="C707" i="3"/>
  <c r="C707" i="8" s="1"/>
  <c r="B707" i="3"/>
  <c r="B707" i="8" s="1"/>
  <c r="F706" i="3"/>
  <c r="A706" i="8" s="1"/>
  <c r="E706" i="3"/>
  <c r="E706" i="8" s="1"/>
  <c r="D706" i="3"/>
  <c r="D706" i="8" s="1"/>
  <c r="C706" i="3"/>
  <c r="C706" i="8" s="1"/>
  <c r="B706" i="3"/>
  <c r="B706" i="8" s="1"/>
  <c r="F705" i="3"/>
  <c r="A705" i="8" s="1"/>
  <c r="E705" i="3"/>
  <c r="E705" i="8" s="1"/>
  <c r="D705" i="3"/>
  <c r="D705" i="8" s="1"/>
  <c r="C705" i="3"/>
  <c r="C705" i="8" s="1"/>
  <c r="B705" i="3"/>
  <c r="B705" i="8" s="1"/>
  <c r="F704" i="3"/>
  <c r="A704" i="8" s="1"/>
  <c r="E704" i="3"/>
  <c r="E704" i="8" s="1"/>
  <c r="D704" i="3"/>
  <c r="D704" i="8" s="1"/>
  <c r="C704" i="3"/>
  <c r="C704" i="8" s="1"/>
  <c r="B704" i="3"/>
  <c r="B704" i="8" s="1"/>
  <c r="F703" i="3"/>
  <c r="A703" i="8" s="1"/>
  <c r="E703" i="3"/>
  <c r="E703" i="8" s="1"/>
  <c r="D703" i="3"/>
  <c r="D703" i="8" s="1"/>
  <c r="C703" i="3"/>
  <c r="C703" i="8" s="1"/>
  <c r="B703" i="3"/>
  <c r="B703" i="8" s="1"/>
  <c r="F702" i="3"/>
  <c r="A702" i="8" s="1"/>
  <c r="E702" i="3"/>
  <c r="E702" i="8" s="1"/>
  <c r="D702" i="3"/>
  <c r="D702" i="8" s="1"/>
  <c r="C702" i="3"/>
  <c r="C702" i="8" s="1"/>
  <c r="B702" i="3"/>
  <c r="B702" i="8" s="1"/>
  <c r="F701" i="3"/>
  <c r="A701" i="8" s="1"/>
  <c r="E701" i="3"/>
  <c r="E701" i="8" s="1"/>
  <c r="D701" i="3"/>
  <c r="D701" i="8" s="1"/>
  <c r="C701" i="3"/>
  <c r="C701" i="8" s="1"/>
  <c r="B701" i="3"/>
  <c r="B701" i="8" s="1"/>
  <c r="F700" i="3"/>
  <c r="A700" i="8" s="1"/>
  <c r="E700" i="3"/>
  <c r="E700" i="8" s="1"/>
  <c r="D700" i="3"/>
  <c r="D700" i="8" s="1"/>
  <c r="C700" i="3"/>
  <c r="C700" i="8" s="1"/>
  <c r="B700" i="3"/>
  <c r="B700" i="8" s="1"/>
  <c r="F699" i="3"/>
  <c r="A699" i="8" s="1"/>
  <c r="E699" i="3"/>
  <c r="E699" i="8" s="1"/>
  <c r="D699" i="3"/>
  <c r="D699" i="8" s="1"/>
  <c r="C699" i="3"/>
  <c r="C699" i="8" s="1"/>
  <c r="B699" i="3"/>
  <c r="B699" i="8" s="1"/>
  <c r="F698" i="3"/>
  <c r="A698" i="8" s="1"/>
  <c r="E698" i="3"/>
  <c r="E698" i="8" s="1"/>
  <c r="D698" i="3"/>
  <c r="D698" i="8" s="1"/>
  <c r="C698" i="3"/>
  <c r="C698" i="8" s="1"/>
  <c r="B698" i="3"/>
  <c r="B698" i="8" s="1"/>
  <c r="F697" i="3"/>
  <c r="A697" i="8" s="1"/>
  <c r="E697" i="3"/>
  <c r="E697" i="8" s="1"/>
  <c r="D697" i="3"/>
  <c r="D697" i="8" s="1"/>
  <c r="C697" i="3"/>
  <c r="C697" i="8" s="1"/>
  <c r="B697" i="3"/>
  <c r="B697" i="8" s="1"/>
  <c r="F696" i="3"/>
  <c r="A696" i="8" s="1"/>
  <c r="E696" i="3"/>
  <c r="E696" i="8" s="1"/>
  <c r="D696" i="3"/>
  <c r="D696" i="8" s="1"/>
  <c r="C696" i="3"/>
  <c r="C696" i="8" s="1"/>
  <c r="B696" i="3"/>
  <c r="B696" i="8" s="1"/>
  <c r="F695" i="3"/>
  <c r="A695" i="8" s="1"/>
  <c r="E695" i="3"/>
  <c r="E695" i="8" s="1"/>
  <c r="D695" i="3"/>
  <c r="D695" i="8" s="1"/>
  <c r="C695" i="3"/>
  <c r="C695" i="8" s="1"/>
  <c r="B695" i="3"/>
  <c r="B695" i="8" s="1"/>
  <c r="F694" i="3"/>
  <c r="A694" i="8" s="1"/>
  <c r="E694" i="3"/>
  <c r="E694" i="8" s="1"/>
  <c r="D694" i="3"/>
  <c r="D694" i="8" s="1"/>
  <c r="C694" i="3"/>
  <c r="C694" i="8" s="1"/>
  <c r="B694" i="3"/>
  <c r="B694" i="8" s="1"/>
  <c r="F693" i="3"/>
  <c r="A693" i="8" s="1"/>
  <c r="E693" i="3"/>
  <c r="E693" i="8" s="1"/>
  <c r="D693" i="3"/>
  <c r="D693" i="8" s="1"/>
  <c r="C693" i="3"/>
  <c r="C693" i="8" s="1"/>
  <c r="B693" i="3"/>
  <c r="B693" i="8" s="1"/>
  <c r="F692" i="3"/>
  <c r="A692" i="8" s="1"/>
  <c r="E692" i="3"/>
  <c r="E692" i="8" s="1"/>
  <c r="D692" i="3"/>
  <c r="D692" i="8" s="1"/>
  <c r="C692" i="3"/>
  <c r="C692" i="8" s="1"/>
  <c r="B692" i="3"/>
  <c r="B692" i="8" s="1"/>
  <c r="F691" i="3"/>
  <c r="A691" i="8" s="1"/>
  <c r="E691" i="3"/>
  <c r="E691" i="8" s="1"/>
  <c r="D691" i="3"/>
  <c r="D691" i="8" s="1"/>
  <c r="C691" i="3"/>
  <c r="C691" i="8" s="1"/>
  <c r="B691" i="3"/>
  <c r="B691" i="8" s="1"/>
  <c r="F690" i="3"/>
  <c r="A690" i="8" s="1"/>
  <c r="E690" i="3"/>
  <c r="E690" i="8" s="1"/>
  <c r="D690" i="3"/>
  <c r="D690" i="8" s="1"/>
  <c r="C690" i="3"/>
  <c r="C690" i="8" s="1"/>
  <c r="B690" i="3"/>
  <c r="B690" i="8" s="1"/>
  <c r="F689" i="3"/>
  <c r="A689" i="8" s="1"/>
  <c r="E689" i="3"/>
  <c r="E689" i="8" s="1"/>
  <c r="D689" i="3"/>
  <c r="D689" i="8" s="1"/>
  <c r="C689" i="3"/>
  <c r="C689" i="8" s="1"/>
  <c r="B689" i="3"/>
  <c r="B689" i="8" s="1"/>
  <c r="F688" i="3"/>
  <c r="A688" i="8" s="1"/>
  <c r="E688" i="3"/>
  <c r="E688" i="8" s="1"/>
  <c r="D688" i="3"/>
  <c r="D688" i="8" s="1"/>
  <c r="C688" i="3"/>
  <c r="C688" i="8" s="1"/>
  <c r="B688" i="3"/>
  <c r="B688" i="8" s="1"/>
  <c r="F687" i="3"/>
  <c r="A687" i="8" s="1"/>
  <c r="E687" i="3"/>
  <c r="E687" i="8" s="1"/>
  <c r="D687" i="3"/>
  <c r="D687" i="8" s="1"/>
  <c r="C687" i="3"/>
  <c r="C687" i="8" s="1"/>
  <c r="B687" i="3"/>
  <c r="B687" i="8" s="1"/>
  <c r="F686" i="3"/>
  <c r="A686" i="8" s="1"/>
  <c r="E686" i="3"/>
  <c r="E686" i="8" s="1"/>
  <c r="D686" i="3"/>
  <c r="D686" i="8" s="1"/>
  <c r="C686" i="3"/>
  <c r="C686" i="8" s="1"/>
  <c r="B686" i="3"/>
  <c r="B686" i="8" s="1"/>
  <c r="F685" i="3"/>
  <c r="A685" i="8" s="1"/>
  <c r="E685" i="3"/>
  <c r="E685" i="8" s="1"/>
  <c r="D685" i="3"/>
  <c r="D685" i="8" s="1"/>
  <c r="C685" i="3"/>
  <c r="C685" i="8" s="1"/>
  <c r="B685" i="3"/>
  <c r="B685" i="8" s="1"/>
  <c r="F684" i="3"/>
  <c r="A684" i="8" s="1"/>
  <c r="E684" i="3"/>
  <c r="E684" i="8" s="1"/>
  <c r="D684" i="3"/>
  <c r="D684" i="8" s="1"/>
  <c r="C684" i="3"/>
  <c r="C684" i="8" s="1"/>
  <c r="B684" i="3"/>
  <c r="B684" i="8" s="1"/>
  <c r="F683" i="3"/>
  <c r="A683" i="8" s="1"/>
  <c r="E683" i="3"/>
  <c r="E683" i="8" s="1"/>
  <c r="D683" i="3"/>
  <c r="D683" i="8" s="1"/>
  <c r="C683" i="3"/>
  <c r="C683" i="8" s="1"/>
  <c r="B683" i="3"/>
  <c r="B683" i="8" s="1"/>
  <c r="F682" i="3"/>
  <c r="A682" i="8" s="1"/>
  <c r="E682" i="3"/>
  <c r="E682" i="8" s="1"/>
  <c r="D682" i="3"/>
  <c r="D682" i="8" s="1"/>
  <c r="C682" i="3"/>
  <c r="C682" i="8" s="1"/>
  <c r="B682" i="3"/>
  <c r="B682" i="8" s="1"/>
  <c r="F681" i="3"/>
  <c r="A681" i="8" s="1"/>
  <c r="E681" i="3"/>
  <c r="E681" i="8" s="1"/>
  <c r="D681" i="3"/>
  <c r="D681" i="8" s="1"/>
  <c r="C681" i="3"/>
  <c r="C681" i="8" s="1"/>
  <c r="B681" i="3"/>
  <c r="B681" i="8" s="1"/>
  <c r="F680" i="3"/>
  <c r="A680" i="8" s="1"/>
  <c r="E680" i="3"/>
  <c r="E680" i="8" s="1"/>
  <c r="D680" i="3"/>
  <c r="D680" i="8" s="1"/>
  <c r="C680" i="3"/>
  <c r="C680" i="8" s="1"/>
  <c r="B680" i="3"/>
  <c r="B680" i="8" s="1"/>
  <c r="F679" i="3"/>
  <c r="A679" i="8" s="1"/>
  <c r="E679" i="3"/>
  <c r="E679" i="8" s="1"/>
  <c r="D679" i="3"/>
  <c r="D679" i="8" s="1"/>
  <c r="C679" i="3"/>
  <c r="C679" i="8" s="1"/>
  <c r="B679" i="3"/>
  <c r="B679" i="8" s="1"/>
  <c r="F678" i="3"/>
  <c r="A678" i="8" s="1"/>
  <c r="E678" i="3"/>
  <c r="E678" i="8" s="1"/>
  <c r="D678" i="3"/>
  <c r="D678" i="8" s="1"/>
  <c r="C678" i="3"/>
  <c r="C678" i="8" s="1"/>
  <c r="B678" i="3"/>
  <c r="B678" i="8" s="1"/>
  <c r="F677" i="3"/>
  <c r="A677" i="8" s="1"/>
  <c r="E677" i="3"/>
  <c r="E677" i="8" s="1"/>
  <c r="D677" i="3"/>
  <c r="D677" i="8" s="1"/>
  <c r="C677" i="3"/>
  <c r="C677" i="8" s="1"/>
  <c r="B677" i="3"/>
  <c r="B677" i="8" s="1"/>
  <c r="F676" i="3"/>
  <c r="A676" i="8" s="1"/>
  <c r="E676" i="3"/>
  <c r="E676" i="8" s="1"/>
  <c r="D676" i="3"/>
  <c r="D676" i="8" s="1"/>
  <c r="C676" i="3"/>
  <c r="C676" i="8" s="1"/>
  <c r="B676" i="3"/>
  <c r="B676" i="8" s="1"/>
  <c r="F675" i="3"/>
  <c r="A675" i="8" s="1"/>
  <c r="E675" i="3"/>
  <c r="E675" i="8" s="1"/>
  <c r="D675" i="3"/>
  <c r="D675" i="8" s="1"/>
  <c r="C675" i="3"/>
  <c r="C675" i="8" s="1"/>
  <c r="B675" i="3"/>
  <c r="B675" i="8" s="1"/>
  <c r="F674" i="3"/>
  <c r="A674" i="8" s="1"/>
  <c r="E674" i="3"/>
  <c r="E674" i="8" s="1"/>
  <c r="D674" i="3"/>
  <c r="D674" i="8" s="1"/>
  <c r="C674" i="3"/>
  <c r="C674" i="8" s="1"/>
  <c r="B674" i="3"/>
  <c r="B674" i="8" s="1"/>
  <c r="F673" i="3"/>
  <c r="A673" i="8" s="1"/>
  <c r="E673" i="3"/>
  <c r="E673" i="8" s="1"/>
  <c r="D673" i="3"/>
  <c r="D673" i="8" s="1"/>
  <c r="C673" i="3"/>
  <c r="C673" i="8" s="1"/>
  <c r="B673" i="3"/>
  <c r="B673" i="8" s="1"/>
  <c r="F672" i="3"/>
  <c r="A672" i="8" s="1"/>
  <c r="E672" i="3"/>
  <c r="E672" i="8" s="1"/>
  <c r="D672" i="3"/>
  <c r="D672" i="8" s="1"/>
  <c r="C672" i="3"/>
  <c r="C672" i="8" s="1"/>
  <c r="B672" i="3"/>
  <c r="B672" i="8" s="1"/>
  <c r="F671" i="3"/>
  <c r="A671" i="8" s="1"/>
  <c r="E671" i="3"/>
  <c r="E671" i="8" s="1"/>
  <c r="D671" i="3"/>
  <c r="D671" i="8" s="1"/>
  <c r="C671" i="3"/>
  <c r="C671" i="8" s="1"/>
  <c r="B671" i="3"/>
  <c r="B671" i="8" s="1"/>
  <c r="F670" i="3"/>
  <c r="A670" i="8" s="1"/>
  <c r="E670" i="3"/>
  <c r="E670" i="8" s="1"/>
  <c r="D670" i="3"/>
  <c r="D670" i="8" s="1"/>
  <c r="C670" i="3"/>
  <c r="C670" i="8" s="1"/>
  <c r="B670" i="3"/>
  <c r="B670" i="8" s="1"/>
  <c r="F669" i="3"/>
  <c r="A669" i="8" s="1"/>
  <c r="E669" i="3"/>
  <c r="E669" i="8" s="1"/>
  <c r="D669" i="3"/>
  <c r="D669" i="8" s="1"/>
  <c r="C669" i="3"/>
  <c r="C669" i="8" s="1"/>
  <c r="B669" i="3"/>
  <c r="B669" i="8" s="1"/>
  <c r="F668" i="3"/>
  <c r="A668" i="8" s="1"/>
  <c r="E668" i="3"/>
  <c r="E668" i="8" s="1"/>
  <c r="D668" i="3"/>
  <c r="D668" i="8" s="1"/>
  <c r="C668" i="3"/>
  <c r="C668" i="8" s="1"/>
  <c r="B668" i="3"/>
  <c r="B668" i="8" s="1"/>
  <c r="F667" i="3"/>
  <c r="A667" i="8" s="1"/>
  <c r="E667" i="3"/>
  <c r="E667" i="8" s="1"/>
  <c r="D667" i="3"/>
  <c r="D667" i="8" s="1"/>
  <c r="C667" i="3"/>
  <c r="C667" i="8" s="1"/>
  <c r="B667" i="3"/>
  <c r="B667" i="8" s="1"/>
  <c r="F666" i="3"/>
  <c r="A666" i="8" s="1"/>
  <c r="E666" i="3"/>
  <c r="E666" i="8" s="1"/>
  <c r="D666" i="3"/>
  <c r="D666" i="8" s="1"/>
  <c r="C666" i="3"/>
  <c r="C666" i="8" s="1"/>
  <c r="B666" i="3"/>
  <c r="B666" i="8" s="1"/>
  <c r="F665" i="3"/>
  <c r="A665" i="8" s="1"/>
  <c r="E665" i="3"/>
  <c r="E665" i="8" s="1"/>
  <c r="D665" i="3"/>
  <c r="D665" i="8" s="1"/>
  <c r="C665" i="3"/>
  <c r="C665" i="8" s="1"/>
  <c r="B665" i="3"/>
  <c r="B665" i="8" s="1"/>
  <c r="F664" i="3"/>
  <c r="A664" i="8" s="1"/>
  <c r="E664" i="3"/>
  <c r="E664" i="8" s="1"/>
  <c r="D664" i="3"/>
  <c r="D664" i="8" s="1"/>
  <c r="C664" i="3"/>
  <c r="C664" i="8" s="1"/>
  <c r="B664" i="3"/>
  <c r="B664" i="8" s="1"/>
  <c r="F663" i="3"/>
  <c r="A663" i="8" s="1"/>
  <c r="E663" i="3"/>
  <c r="E663" i="8" s="1"/>
  <c r="D663" i="3"/>
  <c r="D663" i="8" s="1"/>
  <c r="C663" i="3"/>
  <c r="C663" i="8" s="1"/>
  <c r="B663" i="3"/>
  <c r="B663" i="8" s="1"/>
  <c r="F662" i="3"/>
  <c r="A662" i="8" s="1"/>
  <c r="E662" i="3"/>
  <c r="E662" i="8" s="1"/>
  <c r="D662" i="3"/>
  <c r="D662" i="8" s="1"/>
  <c r="C662" i="3"/>
  <c r="C662" i="8" s="1"/>
  <c r="B662" i="3"/>
  <c r="B662" i="8" s="1"/>
  <c r="F661" i="3"/>
  <c r="A661" i="8" s="1"/>
  <c r="E661" i="3"/>
  <c r="E661" i="8" s="1"/>
  <c r="D661" i="3"/>
  <c r="D661" i="8" s="1"/>
  <c r="C661" i="3"/>
  <c r="C661" i="8" s="1"/>
  <c r="B661" i="3"/>
  <c r="B661" i="8" s="1"/>
  <c r="F660" i="3"/>
  <c r="A660" i="8" s="1"/>
  <c r="E660" i="3"/>
  <c r="E660" i="8" s="1"/>
  <c r="D660" i="3"/>
  <c r="D660" i="8" s="1"/>
  <c r="C660" i="3"/>
  <c r="C660" i="8" s="1"/>
  <c r="B660" i="3"/>
  <c r="B660" i="8" s="1"/>
  <c r="F659" i="3"/>
  <c r="A659" i="8" s="1"/>
  <c r="E659" i="3"/>
  <c r="E659" i="8" s="1"/>
  <c r="D659" i="3"/>
  <c r="D659" i="8" s="1"/>
  <c r="C659" i="3"/>
  <c r="C659" i="8" s="1"/>
  <c r="B659" i="3"/>
  <c r="B659" i="8" s="1"/>
  <c r="F658" i="3"/>
  <c r="A658" i="8" s="1"/>
  <c r="E658" i="3"/>
  <c r="E658" i="8" s="1"/>
  <c r="D658" i="3"/>
  <c r="D658" i="8" s="1"/>
  <c r="C658" i="3"/>
  <c r="C658" i="8" s="1"/>
  <c r="B658" i="3"/>
  <c r="B658" i="8" s="1"/>
  <c r="F657" i="3"/>
  <c r="A657" i="8" s="1"/>
  <c r="E657" i="3"/>
  <c r="E657" i="8" s="1"/>
  <c r="D657" i="3"/>
  <c r="D657" i="8" s="1"/>
  <c r="C657" i="3"/>
  <c r="C657" i="8" s="1"/>
  <c r="B657" i="3"/>
  <c r="B657" i="8" s="1"/>
  <c r="F656" i="3"/>
  <c r="A656" i="8" s="1"/>
  <c r="E656" i="3"/>
  <c r="E656" i="8" s="1"/>
  <c r="D656" i="3"/>
  <c r="D656" i="8" s="1"/>
  <c r="C656" i="3"/>
  <c r="C656" i="8" s="1"/>
  <c r="B656" i="3"/>
  <c r="B656" i="8" s="1"/>
  <c r="F655" i="3"/>
  <c r="A655" i="8" s="1"/>
  <c r="E655" i="3"/>
  <c r="E655" i="8" s="1"/>
  <c r="D655" i="3"/>
  <c r="D655" i="8" s="1"/>
  <c r="C655" i="3"/>
  <c r="C655" i="8" s="1"/>
  <c r="B655" i="3"/>
  <c r="B655" i="8" s="1"/>
  <c r="F654" i="3"/>
  <c r="A654" i="8" s="1"/>
  <c r="E654" i="3"/>
  <c r="E654" i="8" s="1"/>
  <c r="D654" i="3"/>
  <c r="D654" i="8" s="1"/>
  <c r="C654" i="3"/>
  <c r="C654" i="8" s="1"/>
  <c r="B654" i="3"/>
  <c r="B654" i="8" s="1"/>
  <c r="F653" i="3"/>
  <c r="A653" i="8" s="1"/>
  <c r="E653" i="3"/>
  <c r="E653" i="8" s="1"/>
  <c r="D653" i="3"/>
  <c r="D653" i="8" s="1"/>
  <c r="C653" i="3"/>
  <c r="C653" i="8" s="1"/>
  <c r="B653" i="3"/>
  <c r="B653" i="8" s="1"/>
  <c r="F652" i="3"/>
  <c r="A652" i="8" s="1"/>
  <c r="E652" i="3"/>
  <c r="E652" i="8" s="1"/>
  <c r="D652" i="3"/>
  <c r="D652" i="8" s="1"/>
  <c r="C652" i="3"/>
  <c r="C652" i="8" s="1"/>
  <c r="B652" i="3"/>
  <c r="B652" i="8" s="1"/>
  <c r="F651" i="3"/>
  <c r="A651" i="8" s="1"/>
  <c r="E651" i="3"/>
  <c r="E651" i="8" s="1"/>
  <c r="D651" i="3"/>
  <c r="D651" i="8" s="1"/>
  <c r="C651" i="3"/>
  <c r="C651" i="8" s="1"/>
  <c r="B651" i="3"/>
  <c r="B651" i="8" s="1"/>
  <c r="F650" i="3"/>
  <c r="A650" i="8" s="1"/>
  <c r="E650" i="3"/>
  <c r="E650" i="8" s="1"/>
  <c r="D650" i="3"/>
  <c r="D650" i="8" s="1"/>
  <c r="C650" i="3"/>
  <c r="C650" i="8" s="1"/>
  <c r="B650" i="3"/>
  <c r="B650" i="8" s="1"/>
  <c r="F649" i="3"/>
  <c r="A649" i="8" s="1"/>
  <c r="E649" i="3"/>
  <c r="E649" i="8" s="1"/>
  <c r="D649" i="3"/>
  <c r="D649" i="8" s="1"/>
  <c r="C649" i="3"/>
  <c r="C649" i="8" s="1"/>
  <c r="B649" i="3"/>
  <c r="B649" i="8" s="1"/>
  <c r="F648" i="3"/>
  <c r="A648" i="8" s="1"/>
  <c r="E648" i="3"/>
  <c r="E648" i="8" s="1"/>
  <c r="D648" i="3"/>
  <c r="D648" i="8" s="1"/>
  <c r="C648" i="3"/>
  <c r="C648" i="8" s="1"/>
  <c r="B648" i="3"/>
  <c r="B648" i="8" s="1"/>
  <c r="F647" i="3"/>
  <c r="A647" i="8" s="1"/>
  <c r="E647" i="3"/>
  <c r="E647" i="8" s="1"/>
  <c r="D647" i="3"/>
  <c r="D647" i="8" s="1"/>
  <c r="C647" i="3"/>
  <c r="C647" i="8" s="1"/>
  <c r="B647" i="3"/>
  <c r="B647" i="8" s="1"/>
  <c r="F646" i="3"/>
  <c r="A646" i="8" s="1"/>
  <c r="E646" i="3"/>
  <c r="E646" i="8" s="1"/>
  <c r="D646" i="3"/>
  <c r="D646" i="8" s="1"/>
  <c r="C646" i="3"/>
  <c r="C646" i="8" s="1"/>
  <c r="B646" i="3"/>
  <c r="B646" i="8" s="1"/>
  <c r="F645" i="3"/>
  <c r="A645" i="8" s="1"/>
  <c r="E645" i="3"/>
  <c r="E645" i="8" s="1"/>
  <c r="D645" i="3"/>
  <c r="D645" i="8" s="1"/>
  <c r="C645" i="3"/>
  <c r="C645" i="8" s="1"/>
  <c r="B645" i="3"/>
  <c r="B645" i="8" s="1"/>
  <c r="F644" i="3"/>
  <c r="A644" i="8" s="1"/>
  <c r="E644" i="3"/>
  <c r="E644" i="8" s="1"/>
  <c r="D644" i="3"/>
  <c r="D644" i="8" s="1"/>
  <c r="C644" i="3"/>
  <c r="C644" i="8" s="1"/>
  <c r="B644" i="3"/>
  <c r="B644" i="8" s="1"/>
  <c r="F643" i="3"/>
  <c r="A643" i="8" s="1"/>
  <c r="E643" i="3"/>
  <c r="E643" i="8" s="1"/>
  <c r="D643" i="3"/>
  <c r="D643" i="8" s="1"/>
  <c r="C643" i="3"/>
  <c r="C643" i="8" s="1"/>
  <c r="B643" i="3"/>
  <c r="B643" i="8" s="1"/>
  <c r="F642" i="3"/>
  <c r="A642" i="8" s="1"/>
  <c r="E642" i="3"/>
  <c r="E642" i="8" s="1"/>
  <c r="D642" i="3"/>
  <c r="D642" i="8" s="1"/>
  <c r="C642" i="3"/>
  <c r="C642" i="8" s="1"/>
  <c r="B642" i="3"/>
  <c r="B642" i="8" s="1"/>
  <c r="F641" i="3"/>
  <c r="A641" i="8" s="1"/>
  <c r="E641" i="3"/>
  <c r="E641" i="8" s="1"/>
  <c r="D641" i="3"/>
  <c r="D641" i="8" s="1"/>
  <c r="C641" i="3"/>
  <c r="C641" i="8" s="1"/>
  <c r="B641" i="3"/>
  <c r="B641" i="8" s="1"/>
  <c r="F640" i="3"/>
  <c r="A640" i="8" s="1"/>
  <c r="E640" i="3"/>
  <c r="E640" i="8" s="1"/>
  <c r="D640" i="3"/>
  <c r="D640" i="8" s="1"/>
  <c r="C640" i="3"/>
  <c r="C640" i="8" s="1"/>
  <c r="B640" i="3"/>
  <c r="B640" i="8" s="1"/>
  <c r="F639" i="3"/>
  <c r="A639" i="8" s="1"/>
  <c r="E639" i="3"/>
  <c r="E639" i="8" s="1"/>
  <c r="D639" i="3"/>
  <c r="D639" i="8" s="1"/>
  <c r="C639" i="3"/>
  <c r="C639" i="8" s="1"/>
  <c r="B639" i="3"/>
  <c r="B639" i="8" s="1"/>
  <c r="F638" i="3"/>
  <c r="A638" i="8" s="1"/>
  <c r="E638" i="3"/>
  <c r="E638" i="8" s="1"/>
  <c r="D638" i="3"/>
  <c r="D638" i="8" s="1"/>
  <c r="C638" i="3"/>
  <c r="C638" i="8" s="1"/>
  <c r="B638" i="3"/>
  <c r="B638" i="8" s="1"/>
  <c r="F637" i="3"/>
  <c r="A637" i="8" s="1"/>
  <c r="E637" i="3"/>
  <c r="E637" i="8" s="1"/>
  <c r="D637" i="3"/>
  <c r="D637" i="8" s="1"/>
  <c r="C637" i="3"/>
  <c r="C637" i="8" s="1"/>
  <c r="B637" i="3"/>
  <c r="B637" i="8" s="1"/>
  <c r="F636" i="3"/>
  <c r="A636" i="8" s="1"/>
  <c r="E636" i="3"/>
  <c r="E636" i="8" s="1"/>
  <c r="D636" i="3"/>
  <c r="D636" i="8" s="1"/>
  <c r="C636" i="3"/>
  <c r="C636" i="8" s="1"/>
  <c r="B636" i="3"/>
  <c r="B636" i="8" s="1"/>
  <c r="F635" i="3"/>
  <c r="A635" i="8" s="1"/>
  <c r="E635" i="3"/>
  <c r="E635" i="8" s="1"/>
  <c r="D635" i="3"/>
  <c r="D635" i="8" s="1"/>
  <c r="C635" i="3"/>
  <c r="C635" i="8" s="1"/>
  <c r="B635" i="3"/>
  <c r="B635" i="8" s="1"/>
  <c r="F634" i="3"/>
  <c r="A634" i="8" s="1"/>
  <c r="E634" i="3"/>
  <c r="E634" i="8" s="1"/>
  <c r="D634" i="3"/>
  <c r="D634" i="8" s="1"/>
  <c r="C634" i="3"/>
  <c r="C634" i="8" s="1"/>
  <c r="B634" i="3"/>
  <c r="B634" i="8" s="1"/>
  <c r="F633" i="3"/>
  <c r="A633" i="8" s="1"/>
  <c r="E633" i="3"/>
  <c r="E633" i="8" s="1"/>
  <c r="D633" i="3"/>
  <c r="D633" i="8" s="1"/>
  <c r="C633" i="3"/>
  <c r="C633" i="8" s="1"/>
  <c r="B633" i="3"/>
  <c r="B633" i="8" s="1"/>
  <c r="F632" i="3"/>
  <c r="A632" i="8" s="1"/>
  <c r="E632" i="3"/>
  <c r="E632" i="8" s="1"/>
  <c r="D632" i="3"/>
  <c r="D632" i="8" s="1"/>
  <c r="C632" i="3"/>
  <c r="C632" i="8" s="1"/>
  <c r="B632" i="3"/>
  <c r="B632" i="8" s="1"/>
  <c r="F631" i="3"/>
  <c r="A631" i="8" s="1"/>
  <c r="E631" i="3"/>
  <c r="E631" i="8" s="1"/>
  <c r="D631" i="3"/>
  <c r="D631" i="8" s="1"/>
  <c r="C631" i="3"/>
  <c r="C631" i="8" s="1"/>
  <c r="B631" i="3"/>
  <c r="B631" i="8" s="1"/>
  <c r="F630" i="3"/>
  <c r="A630" i="8" s="1"/>
  <c r="E630" i="3"/>
  <c r="E630" i="8" s="1"/>
  <c r="D630" i="3"/>
  <c r="D630" i="8" s="1"/>
  <c r="C630" i="3"/>
  <c r="C630" i="8" s="1"/>
  <c r="B630" i="3"/>
  <c r="B630" i="8" s="1"/>
  <c r="F629" i="3"/>
  <c r="A629" i="8" s="1"/>
  <c r="E629" i="3"/>
  <c r="E629" i="8" s="1"/>
  <c r="D629" i="3"/>
  <c r="D629" i="8" s="1"/>
  <c r="C629" i="3"/>
  <c r="C629" i="8" s="1"/>
  <c r="B629" i="3"/>
  <c r="B629" i="8" s="1"/>
  <c r="F628" i="3"/>
  <c r="A628" i="8" s="1"/>
  <c r="E628" i="3"/>
  <c r="E628" i="8" s="1"/>
  <c r="D628" i="3"/>
  <c r="D628" i="8" s="1"/>
  <c r="C628" i="3"/>
  <c r="C628" i="8" s="1"/>
  <c r="B628" i="3"/>
  <c r="B628" i="8" s="1"/>
  <c r="F627" i="3"/>
  <c r="A627" i="8" s="1"/>
  <c r="E627" i="3"/>
  <c r="E627" i="8" s="1"/>
  <c r="D627" i="3"/>
  <c r="D627" i="8" s="1"/>
  <c r="C627" i="3"/>
  <c r="C627" i="8" s="1"/>
  <c r="B627" i="3"/>
  <c r="B627" i="8" s="1"/>
  <c r="F626" i="3"/>
  <c r="A626" i="8" s="1"/>
  <c r="E626" i="3"/>
  <c r="E626" i="8" s="1"/>
  <c r="D626" i="3"/>
  <c r="D626" i="8" s="1"/>
  <c r="C626" i="3"/>
  <c r="C626" i="8" s="1"/>
  <c r="B626" i="3"/>
  <c r="B626" i="8" s="1"/>
  <c r="F625" i="3"/>
  <c r="A625" i="8" s="1"/>
  <c r="E625" i="3"/>
  <c r="E625" i="8" s="1"/>
  <c r="D625" i="3"/>
  <c r="D625" i="8" s="1"/>
  <c r="C625" i="3"/>
  <c r="C625" i="8" s="1"/>
  <c r="B625" i="3"/>
  <c r="B625" i="8" s="1"/>
  <c r="F624" i="3"/>
  <c r="A624" i="8" s="1"/>
  <c r="E624" i="3"/>
  <c r="E624" i="8" s="1"/>
  <c r="D624" i="3"/>
  <c r="D624" i="8" s="1"/>
  <c r="C624" i="3"/>
  <c r="C624" i="8" s="1"/>
  <c r="B624" i="3"/>
  <c r="B624" i="8" s="1"/>
  <c r="F623" i="3"/>
  <c r="A623" i="8" s="1"/>
  <c r="E623" i="3"/>
  <c r="E623" i="8" s="1"/>
  <c r="D623" i="3"/>
  <c r="D623" i="8" s="1"/>
  <c r="C623" i="3"/>
  <c r="C623" i="8" s="1"/>
  <c r="B623" i="3"/>
  <c r="B623" i="8" s="1"/>
  <c r="F622" i="3"/>
  <c r="A622" i="8" s="1"/>
  <c r="E622" i="3"/>
  <c r="E622" i="8" s="1"/>
  <c r="D622" i="3"/>
  <c r="D622" i="8" s="1"/>
  <c r="C622" i="3"/>
  <c r="C622" i="8" s="1"/>
  <c r="B622" i="3"/>
  <c r="B622" i="8" s="1"/>
  <c r="F621" i="3"/>
  <c r="A621" i="8" s="1"/>
  <c r="E621" i="3"/>
  <c r="E621" i="8" s="1"/>
  <c r="D621" i="3"/>
  <c r="D621" i="8" s="1"/>
  <c r="C621" i="3"/>
  <c r="C621" i="8" s="1"/>
  <c r="B621" i="3"/>
  <c r="B621" i="8" s="1"/>
  <c r="F620" i="3"/>
  <c r="A620" i="8" s="1"/>
  <c r="E620" i="3"/>
  <c r="E620" i="8" s="1"/>
  <c r="D620" i="3"/>
  <c r="D620" i="8" s="1"/>
  <c r="C620" i="3"/>
  <c r="C620" i="8" s="1"/>
  <c r="B620" i="3"/>
  <c r="B620" i="8" s="1"/>
  <c r="F619" i="3"/>
  <c r="A619" i="8" s="1"/>
  <c r="E619" i="3"/>
  <c r="E619" i="8" s="1"/>
  <c r="D619" i="3"/>
  <c r="D619" i="8" s="1"/>
  <c r="C619" i="3"/>
  <c r="C619" i="8" s="1"/>
  <c r="B619" i="3"/>
  <c r="B619" i="8" s="1"/>
  <c r="F618" i="3"/>
  <c r="A618" i="8" s="1"/>
  <c r="E618" i="3"/>
  <c r="E618" i="8" s="1"/>
  <c r="D618" i="3"/>
  <c r="D618" i="8" s="1"/>
  <c r="C618" i="3"/>
  <c r="C618" i="8" s="1"/>
  <c r="B618" i="3"/>
  <c r="B618" i="8" s="1"/>
  <c r="F617" i="3"/>
  <c r="A617" i="8" s="1"/>
  <c r="E617" i="3"/>
  <c r="E617" i="8" s="1"/>
  <c r="D617" i="3"/>
  <c r="D617" i="8" s="1"/>
  <c r="C617" i="3"/>
  <c r="C617" i="8" s="1"/>
  <c r="B617" i="3"/>
  <c r="B617" i="8" s="1"/>
  <c r="F616" i="3"/>
  <c r="A616" i="8" s="1"/>
  <c r="E616" i="3"/>
  <c r="E616" i="8" s="1"/>
  <c r="D616" i="3"/>
  <c r="D616" i="8" s="1"/>
  <c r="C616" i="3"/>
  <c r="C616" i="8" s="1"/>
  <c r="B616" i="3"/>
  <c r="B616" i="8" s="1"/>
  <c r="F615" i="3"/>
  <c r="A615" i="8" s="1"/>
  <c r="E615" i="3"/>
  <c r="E615" i="8" s="1"/>
  <c r="D615" i="3"/>
  <c r="D615" i="8" s="1"/>
  <c r="C615" i="3"/>
  <c r="C615" i="8" s="1"/>
  <c r="B615" i="3"/>
  <c r="B615" i="8" s="1"/>
  <c r="F614" i="3"/>
  <c r="A614" i="8" s="1"/>
  <c r="E614" i="3"/>
  <c r="E614" i="8" s="1"/>
  <c r="D614" i="3"/>
  <c r="D614" i="8" s="1"/>
  <c r="C614" i="3"/>
  <c r="C614" i="8" s="1"/>
  <c r="B614" i="3"/>
  <c r="B614" i="8" s="1"/>
  <c r="F613" i="3"/>
  <c r="A613" i="8" s="1"/>
  <c r="E613" i="3"/>
  <c r="E613" i="8" s="1"/>
  <c r="D613" i="3"/>
  <c r="D613" i="8" s="1"/>
  <c r="C613" i="3"/>
  <c r="C613" i="8" s="1"/>
  <c r="B613" i="3"/>
  <c r="B613" i="8" s="1"/>
  <c r="F612" i="3"/>
  <c r="A612" i="8" s="1"/>
  <c r="E612" i="3"/>
  <c r="E612" i="8" s="1"/>
  <c r="D612" i="3"/>
  <c r="D612" i="8" s="1"/>
  <c r="C612" i="3"/>
  <c r="C612" i="8" s="1"/>
  <c r="B612" i="3"/>
  <c r="B612" i="8" s="1"/>
  <c r="F611" i="3"/>
  <c r="A611" i="8" s="1"/>
  <c r="E611" i="3"/>
  <c r="E611" i="8" s="1"/>
  <c r="D611" i="3"/>
  <c r="D611" i="8" s="1"/>
  <c r="C611" i="3"/>
  <c r="C611" i="8" s="1"/>
  <c r="B611" i="3"/>
  <c r="B611" i="8" s="1"/>
  <c r="F610" i="3"/>
  <c r="A610" i="8" s="1"/>
  <c r="E610" i="3"/>
  <c r="E610" i="8" s="1"/>
  <c r="D610" i="3"/>
  <c r="D610" i="8" s="1"/>
  <c r="C610" i="3"/>
  <c r="C610" i="8" s="1"/>
  <c r="B610" i="3"/>
  <c r="B610" i="8" s="1"/>
  <c r="F609" i="3"/>
  <c r="A609" i="8" s="1"/>
  <c r="E609" i="3"/>
  <c r="E609" i="8" s="1"/>
  <c r="D609" i="3"/>
  <c r="D609" i="8" s="1"/>
  <c r="C609" i="3"/>
  <c r="C609" i="8" s="1"/>
  <c r="B609" i="3"/>
  <c r="B609" i="8" s="1"/>
  <c r="F608" i="3"/>
  <c r="A608" i="8" s="1"/>
  <c r="E608" i="3"/>
  <c r="E608" i="8" s="1"/>
  <c r="D608" i="3"/>
  <c r="D608" i="8" s="1"/>
  <c r="C608" i="3"/>
  <c r="C608" i="8" s="1"/>
  <c r="B608" i="3"/>
  <c r="B608" i="8" s="1"/>
  <c r="F607" i="3"/>
  <c r="A607" i="8" s="1"/>
  <c r="E607" i="3"/>
  <c r="E607" i="8" s="1"/>
  <c r="D607" i="3"/>
  <c r="D607" i="8" s="1"/>
  <c r="C607" i="3"/>
  <c r="C607" i="8" s="1"/>
  <c r="B607" i="3"/>
  <c r="B607" i="8" s="1"/>
  <c r="F606" i="3"/>
  <c r="A606" i="8" s="1"/>
  <c r="E606" i="3"/>
  <c r="E606" i="8" s="1"/>
  <c r="D606" i="3"/>
  <c r="D606" i="8" s="1"/>
  <c r="C606" i="3"/>
  <c r="C606" i="8" s="1"/>
  <c r="B606" i="3"/>
  <c r="B606" i="8" s="1"/>
  <c r="F605" i="3"/>
  <c r="A605" i="8" s="1"/>
  <c r="E605" i="3"/>
  <c r="E605" i="8" s="1"/>
  <c r="D605" i="3"/>
  <c r="D605" i="8" s="1"/>
  <c r="C605" i="3"/>
  <c r="C605" i="8" s="1"/>
  <c r="B605" i="3"/>
  <c r="B605" i="8" s="1"/>
  <c r="F604" i="3"/>
  <c r="A604" i="8" s="1"/>
  <c r="E604" i="3"/>
  <c r="E604" i="8" s="1"/>
  <c r="D604" i="3"/>
  <c r="D604" i="8" s="1"/>
  <c r="C604" i="3"/>
  <c r="C604" i="8" s="1"/>
  <c r="B604" i="3"/>
  <c r="B604" i="8" s="1"/>
  <c r="F603" i="3"/>
  <c r="A603" i="8" s="1"/>
  <c r="E603" i="3"/>
  <c r="E603" i="8" s="1"/>
  <c r="D603" i="3"/>
  <c r="D603" i="8" s="1"/>
  <c r="C603" i="3"/>
  <c r="C603" i="8" s="1"/>
  <c r="B603" i="3"/>
  <c r="B603" i="8" s="1"/>
  <c r="F602" i="3"/>
  <c r="A602" i="8" s="1"/>
  <c r="E602" i="3"/>
  <c r="E602" i="8" s="1"/>
  <c r="D602" i="3"/>
  <c r="D602" i="8" s="1"/>
  <c r="C602" i="3"/>
  <c r="C602" i="8" s="1"/>
  <c r="B602" i="3"/>
  <c r="B602" i="8" s="1"/>
  <c r="F601" i="3"/>
  <c r="A601" i="8" s="1"/>
  <c r="E601" i="3"/>
  <c r="E601" i="8" s="1"/>
  <c r="D601" i="3"/>
  <c r="D601" i="8" s="1"/>
  <c r="C601" i="3"/>
  <c r="C601" i="8" s="1"/>
  <c r="B601" i="3"/>
  <c r="B601" i="8" s="1"/>
  <c r="F600" i="3"/>
  <c r="A600" i="8" s="1"/>
  <c r="E600" i="3"/>
  <c r="E600" i="8" s="1"/>
  <c r="D600" i="3"/>
  <c r="D600" i="8" s="1"/>
  <c r="C600" i="3"/>
  <c r="C600" i="8" s="1"/>
  <c r="B600" i="3"/>
  <c r="B600" i="8" s="1"/>
  <c r="F599" i="3"/>
  <c r="A599" i="8" s="1"/>
  <c r="E599" i="3"/>
  <c r="E599" i="8" s="1"/>
  <c r="D599" i="3"/>
  <c r="D599" i="8" s="1"/>
  <c r="C599" i="3"/>
  <c r="C599" i="8" s="1"/>
  <c r="B599" i="3"/>
  <c r="B599" i="8" s="1"/>
  <c r="F598" i="3"/>
  <c r="A598" i="8" s="1"/>
  <c r="E598" i="3"/>
  <c r="E598" i="8" s="1"/>
  <c r="D598" i="3"/>
  <c r="D598" i="8" s="1"/>
  <c r="C598" i="3"/>
  <c r="C598" i="8" s="1"/>
  <c r="B598" i="3"/>
  <c r="B598" i="8" s="1"/>
  <c r="F597" i="3"/>
  <c r="A597" i="8" s="1"/>
  <c r="E597" i="3"/>
  <c r="E597" i="8" s="1"/>
  <c r="D597" i="3"/>
  <c r="D597" i="8" s="1"/>
  <c r="C597" i="3"/>
  <c r="C597" i="8" s="1"/>
  <c r="B597" i="3"/>
  <c r="B597" i="8" s="1"/>
  <c r="F596" i="3"/>
  <c r="A596" i="8" s="1"/>
  <c r="E596" i="3"/>
  <c r="E596" i="8" s="1"/>
  <c r="D596" i="3"/>
  <c r="D596" i="8" s="1"/>
  <c r="C596" i="3"/>
  <c r="C596" i="8" s="1"/>
  <c r="B596" i="3"/>
  <c r="B596" i="8" s="1"/>
  <c r="F595" i="3"/>
  <c r="A595" i="8" s="1"/>
  <c r="E595" i="3"/>
  <c r="E595" i="8" s="1"/>
  <c r="D595" i="3"/>
  <c r="D595" i="8" s="1"/>
  <c r="C595" i="3"/>
  <c r="C595" i="8" s="1"/>
  <c r="B595" i="3"/>
  <c r="B595" i="8" s="1"/>
  <c r="F594" i="3"/>
  <c r="A594" i="8" s="1"/>
  <c r="E594" i="3"/>
  <c r="E594" i="8" s="1"/>
  <c r="D594" i="3"/>
  <c r="D594" i="8" s="1"/>
  <c r="C594" i="3"/>
  <c r="C594" i="8" s="1"/>
  <c r="B594" i="3"/>
  <c r="B594" i="8" s="1"/>
  <c r="F593" i="3"/>
  <c r="A593" i="8" s="1"/>
  <c r="E593" i="3"/>
  <c r="E593" i="8" s="1"/>
  <c r="D593" i="3"/>
  <c r="D593" i="8" s="1"/>
  <c r="C593" i="3"/>
  <c r="C593" i="8" s="1"/>
  <c r="B593" i="3"/>
  <c r="B593" i="8" s="1"/>
  <c r="F592" i="3"/>
  <c r="A592" i="8" s="1"/>
  <c r="E592" i="3"/>
  <c r="E592" i="8" s="1"/>
  <c r="D592" i="3"/>
  <c r="D592" i="8" s="1"/>
  <c r="C592" i="3"/>
  <c r="C592" i="8" s="1"/>
  <c r="B592" i="3"/>
  <c r="B592" i="8" s="1"/>
  <c r="F591" i="3"/>
  <c r="A591" i="8" s="1"/>
  <c r="E591" i="3"/>
  <c r="E591" i="8" s="1"/>
  <c r="D591" i="3"/>
  <c r="D591" i="8" s="1"/>
  <c r="C591" i="3"/>
  <c r="C591" i="8" s="1"/>
  <c r="B591" i="3"/>
  <c r="B591" i="8" s="1"/>
  <c r="F590" i="3"/>
  <c r="A590" i="8" s="1"/>
  <c r="E590" i="3"/>
  <c r="E590" i="8" s="1"/>
  <c r="D590" i="3"/>
  <c r="D590" i="8" s="1"/>
  <c r="C590" i="3"/>
  <c r="C590" i="8" s="1"/>
  <c r="B590" i="3"/>
  <c r="B590" i="8" s="1"/>
  <c r="F589" i="3"/>
  <c r="A589" i="8" s="1"/>
  <c r="E589" i="3"/>
  <c r="E589" i="8" s="1"/>
  <c r="D589" i="3"/>
  <c r="D589" i="8" s="1"/>
  <c r="C589" i="3"/>
  <c r="C589" i="8" s="1"/>
  <c r="B589" i="3"/>
  <c r="B589" i="8" s="1"/>
  <c r="F588" i="3"/>
  <c r="A588" i="8" s="1"/>
  <c r="E588" i="3"/>
  <c r="E588" i="8" s="1"/>
  <c r="D588" i="3"/>
  <c r="D588" i="8" s="1"/>
  <c r="C588" i="3"/>
  <c r="C588" i="8" s="1"/>
  <c r="B588" i="3"/>
  <c r="B588" i="8" s="1"/>
  <c r="F587" i="3"/>
  <c r="A587" i="8" s="1"/>
  <c r="E587" i="3"/>
  <c r="E587" i="8" s="1"/>
  <c r="D587" i="3"/>
  <c r="D587" i="8" s="1"/>
  <c r="C587" i="3"/>
  <c r="C587" i="8" s="1"/>
  <c r="B587" i="3"/>
  <c r="B587" i="8" s="1"/>
  <c r="F586" i="3"/>
  <c r="A586" i="8" s="1"/>
  <c r="E586" i="3"/>
  <c r="E586" i="8" s="1"/>
  <c r="D586" i="3"/>
  <c r="D586" i="8" s="1"/>
  <c r="C586" i="3"/>
  <c r="C586" i="8" s="1"/>
  <c r="B586" i="3"/>
  <c r="B586" i="8" s="1"/>
  <c r="F585" i="3"/>
  <c r="A585" i="8" s="1"/>
  <c r="E585" i="3"/>
  <c r="E585" i="8" s="1"/>
  <c r="D585" i="3"/>
  <c r="D585" i="8" s="1"/>
  <c r="C585" i="3"/>
  <c r="C585" i="8" s="1"/>
  <c r="B585" i="3"/>
  <c r="B585" i="8" s="1"/>
  <c r="F584" i="3"/>
  <c r="A584" i="8" s="1"/>
  <c r="E584" i="3"/>
  <c r="E584" i="8" s="1"/>
  <c r="D584" i="3"/>
  <c r="D584" i="8" s="1"/>
  <c r="C584" i="3"/>
  <c r="C584" i="8" s="1"/>
  <c r="B584" i="3"/>
  <c r="B584" i="8" s="1"/>
  <c r="F583" i="3"/>
  <c r="A583" i="8" s="1"/>
  <c r="E583" i="3"/>
  <c r="E583" i="8" s="1"/>
  <c r="D583" i="3"/>
  <c r="D583" i="8" s="1"/>
  <c r="C583" i="3"/>
  <c r="C583" i="8" s="1"/>
  <c r="B583" i="3"/>
  <c r="B583" i="8" s="1"/>
  <c r="F582" i="3"/>
  <c r="A582" i="8" s="1"/>
  <c r="E582" i="3"/>
  <c r="E582" i="8" s="1"/>
  <c r="D582" i="3"/>
  <c r="D582" i="8" s="1"/>
  <c r="C582" i="3"/>
  <c r="C582" i="8" s="1"/>
  <c r="B582" i="3"/>
  <c r="B582" i="8" s="1"/>
  <c r="F581" i="3"/>
  <c r="A581" i="8" s="1"/>
  <c r="E581" i="3"/>
  <c r="E581" i="8" s="1"/>
  <c r="D581" i="3"/>
  <c r="D581" i="8" s="1"/>
  <c r="C581" i="3"/>
  <c r="C581" i="8" s="1"/>
  <c r="B581" i="3"/>
  <c r="B581" i="8" s="1"/>
  <c r="F580" i="3"/>
  <c r="A580" i="8" s="1"/>
  <c r="E580" i="3"/>
  <c r="E580" i="8" s="1"/>
  <c r="D580" i="3"/>
  <c r="D580" i="8" s="1"/>
  <c r="C580" i="3"/>
  <c r="C580" i="8" s="1"/>
  <c r="B580" i="3"/>
  <c r="B580" i="8" s="1"/>
  <c r="F579" i="3"/>
  <c r="A579" i="8" s="1"/>
  <c r="E579" i="3"/>
  <c r="E579" i="8" s="1"/>
  <c r="D579" i="3"/>
  <c r="D579" i="8" s="1"/>
  <c r="C579" i="3"/>
  <c r="C579" i="8" s="1"/>
  <c r="B579" i="3"/>
  <c r="B579" i="8" s="1"/>
  <c r="F578" i="3"/>
  <c r="A578" i="8" s="1"/>
  <c r="E578" i="3"/>
  <c r="E578" i="8" s="1"/>
  <c r="D578" i="3"/>
  <c r="D578" i="8" s="1"/>
  <c r="C578" i="3"/>
  <c r="C578" i="8" s="1"/>
  <c r="B578" i="3"/>
  <c r="B578" i="8" s="1"/>
  <c r="F577" i="3"/>
  <c r="A577" i="8" s="1"/>
  <c r="E577" i="3"/>
  <c r="E577" i="8" s="1"/>
  <c r="D577" i="3"/>
  <c r="D577" i="8" s="1"/>
  <c r="C577" i="3"/>
  <c r="C577" i="8" s="1"/>
  <c r="B577" i="3"/>
  <c r="B577" i="8" s="1"/>
  <c r="F576" i="3"/>
  <c r="A576" i="8" s="1"/>
  <c r="E576" i="3"/>
  <c r="E576" i="8" s="1"/>
  <c r="D576" i="3"/>
  <c r="D576" i="8" s="1"/>
  <c r="C576" i="3"/>
  <c r="C576" i="8" s="1"/>
  <c r="B576" i="3"/>
  <c r="B576" i="8" s="1"/>
  <c r="F575" i="3"/>
  <c r="A575" i="8" s="1"/>
  <c r="E575" i="3"/>
  <c r="E575" i="8" s="1"/>
  <c r="D575" i="3"/>
  <c r="D575" i="8" s="1"/>
  <c r="C575" i="3"/>
  <c r="C575" i="8" s="1"/>
  <c r="B575" i="3"/>
  <c r="B575" i="8" s="1"/>
  <c r="F574" i="3"/>
  <c r="A574" i="8" s="1"/>
  <c r="E574" i="3"/>
  <c r="E574" i="8" s="1"/>
  <c r="D574" i="3"/>
  <c r="D574" i="8" s="1"/>
  <c r="C574" i="3"/>
  <c r="C574" i="8" s="1"/>
  <c r="B574" i="3"/>
  <c r="B574" i="8" s="1"/>
  <c r="F573" i="3"/>
  <c r="A573" i="8" s="1"/>
  <c r="E573" i="3"/>
  <c r="E573" i="8" s="1"/>
  <c r="D573" i="3"/>
  <c r="D573" i="8" s="1"/>
  <c r="C573" i="3"/>
  <c r="C573" i="8" s="1"/>
  <c r="B573" i="3"/>
  <c r="B573" i="8" s="1"/>
  <c r="F572" i="3"/>
  <c r="A572" i="8" s="1"/>
  <c r="E572" i="3"/>
  <c r="E572" i="8" s="1"/>
  <c r="D572" i="3"/>
  <c r="D572" i="8" s="1"/>
  <c r="C572" i="3"/>
  <c r="C572" i="8" s="1"/>
  <c r="B572" i="3"/>
  <c r="B572" i="8" s="1"/>
  <c r="F571" i="3"/>
  <c r="A571" i="8" s="1"/>
  <c r="E571" i="3"/>
  <c r="E571" i="8" s="1"/>
  <c r="D571" i="3"/>
  <c r="D571" i="8" s="1"/>
  <c r="C571" i="3"/>
  <c r="C571" i="8" s="1"/>
  <c r="B571" i="3"/>
  <c r="B571" i="8" s="1"/>
  <c r="F570" i="3"/>
  <c r="A570" i="8" s="1"/>
  <c r="E570" i="3"/>
  <c r="E570" i="8" s="1"/>
  <c r="D570" i="3"/>
  <c r="D570" i="8" s="1"/>
  <c r="C570" i="3"/>
  <c r="C570" i="8" s="1"/>
  <c r="B570" i="3"/>
  <c r="B570" i="8" s="1"/>
  <c r="F569" i="3"/>
  <c r="A569" i="8" s="1"/>
  <c r="E569" i="3"/>
  <c r="E569" i="8" s="1"/>
  <c r="D569" i="3"/>
  <c r="D569" i="8" s="1"/>
  <c r="C569" i="3"/>
  <c r="C569" i="8" s="1"/>
  <c r="B569" i="3"/>
  <c r="B569" i="8" s="1"/>
  <c r="F568" i="3"/>
  <c r="A568" i="8" s="1"/>
  <c r="E568" i="3"/>
  <c r="E568" i="8" s="1"/>
  <c r="D568" i="3"/>
  <c r="D568" i="8" s="1"/>
  <c r="C568" i="3"/>
  <c r="C568" i="8" s="1"/>
  <c r="B568" i="3"/>
  <c r="B568" i="8" s="1"/>
  <c r="F567" i="3"/>
  <c r="A567" i="8" s="1"/>
  <c r="E567" i="3"/>
  <c r="E567" i="8" s="1"/>
  <c r="D567" i="3"/>
  <c r="D567" i="8" s="1"/>
  <c r="C567" i="3"/>
  <c r="C567" i="8" s="1"/>
  <c r="B567" i="3"/>
  <c r="B567" i="8" s="1"/>
  <c r="F566" i="3"/>
  <c r="A566" i="8" s="1"/>
  <c r="E566" i="3"/>
  <c r="E566" i="8" s="1"/>
  <c r="D566" i="3"/>
  <c r="D566" i="8" s="1"/>
  <c r="C566" i="3"/>
  <c r="C566" i="8" s="1"/>
  <c r="B566" i="3"/>
  <c r="B566" i="8" s="1"/>
  <c r="F565" i="3"/>
  <c r="A565" i="8" s="1"/>
  <c r="E565" i="3"/>
  <c r="E565" i="8" s="1"/>
  <c r="D565" i="3"/>
  <c r="D565" i="8" s="1"/>
  <c r="C565" i="3"/>
  <c r="C565" i="8" s="1"/>
  <c r="B565" i="3"/>
  <c r="B565" i="8" s="1"/>
  <c r="F564" i="3"/>
  <c r="A564" i="8" s="1"/>
  <c r="E564" i="3"/>
  <c r="E564" i="8" s="1"/>
  <c r="D564" i="3"/>
  <c r="D564" i="8" s="1"/>
  <c r="C564" i="3"/>
  <c r="C564" i="8" s="1"/>
  <c r="B564" i="3"/>
  <c r="B564" i="8" s="1"/>
  <c r="F563" i="3"/>
  <c r="A563" i="8" s="1"/>
  <c r="E563" i="3"/>
  <c r="E563" i="8" s="1"/>
  <c r="D563" i="3"/>
  <c r="D563" i="8" s="1"/>
  <c r="C563" i="3"/>
  <c r="C563" i="8" s="1"/>
  <c r="B563" i="3"/>
  <c r="B563" i="8" s="1"/>
  <c r="F562" i="3"/>
  <c r="A562" i="8" s="1"/>
  <c r="E562" i="3"/>
  <c r="E562" i="8" s="1"/>
  <c r="D562" i="3"/>
  <c r="D562" i="8" s="1"/>
  <c r="C562" i="3"/>
  <c r="C562" i="8" s="1"/>
  <c r="B562" i="3"/>
  <c r="B562" i="8" s="1"/>
  <c r="F561" i="3"/>
  <c r="A561" i="8" s="1"/>
  <c r="E561" i="3"/>
  <c r="E561" i="8" s="1"/>
  <c r="D561" i="3"/>
  <c r="D561" i="8" s="1"/>
  <c r="C561" i="3"/>
  <c r="C561" i="8" s="1"/>
  <c r="B561" i="3"/>
  <c r="B561" i="8" s="1"/>
  <c r="F560" i="3"/>
  <c r="A560" i="8" s="1"/>
  <c r="E560" i="3"/>
  <c r="E560" i="8" s="1"/>
  <c r="D560" i="3"/>
  <c r="D560" i="8" s="1"/>
  <c r="C560" i="3"/>
  <c r="C560" i="8" s="1"/>
  <c r="B560" i="3"/>
  <c r="B560" i="8" s="1"/>
  <c r="F559" i="3"/>
  <c r="A559" i="8" s="1"/>
  <c r="E559" i="3"/>
  <c r="E559" i="8" s="1"/>
  <c r="D559" i="3"/>
  <c r="D559" i="8" s="1"/>
  <c r="C559" i="3"/>
  <c r="C559" i="8" s="1"/>
  <c r="B559" i="3"/>
  <c r="B559" i="8" s="1"/>
  <c r="F558" i="3"/>
  <c r="A558" i="8" s="1"/>
  <c r="E558" i="3"/>
  <c r="E558" i="8" s="1"/>
  <c r="D558" i="3"/>
  <c r="D558" i="8" s="1"/>
  <c r="C558" i="3"/>
  <c r="C558" i="8" s="1"/>
  <c r="B558" i="3"/>
  <c r="B558" i="8" s="1"/>
  <c r="F557" i="3"/>
  <c r="A557" i="8" s="1"/>
  <c r="E557" i="3"/>
  <c r="E557" i="8" s="1"/>
  <c r="D557" i="3"/>
  <c r="D557" i="8" s="1"/>
  <c r="C557" i="3"/>
  <c r="C557" i="8" s="1"/>
  <c r="B557" i="3"/>
  <c r="B557" i="8" s="1"/>
  <c r="F556" i="3"/>
  <c r="A556" i="8" s="1"/>
  <c r="E556" i="3"/>
  <c r="E556" i="8" s="1"/>
  <c r="D556" i="3"/>
  <c r="D556" i="8" s="1"/>
  <c r="C556" i="3"/>
  <c r="C556" i="8" s="1"/>
  <c r="B556" i="3"/>
  <c r="B556" i="8" s="1"/>
  <c r="F555" i="3"/>
  <c r="A555" i="8" s="1"/>
  <c r="E555" i="3"/>
  <c r="E555" i="8" s="1"/>
  <c r="D555" i="3"/>
  <c r="D555" i="8" s="1"/>
  <c r="C555" i="3"/>
  <c r="C555" i="8" s="1"/>
  <c r="B555" i="3"/>
  <c r="B555" i="8" s="1"/>
  <c r="F554" i="3"/>
  <c r="A554" i="8" s="1"/>
  <c r="E554" i="3"/>
  <c r="E554" i="8" s="1"/>
  <c r="D554" i="3"/>
  <c r="D554" i="8" s="1"/>
  <c r="C554" i="3"/>
  <c r="C554" i="8" s="1"/>
  <c r="B554" i="3"/>
  <c r="B554" i="8" s="1"/>
  <c r="F553" i="3"/>
  <c r="A553" i="8" s="1"/>
  <c r="E553" i="3"/>
  <c r="E553" i="8" s="1"/>
  <c r="D553" i="3"/>
  <c r="D553" i="8" s="1"/>
  <c r="C553" i="3"/>
  <c r="C553" i="8" s="1"/>
  <c r="B553" i="3"/>
  <c r="B553" i="8" s="1"/>
  <c r="F552" i="3"/>
  <c r="A552" i="8" s="1"/>
  <c r="E552" i="3"/>
  <c r="E552" i="8" s="1"/>
  <c r="D552" i="3"/>
  <c r="D552" i="8" s="1"/>
  <c r="C552" i="3"/>
  <c r="C552" i="8" s="1"/>
  <c r="B552" i="3"/>
  <c r="B552" i="8" s="1"/>
  <c r="F551" i="3"/>
  <c r="A551" i="8" s="1"/>
  <c r="E551" i="3"/>
  <c r="E551" i="8" s="1"/>
  <c r="D551" i="3"/>
  <c r="D551" i="8" s="1"/>
  <c r="C551" i="3"/>
  <c r="C551" i="8" s="1"/>
  <c r="B551" i="3"/>
  <c r="B551" i="8" s="1"/>
  <c r="F550" i="3"/>
  <c r="A550" i="8" s="1"/>
  <c r="E550" i="3"/>
  <c r="E550" i="8" s="1"/>
  <c r="D550" i="3"/>
  <c r="D550" i="8" s="1"/>
  <c r="C550" i="3"/>
  <c r="C550" i="8" s="1"/>
  <c r="B550" i="3"/>
  <c r="B550" i="8" s="1"/>
  <c r="F549" i="3"/>
  <c r="A549" i="8" s="1"/>
  <c r="E549" i="3"/>
  <c r="E549" i="8" s="1"/>
  <c r="D549" i="3"/>
  <c r="D549" i="8" s="1"/>
  <c r="C549" i="3"/>
  <c r="C549" i="8" s="1"/>
  <c r="B549" i="3"/>
  <c r="B549" i="8" s="1"/>
  <c r="F548" i="3"/>
  <c r="A548" i="8" s="1"/>
  <c r="E548" i="3"/>
  <c r="E548" i="8" s="1"/>
  <c r="D548" i="3"/>
  <c r="D548" i="8" s="1"/>
  <c r="C548" i="3"/>
  <c r="C548" i="8" s="1"/>
  <c r="B548" i="3"/>
  <c r="B548" i="8" s="1"/>
  <c r="F547" i="3"/>
  <c r="A547" i="8" s="1"/>
  <c r="E547" i="3"/>
  <c r="E547" i="8" s="1"/>
  <c r="D547" i="3"/>
  <c r="D547" i="8" s="1"/>
  <c r="C547" i="3"/>
  <c r="C547" i="8" s="1"/>
  <c r="B547" i="3"/>
  <c r="B547" i="8" s="1"/>
  <c r="F546" i="3"/>
  <c r="A546" i="8" s="1"/>
  <c r="E546" i="3"/>
  <c r="E546" i="8" s="1"/>
  <c r="D546" i="3"/>
  <c r="D546" i="8" s="1"/>
  <c r="C546" i="3"/>
  <c r="C546" i="8" s="1"/>
  <c r="B546" i="3"/>
  <c r="B546" i="8" s="1"/>
  <c r="F545" i="3"/>
  <c r="A545" i="8" s="1"/>
  <c r="E545" i="3"/>
  <c r="E545" i="8" s="1"/>
  <c r="D545" i="3"/>
  <c r="D545" i="8" s="1"/>
  <c r="C545" i="3"/>
  <c r="C545" i="8" s="1"/>
  <c r="B545" i="3"/>
  <c r="B545" i="8" s="1"/>
  <c r="F544" i="3"/>
  <c r="A544" i="8" s="1"/>
  <c r="E544" i="3"/>
  <c r="E544" i="8" s="1"/>
  <c r="D544" i="3"/>
  <c r="D544" i="8" s="1"/>
  <c r="C544" i="3"/>
  <c r="C544" i="8" s="1"/>
  <c r="B544" i="3"/>
  <c r="B544" i="8" s="1"/>
  <c r="F543" i="3"/>
  <c r="A543" i="8" s="1"/>
  <c r="E543" i="3"/>
  <c r="E543" i="8" s="1"/>
  <c r="D543" i="3"/>
  <c r="D543" i="8" s="1"/>
  <c r="C543" i="3"/>
  <c r="C543" i="8" s="1"/>
  <c r="B543" i="3"/>
  <c r="B543" i="8" s="1"/>
  <c r="F542" i="3"/>
  <c r="A542" i="8" s="1"/>
  <c r="E542" i="3"/>
  <c r="E542" i="8" s="1"/>
  <c r="D542" i="3"/>
  <c r="D542" i="8" s="1"/>
  <c r="C542" i="3"/>
  <c r="C542" i="8" s="1"/>
  <c r="B542" i="3"/>
  <c r="B542" i="8" s="1"/>
  <c r="F541" i="3"/>
  <c r="A541" i="8" s="1"/>
  <c r="E541" i="3"/>
  <c r="E541" i="8" s="1"/>
  <c r="D541" i="3"/>
  <c r="D541" i="8" s="1"/>
  <c r="C541" i="3"/>
  <c r="C541" i="8" s="1"/>
  <c r="B541" i="3"/>
  <c r="B541" i="8" s="1"/>
  <c r="F540" i="3"/>
  <c r="A540" i="8" s="1"/>
  <c r="E540" i="3"/>
  <c r="E540" i="8" s="1"/>
  <c r="D540" i="3"/>
  <c r="D540" i="8" s="1"/>
  <c r="C540" i="3"/>
  <c r="C540" i="8" s="1"/>
  <c r="B540" i="3"/>
  <c r="B540" i="8" s="1"/>
  <c r="F539" i="3"/>
  <c r="A539" i="8" s="1"/>
  <c r="E539" i="3"/>
  <c r="E539" i="8" s="1"/>
  <c r="D539" i="3"/>
  <c r="D539" i="8" s="1"/>
  <c r="C539" i="3"/>
  <c r="C539" i="8" s="1"/>
  <c r="B539" i="3"/>
  <c r="B539" i="8" s="1"/>
  <c r="F538" i="3"/>
  <c r="A538" i="8" s="1"/>
  <c r="E538" i="3"/>
  <c r="E538" i="8" s="1"/>
  <c r="D538" i="3"/>
  <c r="D538" i="8" s="1"/>
  <c r="C538" i="3"/>
  <c r="C538" i="8" s="1"/>
  <c r="B538" i="3"/>
  <c r="B538" i="8" s="1"/>
  <c r="F537" i="3"/>
  <c r="A537" i="8" s="1"/>
  <c r="E537" i="3"/>
  <c r="E537" i="8" s="1"/>
  <c r="D537" i="3"/>
  <c r="D537" i="8" s="1"/>
  <c r="C537" i="3"/>
  <c r="C537" i="8" s="1"/>
  <c r="B537" i="3"/>
  <c r="B537" i="8" s="1"/>
  <c r="F536" i="3"/>
  <c r="A536" i="8" s="1"/>
  <c r="E536" i="3"/>
  <c r="E536" i="8" s="1"/>
  <c r="D536" i="3"/>
  <c r="D536" i="8" s="1"/>
  <c r="C536" i="3"/>
  <c r="C536" i="8" s="1"/>
  <c r="B536" i="3"/>
  <c r="B536" i="8" s="1"/>
  <c r="F535" i="3"/>
  <c r="A535" i="8" s="1"/>
  <c r="E535" i="3"/>
  <c r="E535" i="8" s="1"/>
  <c r="D535" i="3"/>
  <c r="D535" i="8" s="1"/>
  <c r="C535" i="3"/>
  <c r="C535" i="8" s="1"/>
  <c r="B535" i="3"/>
  <c r="B535" i="8" s="1"/>
  <c r="F534" i="3"/>
  <c r="A534" i="8" s="1"/>
  <c r="E534" i="3"/>
  <c r="E534" i="8" s="1"/>
  <c r="D534" i="3"/>
  <c r="D534" i="8" s="1"/>
  <c r="C534" i="3"/>
  <c r="C534" i="8" s="1"/>
  <c r="B534" i="3"/>
  <c r="B534" i="8" s="1"/>
  <c r="F533" i="3"/>
  <c r="A533" i="8" s="1"/>
  <c r="E533" i="3"/>
  <c r="E533" i="8" s="1"/>
  <c r="D533" i="3"/>
  <c r="D533" i="8" s="1"/>
  <c r="C533" i="3"/>
  <c r="C533" i="8" s="1"/>
  <c r="B533" i="3"/>
  <c r="B533" i="8" s="1"/>
  <c r="F532" i="3"/>
  <c r="A532" i="8" s="1"/>
  <c r="E532" i="3"/>
  <c r="E532" i="8" s="1"/>
  <c r="D532" i="3"/>
  <c r="D532" i="8" s="1"/>
  <c r="C532" i="3"/>
  <c r="C532" i="8" s="1"/>
  <c r="B532" i="3"/>
  <c r="B532" i="8" s="1"/>
  <c r="F531" i="3"/>
  <c r="A531" i="8" s="1"/>
  <c r="E531" i="3"/>
  <c r="E531" i="8" s="1"/>
  <c r="D531" i="3"/>
  <c r="D531" i="8" s="1"/>
  <c r="C531" i="3"/>
  <c r="C531" i="8" s="1"/>
  <c r="B531" i="3"/>
  <c r="B531" i="8" s="1"/>
  <c r="F530" i="3"/>
  <c r="A530" i="8" s="1"/>
  <c r="E530" i="3"/>
  <c r="E530" i="8" s="1"/>
  <c r="D530" i="3"/>
  <c r="D530" i="8" s="1"/>
  <c r="C530" i="3"/>
  <c r="C530" i="8" s="1"/>
  <c r="B530" i="3"/>
  <c r="B530" i="8" s="1"/>
  <c r="F529" i="3"/>
  <c r="A529" i="8" s="1"/>
  <c r="E529" i="3"/>
  <c r="E529" i="8" s="1"/>
  <c r="D529" i="3"/>
  <c r="D529" i="8" s="1"/>
  <c r="C529" i="3"/>
  <c r="C529" i="8" s="1"/>
  <c r="B529" i="3"/>
  <c r="B529" i="8" s="1"/>
  <c r="F528" i="3"/>
  <c r="A528" i="8" s="1"/>
  <c r="E528" i="3"/>
  <c r="E528" i="8" s="1"/>
  <c r="D528" i="3"/>
  <c r="D528" i="8" s="1"/>
  <c r="C528" i="3"/>
  <c r="C528" i="8" s="1"/>
  <c r="B528" i="3"/>
  <c r="B528" i="8" s="1"/>
  <c r="F527" i="3"/>
  <c r="A527" i="8" s="1"/>
  <c r="E527" i="3"/>
  <c r="E527" i="8" s="1"/>
  <c r="D527" i="3"/>
  <c r="D527" i="8" s="1"/>
  <c r="C527" i="3"/>
  <c r="C527" i="8" s="1"/>
  <c r="B527" i="3"/>
  <c r="B527" i="8" s="1"/>
  <c r="F526" i="3"/>
  <c r="A526" i="8" s="1"/>
  <c r="E526" i="3"/>
  <c r="E526" i="8" s="1"/>
  <c r="D526" i="3"/>
  <c r="D526" i="8" s="1"/>
  <c r="C526" i="3"/>
  <c r="C526" i="8" s="1"/>
  <c r="B526" i="3"/>
  <c r="B526" i="8" s="1"/>
  <c r="F525" i="3"/>
  <c r="A525" i="8" s="1"/>
  <c r="E525" i="3"/>
  <c r="E525" i="8" s="1"/>
  <c r="D525" i="3"/>
  <c r="D525" i="8" s="1"/>
  <c r="C525" i="3"/>
  <c r="C525" i="8" s="1"/>
  <c r="B525" i="3"/>
  <c r="B525" i="8" s="1"/>
  <c r="F524" i="3"/>
  <c r="A524" i="8" s="1"/>
  <c r="E524" i="3"/>
  <c r="E524" i="8" s="1"/>
  <c r="D524" i="3"/>
  <c r="D524" i="8" s="1"/>
  <c r="C524" i="3"/>
  <c r="C524" i="8" s="1"/>
  <c r="B524" i="3"/>
  <c r="B524" i="8" s="1"/>
  <c r="F523" i="3"/>
  <c r="A523" i="8" s="1"/>
  <c r="E523" i="3"/>
  <c r="E523" i="8" s="1"/>
  <c r="D523" i="3"/>
  <c r="D523" i="8" s="1"/>
  <c r="C523" i="3"/>
  <c r="C523" i="8" s="1"/>
  <c r="B523" i="3"/>
  <c r="B523" i="8" s="1"/>
  <c r="F522" i="3"/>
  <c r="A522" i="8" s="1"/>
  <c r="E522" i="3"/>
  <c r="E522" i="8" s="1"/>
  <c r="D522" i="3"/>
  <c r="D522" i="8" s="1"/>
  <c r="C522" i="3"/>
  <c r="C522" i="8" s="1"/>
  <c r="B522" i="3"/>
  <c r="B522" i="8" s="1"/>
  <c r="F521" i="3"/>
  <c r="A521" i="8" s="1"/>
  <c r="E521" i="3"/>
  <c r="E521" i="8" s="1"/>
  <c r="D521" i="3"/>
  <c r="D521" i="8" s="1"/>
  <c r="C521" i="3"/>
  <c r="C521" i="8" s="1"/>
  <c r="B521" i="3"/>
  <c r="B521" i="8" s="1"/>
  <c r="F520" i="3"/>
  <c r="A520" i="8" s="1"/>
  <c r="E520" i="3"/>
  <c r="E520" i="8" s="1"/>
  <c r="D520" i="3"/>
  <c r="D520" i="8" s="1"/>
  <c r="C520" i="3"/>
  <c r="C520" i="8" s="1"/>
  <c r="B520" i="3"/>
  <c r="B520" i="8" s="1"/>
  <c r="F519" i="3"/>
  <c r="A519" i="8" s="1"/>
  <c r="E519" i="3"/>
  <c r="E519" i="8" s="1"/>
  <c r="D519" i="3"/>
  <c r="D519" i="8" s="1"/>
  <c r="C519" i="3"/>
  <c r="C519" i="8" s="1"/>
  <c r="B519" i="3"/>
  <c r="B519" i="8" s="1"/>
  <c r="F518" i="3"/>
  <c r="A518" i="8" s="1"/>
  <c r="E518" i="3"/>
  <c r="E518" i="8" s="1"/>
  <c r="D518" i="3"/>
  <c r="D518" i="8" s="1"/>
  <c r="C518" i="3"/>
  <c r="C518" i="8" s="1"/>
  <c r="B518" i="3"/>
  <c r="B518" i="8" s="1"/>
  <c r="F517" i="3"/>
  <c r="A517" i="8" s="1"/>
  <c r="E517" i="3"/>
  <c r="E517" i="8" s="1"/>
  <c r="D517" i="3"/>
  <c r="D517" i="8" s="1"/>
  <c r="C517" i="3"/>
  <c r="C517" i="8" s="1"/>
  <c r="B517" i="3"/>
  <c r="B517" i="8" s="1"/>
  <c r="F516" i="3"/>
  <c r="A516" i="8" s="1"/>
  <c r="E516" i="3"/>
  <c r="E516" i="8" s="1"/>
  <c r="D516" i="3"/>
  <c r="D516" i="8" s="1"/>
  <c r="C516" i="3"/>
  <c r="C516" i="8" s="1"/>
  <c r="B516" i="3"/>
  <c r="B516" i="8" s="1"/>
  <c r="F515" i="3"/>
  <c r="A515" i="8" s="1"/>
  <c r="E515" i="3"/>
  <c r="E515" i="8" s="1"/>
  <c r="D515" i="3"/>
  <c r="D515" i="8" s="1"/>
  <c r="C515" i="3"/>
  <c r="C515" i="8" s="1"/>
  <c r="B515" i="3"/>
  <c r="B515" i="8" s="1"/>
  <c r="F514" i="3"/>
  <c r="A514" i="8" s="1"/>
  <c r="E514" i="3"/>
  <c r="E514" i="8" s="1"/>
  <c r="D514" i="3"/>
  <c r="D514" i="8" s="1"/>
  <c r="C514" i="3"/>
  <c r="C514" i="8" s="1"/>
  <c r="B514" i="3"/>
  <c r="B514" i="8" s="1"/>
  <c r="F513" i="3"/>
  <c r="A513" i="8" s="1"/>
  <c r="E513" i="3"/>
  <c r="E513" i="8" s="1"/>
  <c r="D513" i="3"/>
  <c r="D513" i="8" s="1"/>
  <c r="C513" i="3"/>
  <c r="C513" i="8" s="1"/>
  <c r="B513" i="3"/>
  <c r="B513" i="8" s="1"/>
  <c r="F512" i="3"/>
  <c r="A512" i="8" s="1"/>
  <c r="E512" i="3"/>
  <c r="E512" i="8" s="1"/>
  <c r="D512" i="3"/>
  <c r="D512" i="8" s="1"/>
  <c r="C512" i="3"/>
  <c r="C512" i="8" s="1"/>
  <c r="B512" i="3"/>
  <c r="B512" i="8" s="1"/>
  <c r="F511" i="3"/>
  <c r="A511" i="8" s="1"/>
  <c r="E511" i="3"/>
  <c r="E511" i="8" s="1"/>
  <c r="D511" i="3"/>
  <c r="D511" i="8" s="1"/>
  <c r="C511" i="3"/>
  <c r="C511" i="8" s="1"/>
  <c r="B511" i="3"/>
  <c r="B511" i="8" s="1"/>
  <c r="F510" i="3"/>
  <c r="A510" i="8" s="1"/>
  <c r="E510" i="3"/>
  <c r="E510" i="8" s="1"/>
  <c r="D510" i="3"/>
  <c r="D510" i="8" s="1"/>
  <c r="C510" i="3"/>
  <c r="C510" i="8" s="1"/>
  <c r="B510" i="3"/>
  <c r="B510" i="8" s="1"/>
  <c r="F509" i="3"/>
  <c r="A509" i="8" s="1"/>
  <c r="E509" i="3"/>
  <c r="E509" i="8" s="1"/>
  <c r="D509" i="3"/>
  <c r="D509" i="8" s="1"/>
  <c r="C509" i="3"/>
  <c r="C509" i="8" s="1"/>
  <c r="B509" i="3"/>
  <c r="B509" i="8" s="1"/>
  <c r="F508" i="3"/>
  <c r="A508" i="8" s="1"/>
  <c r="E508" i="3"/>
  <c r="E508" i="8" s="1"/>
  <c r="D508" i="3"/>
  <c r="D508" i="8" s="1"/>
  <c r="C508" i="3"/>
  <c r="C508" i="8" s="1"/>
  <c r="B508" i="3"/>
  <c r="B508" i="8" s="1"/>
  <c r="F507" i="3"/>
  <c r="A507" i="8" s="1"/>
  <c r="E507" i="3"/>
  <c r="E507" i="8" s="1"/>
  <c r="D507" i="3"/>
  <c r="D507" i="8" s="1"/>
  <c r="C507" i="3"/>
  <c r="C507" i="8" s="1"/>
  <c r="B507" i="3"/>
  <c r="B507" i="8" s="1"/>
  <c r="F506" i="3"/>
  <c r="A506" i="8" s="1"/>
  <c r="E506" i="3"/>
  <c r="E506" i="8" s="1"/>
  <c r="D506" i="3"/>
  <c r="D506" i="8" s="1"/>
  <c r="C506" i="3"/>
  <c r="C506" i="8" s="1"/>
  <c r="B506" i="3"/>
  <c r="B506" i="8" s="1"/>
  <c r="F505" i="3"/>
  <c r="A505" i="8" s="1"/>
  <c r="E505" i="3"/>
  <c r="E505" i="8" s="1"/>
  <c r="D505" i="3"/>
  <c r="D505" i="8" s="1"/>
  <c r="C505" i="3"/>
  <c r="C505" i="8" s="1"/>
  <c r="B505" i="3"/>
  <c r="B505" i="8" s="1"/>
  <c r="F504" i="3"/>
  <c r="A504" i="8" s="1"/>
  <c r="E504" i="3"/>
  <c r="E504" i="8" s="1"/>
  <c r="D504" i="3"/>
  <c r="D504" i="8" s="1"/>
  <c r="C504" i="3"/>
  <c r="C504" i="8" s="1"/>
  <c r="B504" i="3"/>
  <c r="B504" i="8" s="1"/>
  <c r="F503" i="3"/>
  <c r="A503" i="8" s="1"/>
  <c r="E503" i="3"/>
  <c r="E503" i="8" s="1"/>
  <c r="D503" i="3"/>
  <c r="D503" i="8" s="1"/>
  <c r="C503" i="3"/>
  <c r="C503" i="8" s="1"/>
  <c r="B503" i="3"/>
  <c r="B503" i="8" s="1"/>
  <c r="F502" i="3"/>
  <c r="A502" i="8" s="1"/>
  <c r="E502" i="3"/>
  <c r="E502" i="8" s="1"/>
  <c r="D502" i="3"/>
  <c r="D502" i="8" s="1"/>
  <c r="C502" i="3"/>
  <c r="C502" i="8" s="1"/>
  <c r="B502" i="3"/>
  <c r="B502" i="8" s="1"/>
  <c r="F501" i="3"/>
  <c r="A501" i="8" s="1"/>
  <c r="E501" i="3"/>
  <c r="E501" i="8" s="1"/>
  <c r="D501" i="3"/>
  <c r="D501" i="8" s="1"/>
  <c r="C501" i="3"/>
  <c r="C501" i="8" s="1"/>
  <c r="B501" i="3"/>
  <c r="B501" i="8" s="1"/>
  <c r="F500" i="3"/>
  <c r="A500" i="8" s="1"/>
  <c r="E500" i="3"/>
  <c r="E500" i="8" s="1"/>
  <c r="D500" i="3"/>
  <c r="D500" i="8" s="1"/>
  <c r="C500" i="3"/>
  <c r="C500" i="8" s="1"/>
  <c r="B500" i="3"/>
  <c r="B500" i="8" s="1"/>
  <c r="F499" i="3"/>
  <c r="A499" i="8" s="1"/>
  <c r="E499" i="3"/>
  <c r="E499" i="8" s="1"/>
  <c r="D499" i="3"/>
  <c r="D499" i="8" s="1"/>
  <c r="C499" i="3"/>
  <c r="C499" i="8" s="1"/>
  <c r="B499" i="3"/>
  <c r="B499" i="8" s="1"/>
  <c r="F498" i="3"/>
  <c r="A498" i="8" s="1"/>
  <c r="E498" i="3"/>
  <c r="E498" i="8" s="1"/>
  <c r="D498" i="3"/>
  <c r="D498" i="8" s="1"/>
  <c r="C498" i="3"/>
  <c r="C498" i="8" s="1"/>
  <c r="B498" i="3"/>
  <c r="B498" i="8" s="1"/>
  <c r="F497" i="3"/>
  <c r="A497" i="8" s="1"/>
  <c r="E497" i="3"/>
  <c r="E497" i="8" s="1"/>
  <c r="D497" i="3"/>
  <c r="D497" i="8" s="1"/>
  <c r="C497" i="3"/>
  <c r="C497" i="8" s="1"/>
  <c r="B497" i="3"/>
  <c r="B497" i="8" s="1"/>
  <c r="F496" i="3"/>
  <c r="A496" i="8" s="1"/>
  <c r="E496" i="3"/>
  <c r="E496" i="8" s="1"/>
  <c r="D496" i="3"/>
  <c r="D496" i="8" s="1"/>
  <c r="C496" i="3"/>
  <c r="C496" i="8" s="1"/>
  <c r="B496" i="3"/>
  <c r="B496" i="8" s="1"/>
  <c r="F495" i="3"/>
  <c r="A495" i="8" s="1"/>
  <c r="E495" i="3"/>
  <c r="E495" i="8" s="1"/>
  <c r="D495" i="3"/>
  <c r="D495" i="8" s="1"/>
  <c r="C495" i="3"/>
  <c r="C495" i="8" s="1"/>
  <c r="B495" i="3"/>
  <c r="B495" i="8" s="1"/>
  <c r="F494" i="3"/>
  <c r="A494" i="8" s="1"/>
  <c r="E494" i="3"/>
  <c r="E494" i="8" s="1"/>
  <c r="D494" i="3"/>
  <c r="D494" i="8" s="1"/>
  <c r="C494" i="3"/>
  <c r="C494" i="8" s="1"/>
  <c r="B494" i="3"/>
  <c r="B494" i="8" s="1"/>
  <c r="F493" i="3"/>
  <c r="A493" i="8" s="1"/>
  <c r="E493" i="3"/>
  <c r="E493" i="8" s="1"/>
  <c r="D493" i="3"/>
  <c r="D493" i="8" s="1"/>
  <c r="C493" i="3"/>
  <c r="C493" i="8" s="1"/>
  <c r="B493" i="3"/>
  <c r="B493" i="8" s="1"/>
  <c r="F492" i="3"/>
  <c r="A492" i="8" s="1"/>
  <c r="E492" i="3"/>
  <c r="E492" i="8" s="1"/>
  <c r="D492" i="3"/>
  <c r="D492" i="8" s="1"/>
  <c r="C492" i="3"/>
  <c r="C492" i="8" s="1"/>
  <c r="B492" i="3"/>
  <c r="B492" i="8" s="1"/>
  <c r="F491" i="3"/>
  <c r="A491" i="8" s="1"/>
  <c r="E491" i="3"/>
  <c r="E491" i="8" s="1"/>
  <c r="D491" i="3"/>
  <c r="D491" i="8" s="1"/>
  <c r="C491" i="3"/>
  <c r="C491" i="8" s="1"/>
  <c r="B491" i="3"/>
  <c r="B491" i="8" s="1"/>
  <c r="F490" i="3"/>
  <c r="A490" i="8" s="1"/>
  <c r="E490" i="3"/>
  <c r="E490" i="8" s="1"/>
  <c r="D490" i="3"/>
  <c r="D490" i="8" s="1"/>
  <c r="C490" i="3"/>
  <c r="C490" i="8" s="1"/>
  <c r="B490" i="3"/>
  <c r="B490" i="8" s="1"/>
  <c r="F489" i="3"/>
  <c r="A489" i="8" s="1"/>
  <c r="E489" i="3"/>
  <c r="E489" i="8" s="1"/>
  <c r="D489" i="3"/>
  <c r="D489" i="8" s="1"/>
  <c r="C489" i="3"/>
  <c r="C489" i="8" s="1"/>
  <c r="B489" i="3"/>
  <c r="B489" i="8" s="1"/>
  <c r="F488" i="3"/>
  <c r="A488" i="8" s="1"/>
  <c r="E488" i="3"/>
  <c r="E488" i="8" s="1"/>
  <c r="D488" i="3"/>
  <c r="D488" i="8" s="1"/>
  <c r="C488" i="3"/>
  <c r="C488" i="8" s="1"/>
  <c r="B488" i="3"/>
  <c r="B488" i="8" s="1"/>
  <c r="F487" i="3"/>
  <c r="A487" i="8" s="1"/>
  <c r="E487" i="3"/>
  <c r="E487" i="8" s="1"/>
  <c r="D487" i="3"/>
  <c r="D487" i="8" s="1"/>
  <c r="C487" i="3"/>
  <c r="C487" i="8" s="1"/>
  <c r="B487" i="3"/>
  <c r="B487" i="8" s="1"/>
  <c r="F486" i="3"/>
  <c r="A486" i="8" s="1"/>
  <c r="E486" i="3"/>
  <c r="E486" i="8" s="1"/>
  <c r="D486" i="3"/>
  <c r="D486" i="8" s="1"/>
  <c r="C486" i="3"/>
  <c r="C486" i="8" s="1"/>
  <c r="B486" i="3"/>
  <c r="B486" i="8" s="1"/>
  <c r="F485" i="3"/>
  <c r="A485" i="8" s="1"/>
  <c r="E485" i="3"/>
  <c r="E485" i="8" s="1"/>
  <c r="D485" i="3"/>
  <c r="D485" i="8" s="1"/>
  <c r="C485" i="3"/>
  <c r="C485" i="8" s="1"/>
  <c r="B485" i="3"/>
  <c r="B485" i="8" s="1"/>
  <c r="F484" i="3"/>
  <c r="A484" i="8" s="1"/>
  <c r="E484" i="3"/>
  <c r="E484" i="8" s="1"/>
  <c r="D484" i="3"/>
  <c r="D484" i="8" s="1"/>
  <c r="C484" i="3"/>
  <c r="C484" i="8" s="1"/>
  <c r="B484" i="3"/>
  <c r="B484" i="8" s="1"/>
  <c r="F483" i="3"/>
  <c r="A483" i="8" s="1"/>
  <c r="E483" i="3"/>
  <c r="E483" i="8" s="1"/>
  <c r="D483" i="3"/>
  <c r="D483" i="8" s="1"/>
  <c r="C483" i="3"/>
  <c r="C483" i="8" s="1"/>
  <c r="B483" i="3"/>
  <c r="B483" i="8" s="1"/>
  <c r="F482" i="3"/>
  <c r="A482" i="8" s="1"/>
  <c r="E482" i="3"/>
  <c r="E482" i="8" s="1"/>
  <c r="D482" i="3"/>
  <c r="D482" i="8" s="1"/>
  <c r="C482" i="3"/>
  <c r="C482" i="8" s="1"/>
  <c r="B482" i="3"/>
  <c r="B482" i="8" s="1"/>
  <c r="F481" i="3"/>
  <c r="A481" i="8" s="1"/>
  <c r="E481" i="3"/>
  <c r="E481" i="8" s="1"/>
  <c r="D481" i="3"/>
  <c r="D481" i="8" s="1"/>
  <c r="C481" i="3"/>
  <c r="C481" i="8" s="1"/>
  <c r="B481" i="3"/>
  <c r="B481" i="8" s="1"/>
  <c r="F480" i="3"/>
  <c r="A480" i="8" s="1"/>
  <c r="E480" i="3"/>
  <c r="E480" i="8" s="1"/>
  <c r="D480" i="3"/>
  <c r="D480" i="8" s="1"/>
  <c r="C480" i="3"/>
  <c r="C480" i="8" s="1"/>
  <c r="B480" i="3"/>
  <c r="B480" i="8" s="1"/>
  <c r="F479" i="3"/>
  <c r="A479" i="8" s="1"/>
  <c r="E479" i="3"/>
  <c r="E479" i="8" s="1"/>
  <c r="D479" i="3"/>
  <c r="D479" i="8" s="1"/>
  <c r="C479" i="3"/>
  <c r="C479" i="8" s="1"/>
  <c r="B479" i="3"/>
  <c r="B479" i="8" s="1"/>
  <c r="F478" i="3"/>
  <c r="A478" i="8" s="1"/>
  <c r="E478" i="3"/>
  <c r="E478" i="8" s="1"/>
  <c r="D478" i="3"/>
  <c r="D478" i="8" s="1"/>
  <c r="C478" i="3"/>
  <c r="C478" i="8" s="1"/>
  <c r="B478" i="3"/>
  <c r="B478" i="8" s="1"/>
  <c r="F477" i="3"/>
  <c r="A477" i="8" s="1"/>
  <c r="E477" i="3"/>
  <c r="E477" i="8" s="1"/>
  <c r="D477" i="3"/>
  <c r="D477" i="8" s="1"/>
  <c r="C477" i="3"/>
  <c r="C477" i="8" s="1"/>
  <c r="B477" i="3"/>
  <c r="B477" i="8" s="1"/>
  <c r="F476" i="3"/>
  <c r="A476" i="8" s="1"/>
  <c r="E476" i="3"/>
  <c r="E476" i="8" s="1"/>
  <c r="D476" i="3"/>
  <c r="D476" i="8" s="1"/>
  <c r="C476" i="3"/>
  <c r="C476" i="8" s="1"/>
  <c r="B476" i="3"/>
  <c r="B476" i="8" s="1"/>
  <c r="F475" i="3"/>
  <c r="A475" i="8" s="1"/>
  <c r="E475" i="3"/>
  <c r="E475" i="8" s="1"/>
  <c r="D475" i="3"/>
  <c r="D475" i="8" s="1"/>
  <c r="C475" i="3"/>
  <c r="C475" i="8" s="1"/>
  <c r="B475" i="3"/>
  <c r="B475" i="8" s="1"/>
  <c r="F474" i="3"/>
  <c r="A474" i="8" s="1"/>
  <c r="E474" i="3"/>
  <c r="E474" i="8" s="1"/>
  <c r="D474" i="3"/>
  <c r="D474" i="8" s="1"/>
  <c r="C474" i="3"/>
  <c r="C474" i="8" s="1"/>
  <c r="B474" i="3"/>
  <c r="B474" i="8" s="1"/>
  <c r="F473" i="3"/>
  <c r="A473" i="8" s="1"/>
  <c r="E473" i="3"/>
  <c r="E473" i="8" s="1"/>
  <c r="D473" i="3"/>
  <c r="D473" i="8" s="1"/>
  <c r="C473" i="3"/>
  <c r="C473" i="8" s="1"/>
  <c r="B473" i="3"/>
  <c r="B473" i="8" s="1"/>
  <c r="F472" i="3"/>
  <c r="A472" i="8" s="1"/>
  <c r="E472" i="3"/>
  <c r="E472" i="8" s="1"/>
  <c r="D472" i="3"/>
  <c r="D472" i="8" s="1"/>
  <c r="C472" i="3"/>
  <c r="C472" i="8" s="1"/>
  <c r="B472" i="3"/>
  <c r="B472" i="8" s="1"/>
  <c r="F471" i="3"/>
  <c r="A471" i="8" s="1"/>
  <c r="E471" i="3"/>
  <c r="E471" i="8" s="1"/>
  <c r="D471" i="3"/>
  <c r="D471" i="8" s="1"/>
  <c r="C471" i="3"/>
  <c r="C471" i="8" s="1"/>
  <c r="B471" i="3"/>
  <c r="B471" i="8" s="1"/>
  <c r="F470" i="3"/>
  <c r="A470" i="8" s="1"/>
  <c r="E470" i="3"/>
  <c r="E470" i="8" s="1"/>
  <c r="D470" i="3"/>
  <c r="D470" i="8" s="1"/>
  <c r="C470" i="3"/>
  <c r="C470" i="8" s="1"/>
  <c r="B470" i="3"/>
  <c r="B470" i="8" s="1"/>
  <c r="F469" i="3"/>
  <c r="A469" i="8" s="1"/>
  <c r="E469" i="3"/>
  <c r="E469" i="8" s="1"/>
  <c r="D469" i="3"/>
  <c r="D469" i="8" s="1"/>
  <c r="C469" i="3"/>
  <c r="C469" i="8" s="1"/>
  <c r="B469" i="3"/>
  <c r="B469" i="8" s="1"/>
  <c r="F468" i="3"/>
  <c r="A468" i="8" s="1"/>
  <c r="E468" i="3"/>
  <c r="E468" i="8" s="1"/>
  <c r="D468" i="3"/>
  <c r="D468" i="8" s="1"/>
  <c r="C468" i="3"/>
  <c r="C468" i="8" s="1"/>
  <c r="B468" i="3"/>
  <c r="B468" i="8" s="1"/>
  <c r="F467" i="3"/>
  <c r="A467" i="8" s="1"/>
  <c r="E467" i="3"/>
  <c r="E467" i="8" s="1"/>
  <c r="D467" i="3"/>
  <c r="D467" i="8" s="1"/>
  <c r="C467" i="3"/>
  <c r="C467" i="8" s="1"/>
  <c r="B467" i="3"/>
  <c r="B467" i="8" s="1"/>
  <c r="F466" i="3"/>
  <c r="A466" i="8" s="1"/>
  <c r="E466" i="3"/>
  <c r="E466" i="8" s="1"/>
  <c r="D466" i="3"/>
  <c r="D466" i="8" s="1"/>
  <c r="C466" i="3"/>
  <c r="C466" i="8" s="1"/>
  <c r="B466" i="3"/>
  <c r="B466" i="8" s="1"/>
  <c r="F465" i="3"/>
  <c r="A465" i="8" s="1"/>
  <c r="E465" i="3"/>
  <c r="E465" i="8" s="1"/>
  <c r="D465" i="3"/>
  <c r="D465" i="8" s="1"/>
  <c r="C465" i="3"/>
  <c r="C465" i="8" s="1"/>
  <c r="B465" i="3"/>
  <c r="B465" i="8" s="1"/>
  <c r="F464" i="3"/>
  <c r="A464" i="8" s="1"/>
  <c r="E464" i="3"/>
  <c r="E464" i="8" s="1"/>
  <c r="D464" i="3"/>
  <c r="D464" i="8" s="1"/>
  <c r="C464" i="3"/>
  <c r="C464" i="8" s="1"/>
  <c r="B464" i="3"/>
  <c r="B464" i="8" s="1"/>
  <c r="F463" i="3"/>
  <c r="A463" i="8" s="1"/>
  <c r="E463" i="3"/>
  <c r="E463" i="8" s="1"/>
  <c r="D463" i="3"/>
  <c r="D463" i="8" s="1"/>
  <c r="C463" i="3"/>
  <c r="C463" i="8" s="1"/>
  <c r="B463" i="3"/>
  <c r="B463" i="8" s="1"/>
  <c r="F462" i="3"/>
  <c r="A462" i="8" s="1"/>
  <c r="E462" i="3"/>
  <c r="E462" i="8" s="1"/>
  <c r="D462" i="3"/>
  <c r="D462" i="8" s="1"/>
  <c r="C462" i="3"/>
  <c r="C462" i="8" s="1"/>
  <c r="B462" i="3"/>
  <c r="B462" i="8" s="1"/>
  <c r="F461" i="3"/>
  <c r="A461" i="8" s="1"/>
  <c r="E461" i="3"/>
  <c r="E461" i="8" s="1"/>
  <c r="D461" i="3"/>
  <c r="D461" i="8" s="1"/>
  <c r="C461" i="3"/>
  <c r="C461" i="8" s="1"/>
  <c r="B461" i="3"/>
  <c r="B461" i="8" s="1"/>
  <c r="F460" i="3"/>
  <c r="A460" i="8" s="1"/>
  <c r="E460" i="3"/>
  <c r="E460" i="8" s="1"/>
  <c r="D460" i="3"/>
  <c r="D460" i="8" s="1"/>
  <c r="C460" i="3"/>
  <c r="C460" i="8" s="1"/>
  <c r="B460" i="3"/>
  <c r="B460" i="8" s="1"/>
  <c r="F459" i="3"/>
  <c r="A459" i="8" s="1"/>
  <c r="E459" i="3"/>
  <c r="E459" i="8" s="1"/>
  <c r="D459" i="3"/>
  <c r="D459" i="8" s="1"/>
  <c r="C459" i="3"/>
  <c r="C459" i="8" s="1"/>
  <c r="B459" i="3"/>
  <c r="B459" i="8" s="1"/>
  <c r="F458" i="3"/>
  <c r="A458" i="8" s="1"/>
  <c r="E458" i="3"/>
  <c r="E458" i="8" s="1"/>
  <c r="D458" i="3"/>
  <c r="D458" i="8" s="1"/>
  <c r="C458" i="3"/>
  <c r="C458" i="8" s="1"/>
  <c r="B458" i="3"/>
  <c r="B458" i="8" s="1"/>
  <c r="F457" i="3"/>
  <c r="A457" i="8" s="1"/>
  <c r="E457" i="3"/>
  <c r="E457" i="8" s="1"/>
  <c r="D457" i="3"/>
  <c r="D457" i="8" s="1"/>
  <c r="C457" i="3"/>
  <c r="C457" i="8" s="1"/>
  <c r="B457" i="3"/>
  <c r="B457" i="8" s="1"/>
  <c r="F456" i="3"/>
  <c r="A456" i="8" s="1"/>
  <c r="E456" i="3"/>
  <c r="E456" i="8" s="1"/>
  <c r="D456" i="3"/>
  <c r="D456" i="8" s="1"/>
  <c r="C456" i="3"/>
  <c r="C456" i="8" s="1"/>
  <c r="B456" i="3"/>
  <c r="B456" i="8" s="1"/>
  <c r="F455" i="3"/>
  <c r="A455" i="8" s="1"/>
  <c r="E455" i="3"/>
  <c r="E455" i="8" s="1"/>
  <c r="D455" i="3"/>
  <c r="D455" i="8" s="1"/>
  <c r="C455" i="3"/>
  <c r="C455" i="8" s="1"/>
  <c r="B455" i="3"/>
  <c r="B455" i="8" s="1"/>
  <c r="F454" i="3"/>
  <c r="A454" i="8" s="1"/>
  <c r="E454" i="3"/>
  <c r="E454" i="8" s="1"/>
  <c r="D454" i="3"/>
  <c r="D454" i="8" s="1"/>
  <c r="C454" i="3"/>
  <c r="C454" i="8" s="1"/>
  <c r="B454" i="3"/>
  <c r="B454" i="8" s="1"/>
  <c r="F453" i="3"/>
  <c r="A453" i="8" s="1"/>
  <c r="E453" i="3"/>
  <c r="E453" i="8" s="1"/>
  <c r="D453" i="3"/>
  <c r="D453" i="8" s="1"/>
  <c r="C453" i="3"/>
  <c r="C453" i="8" s="1"/>
  <c r="B453" i="3"/>
  <c r="B453" i="8" s="1"/>
  <c r="F452" i="3"/>
  <c r="A452" i="8" s="1"/>
  <c r="E452" i="3"/>
  <c r="E452" i="8" s="1"/>
  <c r="D452" i="3"/>
  <c r="D452" i="8" s="1"/>
  <c r="C452" i="3"/>
  <c r="C452" i="8" s="1"/>
  <c r="B452" i="3"/>
  <c r="B452" i="8" s="1"/>
  <c r="F451" i="3"/>
  <c r="A451" i="8" s="1"/>
  <c r="E451" i="3"/>
  <c r="E451" i="8" s="1"/>
  <c r="D451" i="3"/>
  <c r="D451" i="8" s="1"/>
  <c r="C451" i="3"/>
  <c r="C451" i="8" s="1"/>
  <c r="B451" i="3"/>
  <c r="B451" i="8" s="1"/>
  <c r="F450" i="3"/>
  <c r="A450" i="8" s="1"/>
  <c r="E450" i="3"/>
  <c r="E450" i="8" s="1"/>
  <c r="D450" i="3"/>
  <c r="D450" i="8" s="1"/>
  <c r="C450" i="3"/>
  <c r="C450" i="8" s="1"/>
  <c r="B450" i="3"/>
  <c r="B450" i="8" s="1"/>
  <c r="F449" i="3"/>
  <c r="A449" i="8" s="1"/>
  <c r="E449" i="3"/>
  <c r="E449" i="8" s="1"/>
  <c r="D449" i="3"/>
  <c r="D449" i="8" s="1"/>
  <c r="C449" i="3"/>
  <c r="C449" i="8" s="1"/>
  <c r="B449" i="3"/>
  <c r="B449" i="8" s="1"/>
  <c r="F448" i="3"/>
  <c r="A448" i="8" s="1"/>
  <c r="E448" i="3"/>
  <c r="E448" i="8" s="1"/>
  <c r="D448" i="3"/>
  <c r="D448" i="8" s="1"/>
  <c r="C448" i="3"/>
  <c r="C448" i="8" s="1"/>
  <c r="B448" i="3"/>
  <c r="B448" i="8" s="1"/>
  <c r="F447" i="3"/>
  <c r="A447" i="8" s="1"/>
  <c r="E447" i="3"/>
  <c r="E447" i="8" s="1"/>
  <c r="D447" i="3"/>
  <c r="D447" i="8" s="1"/>
  <c r="C447" i="3"/>
  <c r="C447" i="8" s="1"/>
  <c r="B447" i="3"/>
  <c r="B447" i="8" s="1"/>
  <c r="F446" i="3"/>
  <c r="A446" i="8" s="1"/>
  <c r="E446" i="3"/>
  <c r="E446" i="8" s="1"/>
  <c r="D446" i="3"/>
  <c r="D446" i="8" s="1"/>
  <c r="C446" i="3"/>
  <c r="C446" i="8" s="1"/>
  <c r="B446" i="3"/>
  <c r="B446" i="8" s="1"/>
  <c r="F445" i="3"/>
  <c r="A445" i="8" s="1"/>
  <c r="E445" i="3"/>
  <c r="E445" i="8" s="1"/>
  <c r="D445" i="3"/>
  <c r="D445" i="8" s="1"/>
  <c r="C445" i="3"/>
  <c r="C445" i="8" s="1"/>
  <c r="B445" i="3"/>
  <c r="B445" i="8" s="1"/>
  <c r="F444" i="3"/>
  <c r="A444" i="8" s="1"/>
  <c r="E444" i="3"/>
  <c r="E444" i="8" s="1"/>
  <c r="D444" i="3"/>
  <c r="D444" i="8" s="1"/>
  <c r="C444" i="3"/>
  <c r="C444" i="8" s="1"/>
  <c r="B444" i="3"/>
  <c r="B444" i="8" s="1"/>
  <c r="F443" i="3"/>
  <c r="A443" i="8" s="1"/>
  <c r="E443" i="3"/>
  <c r="E443" i="8" s="1"/>
  <c r="D443" i="3"/>
  <c r="D443" i="8" s="1"/>
  <c r="C443" i="3"/>
  <c r="C443" i="8" s="1"/>
  <c r="B443" i="3"/>
  <c r="B443" i="8" s="1"/>
  <c r="F442" i="3"/>
  <c r="A442" i="8" s="1"/>
  <c r="E442" i="3"/>
  <c r="E442" i="8" s="1"/>
  <c r="D442" i="3"/>
  <c r="D442" i="8" s="1"/>
  <c r="C442" i="3"/>
  <c r="C442" i="8" s="1"/>
  <c r="B442" i="3"/>
  <c r="B442" i="8" s="1"/>
  <c r="F441" i="3"/>
  <c r="A441" i="8" s="1"/>
  <c r="E441" i="3"/>
  <c r="E441" i="8" s="1"/>
  <c r="D441" i="3"/>
  <c r="D441" i="8" s="1"/>
  <c r="C441" i="3"/>
  <c r="C441" i="8" s="1"/>
  <c r="B441" i="3"/>
  <c r="B441" i="8" s="1"/>
  <c r="F440" i="3"/>
  <c r="A440" i="8" s="1"/>
  <c r="E440" i="3"/>
  <c r="E440" i="8" s="1"/>
  <c r="D440" i="3"/>
  <c r="D440" i="8" s="1"/>
  <c r="C440" i="3"/>
  <c r="C440" i="8" s="1"/>
  <c r="B440" i="3"/>
  <c r="B440" i="8" s="1"/>
  <c r="F439" i="3"/>
  <c r="A439" i="8" s="1"/>
  <c r="E439" i="3"/>
  <c r="E439" i="8" s="1"/>
  <c r="D439" i="3"/>
  <c r="D439" i="8" s="1"/>
  <c r="C439" i="3"/>
  <c r="C439" i="8" s="1"/>
  <c r="B439" i="3"/>
  <c r="B439" i="8" s="1"/>
  <c r="F438" i="3"/>
  <c r="A438" i="8" s="1"/>
  <c r="E438" i="3"/>
  <c r="E438" i="8" s="1"/>
  <c r="D438" i="3"/>
  <c r="D438" i="8" s="1"/>
  <c r="C438" i="3"/>
  <c r="C438" i="8" s="1"/>
  <c r="B438" i="3"/>
  <c r="B438" i="8" s="1"/>
  <c r="F437" i="3"/>
  <c r="A437" i="8" s="1"/>
  <c r="E437" i="3"/>
  <c r="E437" i="8" s="1"/>
  <c r="D437" i="3"/>
  <c r="D437" i="8" s="1"/>
  <c r="C437" i="3"/>
  <c r="C437" i="8" s="1"/>
  <c r="B437" i="3"/>
  <c r="B437" i="8" s="1"/>
  <c r="F436" i="3"/>
  <c r="A436" i="8" s="1"/>
  <c r="E436" i="3"/>
  <c r="E436" i="8" s="1"/>
  <c r="D436" i="3"/>
  <c r="D436" i="8" s="1"/>
  <c r="C436" i="3"/>
  <c r="C436" i="8" s="1"/>
  <c r="B436" i="3"/>
  <c r="B436" i="8" s="1"/>
  <c r="F435" i="3"/>
  <c r="A435" i="8" s="1"/>
  <c r="E435" i="3"/>
  <c r="E435" i="8" s="1"/>
  <c r="D435" i="3"/>
  <c r="D435" i="8" s="1"/>
  <c r="C435" i="3"/>
  <c r="C435" i="8" s="1"/>
  <c r="B435" i="3"/>
  <c r="B435" i="8" s="1"/>
  <c r="F434" i="3"/>
  <c r="A434" i="8" s="1"/>
  <c r="E434" i="3"/>
  <c r="E434" i="8" s="1"/>
  <c r="D434" i="3"/>
  <c r="D434" i="8" s="1"/>
  <c r="C434" i="3"/>
  <c r="C434" i="8" s="1"/>
  <c r="B434" i="3"/>
  <c r="B434" i="8" s="1"/>
  <c r="F433" i="3"/>
  <c r="A433" i="8" s="1"/>
  <c r="E433" i="3"/>
  <c r="E433" i="8" s="1"/>
  <c r="D433" i="3"/>
  <c r="D433" i="8" s="1"/>
  <c r="C433" i="3"/>
  <c r="C433" i="8" s="1"/>
  <c r="B433" i="3"/>
  <c r="B433" i="8" s="1"/>
  <c r="F432" i="3"/>
  <c r="A432" i="8" s="1"/>
  <c r="E432" i="3"/>
  <c r="E432" i="8" s="1"/>
  <c r="D432" i="3"/>
  <c r="D432" i="8" s="1"/>
  <c r="C432" i="3"/>
  <c r="C432" i="8" s="1"/>
  <c r="B432" i="3"/>
  <c r="B432" i="8" s="1"/>
  <c r="F431" i="3"/>
  <c r="A431" i="8" s="1"/>
  <c r="E431" i="3"/>
  <c r="E431" i="8" s="1"/>
  <c r="D431" i="3"/>
  <c r="D431" i="8" s="1"/>
  <c r="C431" i="3"/>
  <c r="C431" i="8" s="1"/>
  <c r="B431" i="3"/>
  <c r="B431" i="8" s="1"/>
  <c r="F430" i="3"/>
  <c r="A430" i="8" s="1"/>
  <c r="E430" i="3"/>
  <c r="E430" i="8" s="1"/>
  <c r="D430" i="3"/>
  <c r="D430" i="8" s="1"/>
  <c r="C430" i="3"/>
  <c r="C430" i="8" s="1"/>
  <c r="B430" i="3"/>
  <c r="B430" i="8" s="1"/>
  <c r="F429" i="3"/>
  <c r="A429" i="8" s="1"/>
  <c r="E429" i="3"/>
  <c r="E429" i="8" s="1"/>
  <c r="D429" i="3"/>
  <c r="D429" i="8" s="1"/>
  <c r="C429" i="3"/>
  <c r="C429" i="8" s="1"/>
  <c r="B429" i="3"/>
  <c r="B429" i="8" s="1"/>
  <c r="F428" i="3"/>
  <c r="A428" i="8" s="1"/>
  <c r="E428" i="3"/>
  <c r="E428" i="8" s="1"/>
  <c r="D428" i="3"/>
  <c r="D428" i="8" s="1"/>
  <c r="C428" i="3"/>
  <c r="C428" i="8" s="1"/>
  <c r="B428" i="3"/>
  <c r="B428" i="8" s="1"/>
  <c r="F427" i="3"/>
  <c r="A427" i="8" s="1"/>
  <c r="E427" i="3"/>
  <c r="E427" i="8" s="1"/>
  <c r="D427" i="3"/>
  <c r="D427" i="8" s="1"/>
  <c r="C427" i="3"/>
  <c r="C427" i="8" s="1"/>
  <c r="B427" i="3"/>
  <c r="B427" i="8" s="1"/>
  <c r="F426" i="3"/>
  <c r="A426" i="8" s="1"/>
  <c r="E426" i="3"/>
  <c r="E426" i="8" s="1"/>
  <c r="D426" i="3"/>
  <c r="D426" i="8" s="1"/>
  <c r="C426" i="3"/>
  <c r="C426" i="8" s="1"/>
  <c r="B426" i="3"/>
  <c r="B426" i="8" s="1"/>
  <c r="F425" i="3"/>
  <c r="A425" i="8" s="1"/>
  <c r="E425" i="3"/>
  <c r="E425" i="8" s="1"/>
  <c r="D425" i="3"/>
  <c r="D425" i="8" s="1"/>
  <c r="C425" i="3"/>
  <c r="C425" i="8" s="1"/>
  <c r="B425" i="3"/>
  <c r="B425" i="8" s="1"/>
  <c r="F424" i="3"/>
  <c r="A424" i="8" s="1"/>
  <c r="E424" i="3"/>
  <c r="E424" i="8" s="1"/>
  <c r="D424" i="3"/>
  <c r="D424" i="8" s="1"/>
  <c r="C424" i="3"/>
  <c r="C424" i="8" s="1"/>
  <c r="B424" i="3"/>
  <c r="B424" i="8" s="1"/>
  <c r="F423" i="3"/>
  <c r="A423" i="8" s="1"/>
  <c r="E423" i="3"/>
  <c r="E423" i="8" s="1"/>
  <c r="D423" i="3"/>
  <c r="D423" i="8" s="1"/>
  <c r="C423" i="3"/>
  <c r="C423" i="8" s="1"/>
  <c r="B423" i="3"/>
  <c r="B423" i="8" s="1"/>
  <c r="F422" i="3"/>
  <c r="A422" i="8" s="1"/>
  <c r="E422" i="3"/>
  <c r="E422" i="8" s="1"/>
  <c r="D422" i="3"/>
  <c r="D422" i="8" s="1"/>
  <c r="C422" i="3"/>
  <c r="C422" i="8" s="1"/>
  <c r="B422" i="3"/>
  <c r="B422" i="8" s="1"/>
  <c r="F421" i="3"/>
  <c r="A421" i="8" s="1"/>
  <c r="E421" i="3"/>
  <c r="E421" i="8" s="1"/>
  <c r="D421" i="3"/>
  <c r="D421" i="8" s="1"/>
  <c r="C421" i="3"/>
  <c r="C421" i="8" s="1"/>
  <c r="B421" i="3"/>
  <c r="B421" i="8" s="1"/>
  <c r="F420" i="3"/>
  <c r="A420" i="8" s="1"/>
  <c r="E420" i="3"/>
  <c r="E420" i="8" s="1"/>
  <c r="D420" i="3"/>
  <c r="D420" i="8" s="1"/>
  <c r="C420" i="3"/>
  <c r="C420" i="8" s="1"/>
  <c r="B420" i="3"/>
  <c r="B420" i="8" s="1"/>
  <c r="F419" i="3"/>
  <c r="A419" i="8" s="1"/>
  <c r="E419" i="3"/>
  <c r="E419" i="8" s="1"/>
  <c r="D419" i="3"/>
  <c r="D419" i="8" s="1"/>
  <c r="C419" i="3"/>
  <c r="C419" i="8" s="1"/>
  <c r="B419" i="3"/>
  <c r="B419" i="8" s="1"/>
  <c r="F418" i="3"/>
  <c r="A418" i="8" s="1"/>
  <c r="E418" i="3"/>
  <c r="E418" i="8" s="1"/>
  <c r="D418" i="3"/>
  <c r="D418" i="8" s="1"/>
  <c r="C418" i="3"/>
  <c r="C418" i="8" s="1"/>
  <c r="B418" i="3"/>
  <c r="B418" i="8" s="1"/>
  <c r="F417" i="3"/>
  <c r="A417" i="8" s="1"/>
  <c r="E417" i="3"/>
  <c r="E417" i="8" s="1"/>
  <c r="D417" i="3"/>
  <c r="D417" i="8" s="1"/>
  <c r="C417" i="3"/>
  <c r="C417" i="8" s="1"/>
  <c r="B417" i="3"/>
  <c r="B417" i="8" s="1"/>
  <c r="F416" i="3"/>
  <c r="A416" i="8" s="1"/>
  <c r="E416" i="3"/>
  <c r="E416" i="8" s="1"/>
  <c r="D416" i="3"/>
  <c r="D416" i="8" s="1"/>
  <c r="C416" i="3"/>
  <c r="C416" i="8" s="1"/>
  <c r="B416" i="3"/>
  <c r="B416" i="8" s="1"/>
  <c r="F415" i="3"/>
  <c r="A415" i="8" s="1"/>
  <c r="E415" i="3"/>
  <c r="E415" i="8" s="1"/>
  <c r="D415" i="3"/>
  <c r="D415" i="8" s="1"/>
  <c r="C415" i="3"/>
  <c r="C415" i="8" s="1"/>
  <c r="B415" i="3"/>
  <c r="B415" i="8" s="1"/>
  <c r="F414" i="3"/>
  <c r="A414" i="8" s="1"/>
  <c r="E414" i="3"/>
  <c r="E414" i="8" s="1"/>
  <c r="D414" i="3"/>
  <c r="D414" i="8" s="1"/>
  <c r="C414" i="3"/>
  <c r="C414" i="8" s="1"/>
  <c r="B414" i="3"/>
  <c r="B414" i="8" s="1"/>
  <c r="F413" i="3"/>
  <c r="A413" i="8" s="1"/>
  <c r="E413" i="3"/>
  <c r="E413" i="8" s="1"/>
  <c r="D413" i="3"/>
  <c r="D413" i="8" s="1"/>
  <c r="C413" i="3"/>
  <c r="C413" i="8" s="1"/>
  <c r="B413" i="3"/>
  <c r="B413" i="8" s="1"/>
  <c r="F412" i="3"/>
  <c r="A412" i="8" s="1"/>
  <c r="E412" i="3"/>
  <c r="E412" i="8" s="1"/>
  <c r="D412" i="3"/>
  <c r="D412" i="8" s="1"/>
  <c r="C412" i="3"/>
  <c r="C412" i="8" s="1"/>
  <c r="B412" i="3"/>
  <c r="B412" i="8" s="1"/>
  <c r="F411" i="3"/>
  <c r="A411" i="8" s="1"/>
  <c r="E411" i="3"/>
  <c r="E411" i="8" s="1"/>
  <c r="D411" i="3"/>
  <c r="D411" i="8" s="1"/>
  <c r="C411" i="3"/>
  <c r="C411" i="8" s="1"/>
  <c r="B411" i="3"/>
  <c r="B411" i="8" s="1"/>
  <c r="F410" i="3"/>
  <c r="A410" i="8" s="1"/>
  <c r="E410" i="3"/>
  <c r="E410" i="8" s="1"/>
  <c r="D410" i="3"/>
  <c r="D410" i="8" s="1"/>
  <c r="C410" i="3"/>
  <c r="C410" i="8" s="1"/>
  <c r="B410" i="3"/>
  <c r="B410" i="8" s="1"/>
  <c r="F409" i="3"/>
  <c r="A409" i="8" s="1"/>
  <c r="E409" i="3"/>
  <c r="E409" i="8" s="1"/>
  <c r="D409" i="3"/>
  <c r="D409" i="8" s="1"/>
  <c r="C409" i="3"/>
  <c r="C409" i="8" s="1"/>
  <c r="B409" i="3"/>
  <c r="B409" i="8" s="1"/>
  <c r="F408" i="3"/>
  <c r="A408" i="8" s="1"/>
  <c r="E408" i="3"/>
  <c r="E408" i="8" s="1"/>
  <c r="D408" i="3"/>
  <c r="D408" i="8" s="1"/>
  <c r="C408" i="3"/>
  <c r="C408" i="8" s="1"/>
  <c r="B408" i="3"/>
  <c r="B408" i="8" s="1"/>
  <c r="F407" i="3"/>
  <c r="A407" i="8" s="1"/>
  <c r="E407" i="3"/>
  <c r="E407" i="8" s="1"/>
  <c r="D407" i="3"/>
  <c r="D407" i="8" s="1"/>
  <c r="C407" i="3"/>
  <c r="C407" i="8" s="1"/>
  <c r="B407" i="3"/>
  <c r="B407" i="8" s="1"/>
  <c r="F406" i="3"/>
  <c r="A406" i="8" s="1"/>
  <c r="E406" i="3"/>
  <c r="E406" i="8" s="1"/>
  <c r="D406" i="3"/>
  <c r="D406" i="8" s="1"/>
  <c r="C406" i="3"/>
  <c r="C406" i="8" s="1"/>
  <c r="B406" i="3"/>
  <c r="B406" i="8" s="1"/>
  <c r="F405" i="3"/>
  <c r="A405" i="8" s="1"/>
  <c r="E405" i="3"/>
  <c r="E405" i="8" s="1"/>
  <c r="D405" i="3"/>
  <c r="D405" i="8" s="1"/>
  <c r="C405" i="3"/>
  <c r="C405" i="8" s="1"/>
  <c r="B405" i="3"/>
  <c r="B405" i="8" s="1"/>
  <c r="F404" i="3"/>
  <c r="A404" i="8" s="1"/>
  <c r="E404" i="3"/>
  <c r="E404" i="8" s="1"/>
  <c r="D404" i="3"/>
  <c r="D404" i="8" s="1"/>
  <c r="C404" i="3"/>
  <c r="C404" i="8" s="1"/>
  <c r="B404" i="3"/>
  <c r="B404" i="8" s="1"/>
  <c r="F403" i="3"/>
  <c r="A403" i="8" s="1"/>
  <c r="E403" i="3"/>
  <c r="E403" i="8" s="1"/>
  <c r="D403" i="3"/>
  <c r="D403" i="8" s="1"/>
  <c r="C403" i="3"/>
  <c r="C403" i="8" s="1"/>
  <c r="B403" i="3"/>
  <c r="B403" i="8" s="1"/>
  <c r="F402" i="3"/>
  <c r="A402" i="8" s="1"/>
  <c r="E402" i="3"/>
  <c r="E402" i="8" s="1"/>
  <c r="D402" i="3"/>
  <c r="D402" i="8" s="1"/>
  <c r="C402" i="3"/>
  <c r="C402" i="8" s="1"/>
  <c r="B402" i="3"/>
  <c r="B402" i="8" s="1"/>
  <c r="F401" i="3"/>
  <c r="A401" i="8" s="1"/>
  <c r="E401" i="3"/>
  <c r="E401" i="8" s="1"/>
  <c r="D401" i="3"/>
  <c r="D401" i="8" s="1"/>
  <c r="C401" i="3"/>
  <c r="C401" i="8" s="1"/>
  <c r="B401" i="3"/>
  <c r="B401" i="8" s="1"/>
  <c r="F400" i="3"/>
  <c r="A400" i="8" s="1"/>
  <c r="E400" i="3"/>
  <c r="E400" i="8" s="1"/>
  <c r="D400" i="3"/>
  <c r="D400" i="8" s="1"/>
  <c r="C400" i="3"/>
  <c r="C400" i="8" s="1"/>
  <c r="B400" i="3"/>
  <c r="B400" i="8" s="1"/>
  <c r="F399" i="3"/>
  <c r="A399" i="8" s="1"/>
  <c r="E399" i="3"/>
  <c r="E399" i="8" s="1"/>
  <c r="D399" i="3"/>
  <c r="D399" i="8" s="1"/>
  <c r="C399" i="3"/>
  <c r="C399" i="8" s="1"/>
  <c r="B399" i="3"/>
  <c r="B399" i="8" s="1"/>
  <c r="F398" i="3"/>
  <c r="A398" i="8" s="1"/>
  <c r="E398" i="3"/>
  <c r="E398" i="8" s="1"/>
  <c r="D398" i="3"/>
  <c r="D398" i="8" s="1"/>
  <c r="C398" i="3"/>
  <c r="C398" i="8" s="1"/>
  <c r="B398" i="3"/>
  <c r="B398" i="8" s="1"/>
  <c r="F397" i="3"/>
  <c r="A397" i="8" s="1"/>
  <c r="E397" i="3"/>
  <c r="E397" i="8" s="1"/>
  <c r="D397" i="3"/>
  <c r="D397" i="8" s="1"/>
  <c r="C397" i="3"/>
  <c r="C397" i="8" s="1"/>
  <c r="B397" i="3"/>
  <c r="B397" i="8" s="1"/>
  <c r="F396" i="3"/>
  <c r="A396" i="8" s="1"/>
  <c r="E396" i="3"/>
  <c r="E396" i="8" s="1"/>
  <c r="D396" i="3"/>
  <c r="D396" i="8" s="1"/>
  <c r="C396" i="3"/>
  <c r="C396" i="8" s="1"/>
  <c r="B396" i="3"/>
  <c r="B396" i="8" s="1"/>
  <c r="F395" i="3"/>
  <c r="A395" i="8" s="1"/>
  <c r="E395" i="3"/>
  <c r="E395" i="8" s="1"/>
  <c r="D395" i="3"/>
  <c r="D395" i="8" s="1"/>
  <c r="C395" i="3"/>
  <c r="C395" i="8" s="1"/>
  <c r="B395" i="3"/>
  <c r="B395" i="8" s="1"/>
  <c r="F394" i="3"/>
  <c r="A394" i="8" s="1"/>
  <c r="E394" i="3"/>
  <c r="E394" i="8" s="1"/>
  <c r="D394" i="3"/>
  <c r="D394" i="8" s="1"/>
  <c r="C394" i="3"/>
  <c r="C394" i="8" s="1"/>
  <c r="B394" i="3"/>
  <c r="B394" i="8" s="1"/>
  <c r="F393" i="3"/>
  <c r="A393" i="8" s="1"/>
  <c r="E393" i="3"/>
  <c r="E393" i="8" s="1"/>
  <c r="D393" i="3"/>
  <c r="D393" i="8" s="1"/>
  <c r="C393" i="3"/>
  <c r="C393" i="8" s="1"/>
  <c r="B393" i="3"/>
  <c r="B393" i="8" s="1"/>
  <c r="F392" i="3"/>
  <c r="A392" i="8" s="1"/>
  <c r="E392" i="3"/>
  <c r="E392" i="8" s="1"/>
  <c r="D392" i="3"/>
  <c r="D392" i="8" s="1"/>
  <c r="C392" i="3"/>
  <c r="C392" i="8" s="1"/>
  <c r="B392" i="3"/>
  <c r="B392" i="8" s="1"/>
  <c r="F391" i="3"/>
  <c r="A391" i="8" s="1"/>
  <c r="E391" i="3"/>
  <c r="E391" i="8" s="1"/>
  <c r="D391" i="3"/>
  <c r="D391" i="8" s="1"/>
  <c r="C391" i="3"/>
  <c r="C391" i="8" s="1"/>
  <c r="B391" i="3"/>
  <c r="B391" i="8" s="1"/>
  <c r="F390" i="3"/>
  <c r="A390" i="8" s="1"/>
  <c r="E390" i="3"/>
  <c r="E390" i="8" s="1"/>
  <c r="D390" i="3"/>
  <c r="D390" i="8" s="1"/>
  <c r="C390" i="3"/>
  <c r="C390" i="8" s="1"/>
  <c r="B390" i="3"/>
  <c r="B390" i="8" s="1"/>
  <c r="F389" i="3"/>
  <c r="A389" i="8" s="1"/>
  <c r="E389" i="3"/>
  <c r="E389" i="8" s="1"/>
  <c r="D389" i="3"/>
  <c r="D389" i="8" s="1"/>
  <c r="C389" i="3"/>
  <c r="C389" i="8" s="1"/>
  <c r="B389" i="3"/>
  <c r="B389" i="8" s="1"/>
  <c r="F388" i="3"/>
  <c r="A388" i="8" s="1"/>
  <c r="E388" i="3"/>
  <c r="E388" i="8" s="1"/>
  <c r="D388" i="3"/>
  <c r="D388" i="8" s="1"/>
  <c r="C388" i="3"/>
  <c r="C388" i="8" s="1"/>
  <c r="B388" i="3"/>
  <c r="B388" i="8" s="1"/>
  <c r="F387" i="3"/>
  <c r="A387" i="8" s="1"/>
  <c r="E387" i="3"/>
  <c r="E387" i="8" s="1"/>
  <c r="D387" i="3"/>
  <c r="D387" i="8" s="1"/>
  <c r="C387" i="3"/>
  <c r="C387" i="8" s="1"/>
  <c r="B387" i="3"/>
  <c r="B387" i="8" s="1"/>
  <c r="F386" i="3"/>
  <c r="A386" i="8" s="1"/>
  <c r="E386" i="3"/>
  <c r="E386" i="8" s="1"/>
  <c r="D386" i="3"/>
  <c r="D386" i="8" s="1"/>
  <c r="C386" i="3"/>
  <c r="C386" i="8" s="1"/>
  <c r="B386" i="3"/>
  <c r="B386" i="8" s="1"/>
  <c r="F385" i="3"/>
  <c r="A385" i="8" s="1"/>
  <c r="E385" i="3"/>
  <c r="E385" i="8" s="1"/>
  <c r="D385" i="3"/>
  <c r="D385" i="8" s="1"/>
  <c r="C385" i="3"/>
  <c r="C385" i="8" s="1"/>
  <c r="B385" i="3"/>
  <c r="B385" i="8" s="1"/>
  <c r="F384" i="3"/>
  <c r="A384" i="8" s="1"/>
  <c r="E384" i="3"/>
  <c r="E384" i="8" s="1"/>
  <c r="D384" i="3"/>
  <c r="D384" i="8" s="1"/>
  <c r="C384" i="3"/>
  <c r="C384" i="8" s="1"/>
  <c r="B384" i="3"/>
  <c r="B384" i="8" s="1"/>
  <c r="F383" i="3"/>
  <c r="A383" i="8" s="1"/>
  <c r="E383" i="3"/>
  <c r="E383" i="8" s="1"/>
  <c r="D383" i="3"/>
  <c r="D383" i="8" s="1"/>
  <c r="C383" i="3"/>
  <c r="C383" i="8" s="1"/>
  <c r="B383" i="3"/>
  <c r="B383" i="8" s="1"/>
  <c r="F382" i="3"/>
  <c r="A382" i="8" s="1"/>
  <c r="E382" i="3"/>
  <c r="E382" i="8" s="1"/>
  <c r="D382" i="3"/>
  <c r="D382" i="8" s="1"/>
  <c r="C382" i="3"/>
  <c r="C382" i="8" s="1"/>
  <c r="B382" i="3"/>
  <c r="B382" i="8" s="1"/>
  <c r="F381" i="3"/>
  <c r="A381" i="8" s="1"/>
  <c r="E381" i="3"/>
  <c r="E381" i="8" s="1"/>
  <c r="D381" i="3"/>
  <c r="D381" i="8" s="1"/>
  <c r="C381" i="3"/>
  <c r="C381" i="8" s="1"/>
  <c r="B381" i="3"/>
  <c r="B381" i="8" s="1"/>
  <c r="F380" i="3"/>
  <c r="A380" i="8" s="1"/>
  <c r="E380" i="3"/>
  <c r="E380" i="8" s="1"/>
  <c r="D380" i="3"/>
  <c r="D380" i="8" s="1"/>
  <c r="C380" i="3"/>
  <c r="C380" i="8" s="1"/>
  <c r="B380" i="3"/>
  <c r="B380" i="8" s="1"/>
  <c r="F379" i="3"/>
  <c r="A379" i="8" s="1"/>
  <c r="E379" i="3"/>
  <c r="E379" i="8" s="1"/>
  <c r="D379" i="3"/>
  <c r="D379" i="8" s="1"/>
  <c r="C379" i="3"/>
  <c r="C379" i="8" s="1"/>
  <c r="B379" i="3"/>
  <c r="B379" i="8" s="1"/>
  <c r="F378" i="3"/>
  <c r="A378" i="8" s="1"/>
  <c r="E378" i="3"/>
  <c r="E378" i="8" s="1"/>
  <c r="D378" i="3"/>
  <c r="D378" i="8" s="1"/>
  <c r="C378" i="3"/>
  <c r="C378" i="8" s="1"/>
  <c r="B378" i="3"/>
  <c r="B378" i="8" s="1"/>
  <c r="F377" i="3"/>
  <c r="A377" i="8" s="1"/>
  <c r="E377" i="3"/>
  <c r="E377" i="8" s="1"/>
  <c r="D377" i="3"/>
  <c r="D377" i="8" s="1"/>
  <c r="C377" i="3"/>
  <c r="C377" i="8" s="1"/>
  <c r="B377" i="3"/>
  <c r="B377" i="8" s="1"/>
  <c r="F376" i="3"/>
  <c r="A376" i="8" s="1"/>
  <c r="E376" i="3"/>
  <c r="E376" i="8" s="1"/>
  <c r="D376" i="3"/>
  <c r="D376" i="8" s="1"/>
  <c r="C376" i="3"/>
  <c r="C376" i="8" s="1"/>
  <c r="B376" i="3"/>
  <c r="B376" i="8" s="1"/>
  <c r="F375" i="3"/>
  <c r="A375" i="8" s="1"/>
  <c r="E375" i="3"/>
  <c r="E375" i="8" s="1"/>
  <c r="D375" i="3"/>
  <c r="D375" i="8" s="1"/>
  <c r="C375" i="3"/>
  <c r="C375" i="8" s="1"/>
  <c r="B375" i="3"/>
  <c r="B375" i="8" s="1"/>
  <c r="F374" i="3"/>
  <c r="A374" i="8" s="1"/>
  <c r="E374" i="3"/>
  <c r="E374" i="8" s="1"/>
  <c r="D374" i="3"/>
  <c r="D374" i="8" s="1"/>
  <c r="C374" i="3"/>
  <c r="C374" i="8" s="1"/>
  <c r="B374" i="3"/>
  <c r="B374" i="8" s="1"/>
  <c r="F373" i="3"/>
  <c r="A373" i="8" s="1"/>
  <c r="E373" i="3"/>
  <c r="E373" i="8" s="1"/>
  <c r="D373" i="3"/>
  <c r="D373" i="8" s="1"/>
  <c r="C373" i="3"/>
  <c r="C373" i="8" s="1"/>
  <c r="B373" i="3"/>
  <c r="B373" i="8" s="1"/>
  <c r="F372" i="3"/>
  <c r="A372" i="8" s="1"/>
  <c r="E372" i="3"/>
  <c r="E372" i="8" s="1"/>
  <c r="D372" i="3"/>
  <c r="D372" i="8" s="1"/>
  <c r="C372" i="3"/>
  <c r="C372" i="8" s="1"/>
  <c r="B372" i="3"/>
  <c r="B372" i="8" s="1"/>
  <c r="F371" i="3"/>
  <c r="A371" i="8" s="1"/>
  <c r="E371" i="3"/>
  <c r="E371" i="8" s="1"/>
  <c r="D371" i="3"/>
  <c r="D371" i="8" s="1"/>
  <c r="C371" i="3"/>
  <c r="C371" i="8" s="1"/>
  <c r="B371" i="3"/>
  <c r="B371" i="8" s="1"/>
  <c r="F370" i="3"/>
  <c r="A370" i="8" s="1"/>
  <c r="E370" i="3"/>
  <c r="E370" i="8" s="1"/>
  <c r="D370" i="3"/>
  <c r="D370" i="8" s="1"/>
  <c r="C370" i="3"/>
  <c r="C370" i="8" s="1"/>
  <c r="B370" i="3"/>
  <c r="B370" i="8" s="1"/>
  <c r="F369" i="3"/>
  <c r="A369" i="8" s="1"/>
  <c r="E369" i="3"/>
  <c r="E369" i="8" s="1"/>
  <c r="D369" i="3"/>
  <c r="D369" i="8" s="1"/>
  <c r="C369" i="3"/>
  <c r="C369" i="8" s="1"/>
  <c r="B369" i="3"/>
  <c r="B369" i="8" s="1"/>
  <c r="F368" i="3"/>
  <c r="A368" i="8" s="1"/>
  <c r="E368" i="3"/>
  <c r="E368" i="8" s="1"/>
  <c r="D368" i="3"/>
  <c r="D368" i="8" s="1"/>
  <c r="C368" i="3"/>
  <c r="C368" i="8" s="1"/>
  <c r="B368" i="3"/>
  <c r="B368" i="8" s="1"/>
  <c r="F367" i="3"/>
  <c r="A367" i="8" s="1"/>
  <c r="E367" i="3"/>
  <c r="E367" i="8" s="1"/>
  <c r="D367" i="3"/>
  <c r="D367" i="8" s="1"/>
  <c r="C367" i="3"/>
  <c r="C367" i="8" s="1"/>
  <c r="B367" i="3"/>
  <c r="B367" i="8" s="1"/>
  <c r="F366" i="3"/>
  <c r="A366" i="8" s="1"/>
  <c r="E366" i="3"/>
  <c r="E366" i="8" s="1"/>
  <c r="D366" i="3"/>
  <c r="D366" i="8" s="1"/>
  <c r="C366" i="3"/>
  <c r="C366" i="8" s="1"/>
  <c r="B366" i="3"/>
  <c r="B366" i="8" s="1"/>
  <c r="F365" i="3"/>
  <c r="A365" i="8" s="1"/>
  <c r="E365" i="3"/>
  <c r="E365" i="8" s="1"/>
  <c r="D365" i="3"/>
  <c r="D365" i="8" s="1"/>
  <c r="C365" i="3"/>
  <c r="C365" i="8" s="1"/>
  <c r="B365" i="3"/>
  <c r="B365" i="8" s="1"/>
  <c r="F364" i="3"/>
  <c r="A364" i="8" s="1"/>
  <c r="E364" i="3"/>
  <c r="E364" i="8" s="1"/>
  <c r="D364" i="3"/>
  <c r="D364" i="8" s="1"/>
  <c r="C364" i="3"/>
  <c r="C364" i="8" s="1"/>
  <c r="B364" i="3"/>
  <c r="B364" i="8" s="1"/>
  <c r="F363" i="3"/>
  <c r="A363" i="8" s="1"/>
  <c r="E363" i="3"/>
  <c r="E363" i="8" s="1"/>
  <c r="D363" i="3"/>
  <c r="D363" i="8" s="1"/>
  <c r="C363" i="3"/>
  <c r="C363" i="8" s="1"/>
  <c r="B363" i="3"/>
  <c r="B363" i="8" s="1"/>
  <c r="F362" i="3"/>
  <c r="A362" i="8" s="1"/>
  <c r="E362" i="3"/>
  <c r="E362" i="8" s="1"/>
  <c r="D362" i="3"/>
  <c r="D362" i="8" s="1"/>
  <c r="C362" i="3"/>
  <c r="C362" i="8" s="1"/>
  <c r="B362" i="3"/>
  <c r="B362" i="8" s="1"/>
  <c r="F361" i="3"/>
  <c r="A361" i="8" s="1"/>
  <c r="E361" i="3"/>
  <c r="E361" i="8" s="1"/>
  <c r="D361" i="3"/>
  <c r="D361" i="8" s="1"/>
  <c r="C361" i="3"/>
  <c r="C361" i="8" s="1"/>
  <c r="B361" i="3"/>
  <c r="B361" i="8" s="1"/>
  <c r="F360" i="3"/>
  <c r="A360" i="8" s="1"/>
  <c r="E360" i="3"/>
  <c r="E360" i="8" s="1"/>
  <c r="D360" i="3"/>
  <c r="D360" i="8" s="1"/>
  <c r="C360" i="3"/>
  <c r="C360" i="8" s="1"/>
  <c r="B360" i="3"/>
  <c r="B360" i="8" s="1"/>
  <c r="F359" i="3"/>
  <c r="A359" i="8" s="1"/>
  <c r="E359" i="3"/>
  <c r="E359" i="8" s="1"/>
  <c r="D359" i="3"/>
  <c r="D359" i="8" s="1"/>
  <c r="C359" i="3"/>
  <c r="C359" i="8" s="1"/>
  <c r="B359" i="3"/>
  <c r="B359" i="8" s="1"/>
  <c r="F358" i="3"/>
  <c r="A358" i="8" s="1"/>
  <c r="E358" i="3"/>
  <c r="E358" i="8" s="1"/>
  <c r="D358" i="3"/>
  <c r="D358" i="8" s="1"/>
  <c r="C358" i="3"/>
  <c r="C358" i="8" s="1"/>
  <c r="B358" i="3"/>
  <c r="B358" i="8" s="1"/>
  <c r="F357" i="3"/>
  <c r="A357" i="8" s="1"/>
  <c r="E357" i="3"/>
  <c r="E357" i="8" s="1"/>
  <c r="D357" i="3"/>
  <c r="D357" i="8" s="1"/>
  <c r="C357" i="3"/>
  <c r="C357" i="8" s="1"/>
  <c r="B357" i="3"/>
  <c r="B357" i="8" s="1"/>
  <c r="F356" i="3"/>
  <c r="A356" i="8" s="1"/>
  <c r="E356" i="3"/>
  <c r="E356" i="8" s="1"/>
  <c r="D356" i="3"/>
  <c r="D356" i="8" s="1"/>
  <c r="C356" i="3"/>
  <c r="C356" i="8" s="1"/>
  <c r="B356" i="3"/>
  <c r="B356" i="8" s="1"/>
  <c r="F355" i="3"/>
  <c r="A355" i="8" s="1"/>
  <c r="E355" i="3"/>
  <c r="E355" i="8" s="1"/>
  <c r="D355" i="3"/>
  <c r="D355" i="8" s="1"/>
  <c r="C355" i="3"/>
  <c r="C355" i="8" s="1"/>
  <c r="B355" i="3"/>
  <c r="B355" i="8" s="1"/>
  <c r="F354" i="3"/>
  <c r="A354" i="8" s="1"/>
  <c r="E354" i="3"/>
  <c r="E354" i="8" s="1"/>
  <c r="D354" i="3"/>
  <c r="D354" i="8" s="1"/>
  <c r="C354" i="3"/>
  <c r="C354" i="8" s="1"/>
  <c r="B354" i="3"/>
  <c r="B354" i="8" s="1"/>
  <c r="F353" i="3"/>
  <c r="A353" i="8" s="1"/>
  <c r="E353" i="3"/>
  <c r="E353" i="8" s="1"/>
  <c r="D353" i="3"/>
  <c r="D353" i="8" s="1"/>
  <c r="C353" i="3"/>
  <c r="C353" i="8" s="1"/>
  <c r="B353" i="3"/>
  <c r="B353" i="8" s="1"/>
  <c r="F352" i="3"/>
  <c r="A352" i="8" s="1"/>
  <c r="E352" i="3"/>
  <c r="E352" i="8" s="1"/>
  <c r="D352" i="3"/>
  <c r="D352" i="8" s="1"/>
  <c r="C352" i="3"/>
  <c r="C352" i="8" s="1"/>
  <c r="B352" i="3"/>
  <c r="B352" i="8" s="1"/>
  <c r="F351" i="3"/>
  <c r="A351" i="8" s="1"/>
  <c r="E351" i="3"/>
  <c r="E351" i="8" s="1"/>
  <c r="D351" i="3"/>
  <c r="D351" i="8" s="1"/>
  <c r="C351" i="3"/>
  <c r="C351" i="8" s="1"/>
  <c r="B351" i="3"/>
  <c r="B351" i="8" s="1"/>
  <c r="F350" i="3"/>
  <c r="A350" i="8" s="1"/>
  <c r="E350" i="3"/>
  <c r="E350" i="8" s="1"/>
  <c r="D350" i="3"/>
  <c r="D350" i="8" s="1"/>
  <c r="C350" i="3"/>
  <c r="C350" i="8" s="1"/>
  <c r="B350" i="3"/>
  <c r="B350" i="8" s="1"/>
  <c r="F349" i="3"/>
  <c r="A349" i="8" s="1"/>
  <c r="E349" i="3"/>
  <c r="E349" i="8" s="1"/>
  <c r="D349" i="3"/>
  <c r="D349" i="8" s="1"/>
  <c r="C349" i="3"/>
  <c r="C349" i="8" s="1"/>
  <c r="B349" i="3"/>
  <c r="B349" i="8" s="1"/>
  <c r="F348" i="3"/>
  <c r="A348" i="8" s="1"/>
  <c r="E348" i="3"/>
  <c r="E348" i="8" s="1"/>
  <c r="D348" i="3"/>
  <c r="D348" i="8" s="1"/>
  <c r="C348" i="3"/>
  <c r="C348" i="8" s="1"/>
  <c r="B348" i="3"/>
  <c r="B348" i="8" s="1"/>
  <c r="F347" i="3"/>
  <c r="A347" i="8" s="1"/>
  <c r="E347" i="3"/>
  <c r="E347" i="8" s="1"/>
  <c r="D347" i="3"/>
  <c r="D347" i="8" s="1"/>
  <c r="C347" i="3"/>
  <c r="C347" i="8" s="1"/>
  <c r="B347" i="3"/>
  <c r="B347" i="8" s="1"/>
  <c r="F346" i="3"/>
  <c r="A346" i="8" s="1"/>
  <c r="E346" i="3"/>
  <c r="E346" i="8" s="1"/>
  <c r="D346" i="3"/>
  <c r="D346" i="8" s="1"/>
  <c r="C346" i="3"/>
  <c r="C346" i="8" s="1"/>
  <c r="B346" i="3"/>
  <c r="B346" i="8" s="1"/>
  <c r="F345" i="3"/>
  <c r="A345" i="8" s="1"/>
  <c r="E345" i="3"/>
  <c r="E345" i="8" s="1"/>
  <c r="D345" i="3"/>
  <c r="D345" i="8" s="1"/>
  <c r="C345" i="3"/>
  <c r="C345" i="8" s="1"/>
  <c r="B345" i="3"/>
  <c r="B345" i="8" s="1"/>
  <c r="F344" i="3"/>
  <c r="A344" i="8" s="1"/>
  <c r="E344" i="3"/>
  <c r="E344" i="8" s="1"/>
  <c r="D344" i="3"/>
  <c r="D344" i="8" s="1"/>
  <c r="C344" i="3"/>
  <c r="C344" i="8" s="1"/>
  <c r="B344" i="3"/>
  <c r="B344" i="8" s="1"/>
  <c r="F343" i="3"/>
  <c r="A343" i="8" s="1"/>
  <c r="E343" i="3"/>
  <c r="E343" i="8" s="1"/>
  <c r="D343" i="3"/>
  <c r="D343" i="8" s="1"/>
  <c r="C343" i="3"/>
  <c r="C343" i="8" s="1"/>
  <c r="B343" i="3"/>
  <c r="B343" i="8" s="1"/>
  <c r="F342" i="3"/>
  <c r="A342" i="8" s="1"/>
  <c r="E342" i="3"/>
  <c r="E342" i="8" s="1"/>
  <c r="D342" i="3"/>
  <c r="D342" i="8" s="1"/>
  <c r="C342" i="3"/>
  <c r="C342" i="8" s="1"/>
  <c r="B342" i="3"/>
  <c r="B342" i="8" s="1"/>
  <c r="F341" i="3"/>
  <c r="A341" i="8" s="1"/>
  <c r="E341" i="3"/>
  <c r="E341" i="8" s="1"/>
  <c r="D341" i="3"/>
  <c r="D341" i="8" s="1"/>
  <c r="C341" i="3"/>
  <c r="C341" i="8" s="1"/>
  <c r="B341" i="3"/>
  <c r="B341" i="8" s="1"/>
  <c r="F340" i="3"/>
  <c r="A340" i="8" s="1"/>
  <c r="E340" i="3"/>
  <c r="E340" i="8" s="1"/>
  <c r="D340" i="3"/>
  <c r="D340" i="8" s="1"/>
  <c r="C340" i="3"/>
  <c r="C340" i="8" s="1"/>
  <c r="B340" i="3"/>
  <c r="B340" i="8" s="1"/>
  <c r="F339" i="3"/>
  <c r="A339" i="8" s="1"/>
  <c r="E339" i="3"/>
  <c r="E339" i="8" s="1"/>
  <c r="D339" i="3"/>
  <c r="D339" i="8" s="1"/>
  <c r="C339" i="3"/>
  <c r="C339" i="8" s="1"/>
  <c r="B339" i="3"/>
  <c r="B339" i="8" s="1"/>
  <c r="F338" i="3"/>
  <c r="A338" i="8" s="1"/>
  <c r="E338" i="3"/>
  <c r="E338" i="8" s="1"/>
  <c r="D338" i="3"/>
  <c r="D338" i="8" s="1"/>
  <c r="C338" i="3"/>
  <c r="C338" i="8" s="1"/>
  <c r="B338" i="3"/>
  <c r="B338" i="8" s="1"/>
  <c r="F337" i="3"/>
  <c r="A337" i="8" s="1"/>
  <c r="E337" i="3"/>
  <c r="E337" i="8" s="1"/>
  <c r="D337" i="3"/>
  <c r="D337" i="8" s="1"/>
  <c r="C337" i="3"/>
  <c r="C337" i="8" s="1"/>
  <c r="B337" i="3"/>
  <c r="B337" i="8" s="1"/>
  <c r="F336" i="3"/>
  <c r="A336" i="8" s="1"/>
  <c r="E336" i="3"/>
  <c r="E336" i="8" s="1"/>
  <c r="D336" i="3"/>
  <c r="D336" i="8" s="1"/>
  <c r="C336" i="3"/>
  <c r="C336" i="8" s="1"/>
  <c r="B336" i="3"/>
  <c r="B336" i="8" s="1"/>
  <c r="F335" i="3"/>
  <c r="A335" i="8" s="1"/>
  <c r="E335" i="3"/>
  <c r="E335" i="8" s="1"/>
  <c r="D335" i="3"/>
  <c r="D335" i="8" s="1"/>
  <c r="C335" i="3"/>
  <c r="C335" i="8" s="1"/>
  <c r="B335" i="3"/>
  <c r="B335" i="8" s="1"/>
  <c r="F334" i="3"/>
  <c r="A334" i="8" s="1"/>
  <c r="E334" i="3"/>
  <c r="E334" i="8" s="1"/>
  <c r="D334" i="3"/>
  <c r="D334" i="8" s="1"/>
  <c r="C334" i="3"/>
  <c r="C334" i="8" s="1"/>
  <c r="B334" i="3"/>
  <c r="B334" i="8" s="1"/>
  <c r="F333" i="3"/>
  <c r="A333" i="8" s="1"/>
  <c r="E333" i="3"/>
  <c r="E333" i="8" s="1"/>
  <c r="D333" i="3"/>
  <c r="D333" i="8" s="1"/>
  <c r="C333" i="3"/>
  <c r="C333" i="8" s="1"/>
  <c r="B333" i="3"/>
  <c r="B333" i="8" s="1"/>
  <c r="F332" i="3"/>
  <c r="A332" i="8" s="1"/>
  <c r="E332" i="3"/>
  <c r="E332" i="8" s="1"/>
  <c r="D332" i="3"/>
  <c r="D332" i="8" s="1"/>
  <c r="C332" i="3"/>
  <c r="C332" i="8" s="1"/>
  <c r="B332" i="3"/>
  <c r="B332" i="8" s="1"/>
  <c r="F331" i="3"/>
  <c r="A331" i="8" s="1"/>
  <c r="E331" i="3"/>
  <c r="E331" i="8" s="1"/>
  <c r="D331" i="3"/>
  <c r="D331" i="8" s="1"/>
  <c r="C331" i="3"/>
  <c r="C331" i="8" s="1"/>
  <c r="B331" i="3"/>
  <c r="B331" i="8" s="1"/>
  <c r="F330" i="3"/>
  <c r="A330" i="8" s="1"/>
  <c r="E330" i="3"/>
  <c r="E330" i="8" s="1"/>
  <c r="D330" i="3"/>
  <c r="D330" i="8" s="1"/>
  <c r="C330" i="3"/>
  <c r="C330" i="8" s="1"/>
  <c r="B330" i="3"/>
  <c r="B330" i="8" s="1"/>
  <c r="F329" i="3"/>
  <c r="A329" i="8" s="1"/>
  <c r="E329" i="3"/>
  <c r="E329" i="8" s="1"/>
  <c r="D329" i="3"/>
  <c r="D329" i="8" s="1"/>
  <c r="C329" i="3"/>
  <c r="C329" i="8" s="1"/>
  <c r="B329" i="3"/>
  <c r="B329" i="8" s="1"/>
  <c r="F328" i="3"/>
  <c r="A328" i="8" s="1"/>
  <c r="E328" i="3"/>
  <c r="E328" i="8" s="1"/>
  <c r="D328" i="3"/>
  <c r="D328" i="8" s="1"/>
  <c r="C328" i="3"/>
  <c r="C328" i="8" s="1"/>
  <c r="B328" i="3"/>
  <c r="B328" i="8" s="1"/>
  <c r="F327" i="3"/>
  <c r="A327" i="8" s="1"/>
  <c r="E327" i="3"/>
  <c r="E327" i="8" s="1"/>
  <c r="D327" i="3"/>
  <c r="D327" i="8" s="1"/>
  <c r="C327" i="3"/>
  <c r="C327" i="8" s="1"/>
  <c r="B327" i="3"/>
  <c r="B327" i="8" s="1"/>
  <c r="F326" i="3"/>
  <c r="A326" i="8" s="1"/>
  <c r="E326" i="3"/>
  <c r="E326" i="8" s="1"/>
  <c r="D326" i="3"/>
  <c r="D326" i="8" s="1"/>
  <c r="C326" i="3"/>
  <c r="C326" i="8" s="1"/>
  <c r="B326" i="3"/>
  <c r="B326" i="8" s="1"/>
  <c r="F325" i="3"/>
  <c r="A325" i="8" s="1"/>
  <c r="E325" i="3"/>
  <c r="E325" i="8" s="1"/>
  <c r="D325" i="3"/>
  <c r="D325" i="8" s="1"/>
  <c r="C325" i="3"/>
  <c r="C325" i="8" s="1"/>
  <c r="B325" i="3"/>
  <c r="B325" i="8" s="1"/>
  <c r="F324" i="3"/>
  <c r="A324" i="8" s="1"/>
  <c r="E324" i="3"/>
  <c r="E324" i="8" s="1"/>
  <c r="D324" i="3"/>
  <c r="D324" i="8" s="1"/>
  <c r="C324" i="3"/>
  <c r="C324" i="8" s="1"/>
  <c r="B324" i="3"/>
  <c r="B324" i="8" s="1"/>
  <c r="F323" i="3"/>
  <c r="A323" i="8" s="1"/>
  <c r="E323" i="3"/>
  <c r="E323" i="8" s="1"/>
  <c r="D323" i="3"/>
  <c r="D323" i="8" s="1"/>
  <c r="C323" i="3"/>
  <c r="C323" i="8" s="1"/>
  <c r="B323" i="3"/>
  <c r="B323" i="8" s="1"/>
  <c r="F322" i="3"/>
  <c r="A322" i="8" s="1"/>
  <c r="E322" i="3"/>
  <c r="E322" i="8" s="1"/>
  <c r="D322" i="3"/>
  <c r="D322" i="8" s="1"/>
  <c r="C322" i="3"/>
  <c r="C322" i="8" s="1"/>
  <c r="B322" i="3"/>
  <c r="B322" i="8" s="1"/>
  <c r="F321" i="3"/>
  <c r="A321" i="8" s="1"/>
  <c r="E321" i="3"/>
  <c r="E321" i="8" s="1"/>
  <c r="D321" i="3"/>
  <c r="D321" i="8" s="1"/>
  <c r="C321" i="3"/>
  <c r="C321" i="8" s="1"/>
  <c r="B321" i="3"/>
  <c r="B321" i="8" s="1"/>
  <c r="F320" i="3"/>
  <c r="A320" i="8" s="1"/>
  <c r="E320" i="3"/>
  <c r="E320" i="8" s="1"/>
  <c r="D320" i="3"/>
  <c r="D320" i="8" s="1"/>
  <c r="C320" i="3"/>
  <c r="C320" i="8" s="1"/>
  <c r="B320" i="3"/>
  <c r="B320" i="8" s="1"/>
  <c r="F319" i="3"/>
  <c r="A319" i="8" s="1"/>
  <c r="E319" i="3"/>
  <c r="E319" i="8" s="1"/>
  <c r="D319" i="3"/>
  <c r="D319" i="8" s="1"/>
  <c r="C319" i="3"/>
  <c r="C319" i="8" s="1"/>
  <c r="B319" i="3"/>
  <c r="B319" i="8" s="1"/>
  <c r="F318" i="3"/>
  <c r="A318" i="8" s="1"/>
  <c r="E318" i="3"/>
  <c r="E318" i="8" s="1"/>
  <c r="D318" i="3"/>
  <c r="D318" i="8" s="1"/>
  <c r="C318" i="3"/>
  <c r="C318" i="8" s="1"/>
  <c r="B318" i="3"/>
  <c r="B318" i="8" s="1"/>
  <c r="F317" i="3"/>
  <c r="A317" i="8" s="1"/>
  <c r="E317" i="3"/>
  <c r="E317" i="8" s="1"/>
  <c r="D317" i="3"/>
  <c r="D317" i="8" s="1"/>
  <c r="C317" i="3"/>
  <c r="C317" i="8" s="1"/>
  <c r="B317" i="3"/>
  <c r="B317" i="8" s="1"/>
  <c r="F316" i="3"/>
  <c r="A316" i="8" s="1"/>
  <c r="E316" i="3"/>
  <c r="E316" i="8" s="1"/>
  <c r="D316" i="3"/>
  <c r="D316" i="8" s="1"/>
  <c r="C316" i="3"/>
  <c r="C316" i="8" s="1"/>
  <c r="B316" i="3"/>
  <c r="B316" i="8" s="1"/>
  <c r="F315" i="3"/>
  <c r="A315" i="8" s="1"/>
  <c r="E315" i="3"/>
  <c r="E315" i="8" s="1"/>
  <c r="D315" i="3"/>
  <c r="D315" i="8" s="1"/>
  <c r="C315" i="3"/>
  <c r="C315" i="8" s="1"/>
  <c r="B315" i="3"/>
  <c r="B315" i="8" s="1"/>
  <c r="F314" i="3"/>
  <c r="A314" i="8" s="1"/>
  <c r="E314" i="3"/>
  <c r="E314" i="8" s="1"/>
  <c r="D314" i="3"/>
  <c r="D314" i="8" s="1"/>
  <c r="C314" i="3"/>
  <c r="C314" i="8" s="1"/>
  <c r="B314" i="3"/>
  <c r="B314" i="8" s="1"/>
  <c r="F313" i="3"/>
  <c r="A313" i="8" s="1"/>
  <c r="E313" i="3"/>
  <c r="E313" i="8" s="1"/>
  <c r="D313" i="3"/>
  <c r="D313" i="8" s="1"/>
  <c r="C313" i="3"/>
  <c r="C313" i="8" s="1"/>
  <c r="B313" i="3"/>
  <c r="B313" i="8" s="1"/>
  <c r="F312" i="3"/>
  <c r="A312" i="8" s="1"/>
  <c r="E312" i="3"/>
  <c r="E312" i="8" s="1"/>
  <c r="D312" i="3"/>
  <c r="D312" i="8" s="1"/>
  <c r="C312" i="3"/>
  <c r="C312" i="8" s="1"/>
  <c r="B312" i="3"/>
  <c r="B312" i="8" s="1"/>
  <c r="F311" i="3"/>
  <c r="A311" i="8" s="1"/>
  <c r="E311" i="3"/>
  <c r="E311" i="8" s="1"/>
  <c r="D311" i="3"/>
  <c r="D311" i="8" s="1"/>
  <c r="C311" i="3"/>
  <c r="C311" i="8" s="1"/>
  <c r="B311" i="3"/>
  <c r="B311" i="8" s="1"/>
  <c r="F310" i="3"/>
  <c r="A310" i="8" s="1"/>
  <c r="E310" i="3"/>
  <c r="E310" i="8" s="1"/>
  <c r="D310" i="3"/>
  <c r="D310" i="8" s="1"/>
  <c r="C310" i="3"/>
  <c r="C310" i="8" s="1"/>
  <c r="B310" i="3"/>
  <c r="B310" i="8" s="1"/>
  <c r="F309" i="3"/>
  <c r="A309" i="8" s="1"/>
  <c r="E309" i="3"/>
  <c r="E309" i="8" s="1"/>
  <c r="D309" i="3"/>
  <c r="D309" i="8" s="1"/>
  <c r="C309" i="3"/>
  <c r="C309" i="8" s="1"/>
  <c r="B309" i="3"/>
  <c r="B309" i="8" s="1"/>
  <c r="F308" i="3"/>
  <c r="A308" i="8" s="1"/>
  <c r="E308" i="3"/>
  <c r="E308" i="8" s="1"/>
  <c r="D308" i="3"/>
  <c r="D308" i="8" s="1"/>
  <c r="C308" i="3"/>
  <c r="C308" i="8" s="1"/>
  <c r="B308" i="3"/>
  <c r="B308" i="8" s="1"/>
  <c r="F307" i="3"/>
  <c r="A307" i="8" s="1"/>
  <c r="E307" i="3"/>
  <c r="E307" i="8" s="1"/>
  <c r="D307" i="3"/>
  <c r="D307" i="8" s="1"/>
  <c r="C307" i="3"/>
  <c r="C307" i="8" s="1"/>
  <c r="B307" i="3"/>
  <c r="B307" i="8" s="1"/>
  <c r="F306" i="3"/>
  <c r="A306" i="8" s="1"/>
  <c r="E306" i="3"/>
  <c r="E306" i="8" s="1"/>
  <c r="D306" i="3"/>
  <c r="D306" i="8" s="1"/>
  <c r="C306" i="3"/>
  <c r="C306" i="8" s="1"/>
  <c r="B306" i="3"/>
  <c r="B306" i="8" s="1"/>
  <c r="F305" i="3"/>
  <c r="A305" i="8" s="1"/>
  <c r="E305" i="3"/>
  <c r="E305" i="8" s="1"/>
  <c r="D305" i="3"/>
  <c r="D305" i="8" s="1"/>
  <c r="C305" i="3"/>
  <c r="C305" i="8" s="1"/>
  <c r="B305" i="3"/>
  <c r="B305" i="8" s="1"/>
  <c r="F304" i="3"/>
  <c r="A304" i="8" s="1"/>
  <c r="E304" i="3"/>
  <c r="E304" i="8" s="1"/>
  <c r="D304" i="3"/>
  <c r="D304" i="8" s="1"/>
  <c r="C304" i="3"/>
  <c r="C304" i="8" s="1"/>
  <c r="B304" i="3"/>
  <c r="B304" i="8" s="1"/>
  <c r="F303" i="3"/>
  <c r="A303" i="8" s="1"/>
  <c r="E303" i="3"/>
  <c r="E303" i="8" s="1"/>
  <c r="D303" i="3"/>
  <c r="D303" i="8" s="1"/>
  <c r="C303" i="3"/>
  <c r="C303" i="8" s="1"/>
  <c r="B303" i="3"/>
  <c r="B303" i="8" s="1"/>
  <c r="F302" i="3"/>
  <c r="A302" i="8" s="1"/>
  <c r="E302" i="3"/>
  <c r="E302" i="8" s="1"/>
  <c r="D302" i="3"/>
  <c r="D302" i="8" s="1"/>
  <c r="C302" i="3"/>
  <c r="C302" i="8" s="1"/>
  <c r="B302" i="3"/>
  <c r="B302" i="8" s="1"/>
  <c r="F301" i="3"/>
  <c r="A301" i="8" s="1"/>
  <c r="E301" i="3"/>
  <c r="E301" i="8" s="1"/>
  <c r="D301" i="3"/>
  <c r="D301" i="8" s="1"/>
  <c r="C301" i="3"/>
  <c r="C301" i="8" s="1"/>
  <c r="B301" i="3"/>
  <c r="B301" i="8" s="1"/>
  <c r="F300" i="3"/>
  <c r="A300" i="8" s="1"/>
  <c r="E300" i="3"/>
  <c r="E300" i="8" s="1"/>
  <c r="D300" i="3"/>
  <c r="D300" i="8" s="1"/>
  <c r="C300" i="3"/>
  <c r="C300" i="8" s="1"/>
  <c r="B300" i="3"/>
  <c r="B300" i="8" s="1"/>
  <c r="F299" i="3"/>
  <c r="A299" i="8" s="1"/>
  <c r="E299" i="3"/>
  <c r="E299" i="8" s="1"/>
  <c r="D299" i="3"/>
  <c r="D299" i="8" s="1"/>
  <c r="C299" i="3"/>
  <c r="C299" i="8" s="1"/>
  <c r="B299" i="3"/>
  <c r="B299" i="8" s="1"/>
  <c r="F298" i="3"/>
  <c r="A298" i="8" s="1"/>
  <c r="E298" i="3"/>
  <c r="E298" i="8" s="1"/>
  <c r="D298" i="3"/>
  <c r="D298" i="8" s="1"/>
  <c r="C298" i="3"/>
  <c r="C298" i="8" s="1"/>
  <c r="B298" i="3"/>
  <c r="B298" i="8" s="1"/>
  <c r="F297" i="3"/>
  <c r="A297" i="8" s="1"/>
  <c r="E297" i="3"/>
  <c r="E297" i="8" s="1"/>
  <c r="D297" i="3"/>
  <c r="D297" i="8" s="1"/>
  <c r="C297" i="3"/>
  <c r="C297" i="8" s="1"/>
  <c r="B297" i="3"/>
  <c r="B297" i="8" s="1"/>
  <c r="F296" i="3"/>
  <c r="A296" i="8" s="1"/>
  <c r="E296" i="3"/>
  <c r="E296" i="8" s="1"/>
  <c r="D296" i="3"/>
  <c r="D296" i="8" s="1"/>
  <c r="C296" i="3"/>
  <c r="C296" i="8" s="1"/>
  <c r="B296" i="3"/>
  <c r="B296" i="8" s="1"/>
  <c r="F295" i="3"/>
  <c r="A295" i="8" s="1"/>
  <c r="E295" i="3"/>
  <c r="E295" i="8" s="1"/>
  <c r="D295" i="3"/>
  <c r="D295" i="8" s="1"/>
  <c r="C295" i="3"/>
  <c r="C295" i="8" s="1"/>
  <c r="B295" i="3"/>
  <c r="B295" i="8" s="1"/>
  <c r="F294" i="3"/>
  <c r="A294" i="8" s="1"/>
  <c r="E294" i="3"/>
  <c r="E294" i="8" s="1"/>
  <c r="D294" i="3"/>
  <c r="D294" i="8" s="1"/>
  <c r="C294" i="3"/>
  <c r="C294" i="8" s="1"/>
  <c r="B294" i="3"/>
  <c r="B294" i="8" s="1"/>
  <c r="F293" i="3"/>
  <c r="A293" i="8" s="1"/>
  <c r="E293" i="3"/>
  <c r="E293" i="8" s="1"/>
  <c r="D293" i="3"/>
  <c r="D293" i="8" s="1"/>
  <c r="C293" i="3"/>
  <c r="C293" i="8" s="1"/>
  <c r="B293" i="3"/>
  <c r="B293" i="8" s="1"/>
  <c r="F292" i="3"/>
  <c r="A292" i="8" s="1"/>
  <c r="E292" i="3"/>
  <c r="E292" i="8" s="1"/>
  <c r="D292" i="3"/>
  <c r="D292" i="8" s="1"/>
  <c r="C292" i="3"/>
  <c r="C292" i="8" s="1"/>
  <c r="B292" i="3"/>
  <c r="B292" i="8" s="1"/>
  <c r="F291" i="3"/>
  <c r="A291" i="8" s="1"/>
  <c r="E291" i="3"/>
  <c r="E291" i="8" s="1"/>
  <c r="D291" i="3"/>
  <c r="D291" i="8" s="1"/>
  <c r="C291" i="3"/>
  <c r="C291" i="8" s="1"/>
  <c r="B291" i="3"/>
  <c r="B291" i="8" s="1"/>
  <c r="F290" i="3"/>
  <c r="A290" i="8" s="1"/>
  <c r="E290" i="3"/>
  <c r="E290" i="8" s="1"/>
  <c r="D290" i="3"/>
  <c r="D290" i="8" s="1"/>
  <c r="C290" i="3"/>
  <c r="C290" i="8" s="1"/>
  <c r="B290" i="3"/>
  <c r="B290" i="8" s="1"/>
  <c r="F289" i="3"/>
  <c r="A289" i="8" s="1"/>
  <c r="E289" i="3"/>
  <c r="E289" i="8" s="1"/>
  <c r="D289" i="3"/>
  <c r="D289" i="8" s="1"/>
  <c r="C289" i="3"/>
  <c r="C289" i="8" s="1"/>
  <c r="B289" i="3"/>
  <c r="B289" i="8" s="1"/>
  <c r="F288" i="3"/>
  <c r="A288" i="8" s="1"/>
  <c r="E288" i="3"/>
  <c r="E288" i="8" s="1"/>
  <c r="D288" i="3"/>
  <c r="D288" i="8" s="1"/>
  <c r="C288" i="3"/>
  <c r="C288" i="8" s="1"/>
  <c r="B288" i="3"/>
  <c r="B288" i="8" s="1"/>
  <c r="F287" i="3"/>
  <c r="A287" i="8" s="1"/>
  <c r="E287" i="3"/>
  <c r="E287" i="8" s="1"/>
  <c r="D287" i="3"/>
  <c r="D287" i="8" s="1"/>
  <c r="C287" i="3"/>
  <c r="C287" i="8" s="1"/>
  <c r="B287" i="3"/>
  <c r="B287" i="8" s="1"/>
  <c r="F286" i="3"/>
  <c r="A286" i="8" s="1"/>
  <c r="E286" i="3"/>
  <c r="E286" i="8" s="1"/>
  <c r="D286" i="3"/>
  <c r="D286" i="8" s="1"/>
  <c r="C286" i="3"/>
  <c r="C286" i="8" s="1"/>
  <c r="B286" i="3"/>
  <c r="B286" i="8" s="1"/>
  <c r="F285" i="3"/>
  <c r="A285" i="8" s="1"/>
  <c r="E285" i="3"/>
  <c r="E285" i="8" s="1"/>
  <c r="D285" i="3"/>
  <c r="D285" i="8" s="1"/>
  <c r="C285" i="3"/>
  <c r="C285" i="8" s="1"/>
  <c r="B285" i="3"/>
  <c r="B285" i="8" s="1"/>
  <c r="F284" i="3"/>
  <c r="A284" i="8" s="1"/>
  <c r="E284" i="3"/>
  <c r="E284" i="8" s="1"/>
  <c r="D284" i="3"/>
  <c r="D284" i="8" s="1"/>
  <c r="C284" i="3"/>
  <c r="C284" i="8" s="1"/>
  <c r="B284" i="3"/>
  <c r="B284" i="8" s="1"/>
  <c r="F283" i="3"/>
  <c r="A283" i="8" s="1"/>
  <c r="E283" i="3"/>
  <c r="E283" i="8" s="1"/>
  <c r="D283" i="3"/>
  <c r="D283" i="8" s="1"/>
  <c r="C283" i="3"/>
  <c r="C283" i="8" s="1"/>
  <c r="B283" i="3"/>
  <c r="B283" i="8" s="1"/>
  <c r="F282" i="3"/>
  <c r="A282" i="8" s="1"/>
  <c r="E282" i="3"/>
  <c r="E282" i="8" s="1"/>
  <c r="D282" i="3"/>
  <c r="D282" i="8" s="1"/>
  <c r="C282" i="3"/>
  <c r="C282" i="8" s="1"/>
  <c r="B282" i="3"/>
  <c r="B282" i="8" s="1"/>
  <c r="F281" i="3"/>
  <c r="A281" i="8" s="1"/>
  <c r="E281" i="3"/>
  <c r="E281" i="8" s="1"/>
  <c r="D281" i="3"/>
  <c r="D281" i="8" s="1"/>
  <c r="C281" i="3"/>
  <c r="C281" i="8" s="1"/>
  <c r="B281" i="3"/>
  <c r="B281" i="8" s="1"/>
  <c r="F280" i="3"/>
  <c r="A280" i="8" s="1"/>
  <c r="E280" i="3"/>
  <c r="E280" i="8" s="1"/>
  <c r="D280" i="3"/>
  <c r="D280" i="8" s="1"/>
  <c r="C280" i="3"/>
  <c r="C280" i="8" s="1"/>
  <c r="B280" i="3"/>
  <c r="B280" i="8" s="1"/>
  <c r="F279" i="3"/>
  <c r="A279" i="8" s="1"/>
  <c r="E279" i="3"/>
  <c r="E279" i="8" s="1"/>
  <c r="D279" i="3"/>
  <c r="D279" i="8" s="1"/>
  <c r="C279" i="3"/>
  <c r="C279" i="8" s="1"/>
  <c r="B279" i="3"/>
  <c r="B279" i="8" s="1"/>
  <c r="F278" i="3"/>
  <c r="A278" i="8" s="1"/>
  <c r="E278" i="3"/>
  <c r="E278" i="8" s="1"/>
  <c r="D278" i="3"/>
  <c r="D278" i="8" s="1"/>
  <c r="C278" i="3"/>
  <c r="C278" i="8" s="1"/>
  <c r="B278" i="3"/>
  <c r="B278" i="8" s="1"/>
  <c r="F277" i="3"/>
  <c r="A277" i="8" s="1"/>
  <c r="E277" i="3"/>
  <c r="E277" i="8" s="1"/>
  <c r="D277" i="3"/>
  <c r="D277" i="8" s="1"/>
  <c r="C277" i="3"/>
  <c r="C277" i="8" s="1"/>
  <c r="B277" i="3"/>
  <c r="B277" i="8" s="1"/>
  <c r="F276" i="3"/>
  <c r="A276" i="8" s="1"/>
  <c r="E276" i="3"/>
  <c r="E276" i="8" s="1"/>
  <c r="D276" i="3"/>
  <c r="D276" i="8" s="1"/>
  <c r="C276" i="3"/>
  <c r="C276" i="8" s="1"/>
  <c r="B276" i="3"/>
  <c r="B276" i="8" s="1"/>
  <c r="F275" i="3"/>
  <c r="A275" i="8" s="1"/>
  <c r="E275" i="3"/>
  <c r="E275" i="8" s="1"/>
  <c r="D275" i="3"/>
  <c r="D275" i="8" s="1"/>
  <c r="C275" i="3"/>
  <c r="C275" i="8" s="1"/>
  <c r="B275" i="3"/>
  <c r="B275" i="8" s="1"/>
  <c r="F274" i="3"/>
  <c r="A274" i="8" s="1"/>
  <c r="E274" i="3"/>
  <c r="E274" i="8" s="1"/>
  <c r="D274" i="3"/>
  <c r="D274" i="8" s="1"/>
  <c r="C274" i="3"/>
  <c r="C274" i="8" s="1"/>
  <c r="B274" i="3"/>
  <c r="B274" i="8" s="1"/>
  <c r="F273" i="3"/>
  <c r="A273" i="8" s="1"/>
  <c r="E273" i="3"/>
  <c r="E273" i="8" s="1"/>
  <c r="D273" i="3"/>
  <c r="D273" i="8" s="1"/>
  <c r="C273" i="3"/>
  <c r="C273" i="8" s="1"/>
  <c r="B273" i="3"/>
  <c r="B273" i="8" s="1"/>
  <c r="F272" i="3"/>
  <c r="A272" i="8" s="1"/>
  <c r="E272" i="3"/>
  <c r="E272" i="8" s="1"/>
  <c r="D272" i="3"/>
  <c r="D272" i="8" s="1"/>
  <c r="C272" i="3"/>
  <c r="C272" i="8" s="1"/>
  <c r="B272" i="3"/>
  <c r="B272" i="8" s="1"/>
  <c r="F271" i="3"/>
  <c r="A271" i="8" s="1"/>
  <c r="E271" i="3"/>
  <c r="E271" i="8" s="1"/>
  <c r="D271" i="3"/>
  <c r="D271" i="8" s="1"/>
  <c r="C271" i="3"/>
  <c r="C271" i="8" s="1"/>
  <c r="B271" i="3"/>
  <c r="B271" i="8" s="1"/>
  <c r="F270" i="3"/>
  <c r="A270" i="8" s="1"/>
  <c r="E270" i="3"/>
  <c r="E270" i="8" s="1"/>
  <c r="D270" i="3"/>
  <c r="D270" i="8" s="1"/>
  <c r="C270" i="3"/>
  <c r="C270" i="8" s="1"/>
  <c r="B270" i="3"/>
  <c r="B270" i="8" s="1"/>
  <c r="F269" i="3"/>
  <c r="A269" i="8" s="1"/>
  <c r="E269" i="3"/>
  <c r="E269" i="8" s="1"/>
  <c r="D269" i="3"/>
  <c r="D269" i="8" s="1"/>
  <c r="C269" i="3"/>
  <c r="C269" i="8" s="1"/>
  <c r="B269" i="3"/>
  <c r="B269" i="8" s="1"/>
  <c r="F268" i="3"/>
  <c r="A268" i="8" s="1"/>
  <c r="E268" i="3"/>
  <c r="E268" i="8" s="1"/>
  <c r="D268" i="3"/>
  <c r="D268" i="8" s="1"/>
  <c r="C268" i="3"/>
  <c r="C268" i="8" s="1"/>
  <c r="B268" i="3"/>
  <c r="B268" i="8" s="1"/>
  <c r="F267" i="3"/>
  <c r="A267" i="8" s="1"/>
  <c r="E267" i="3"/>
  <c r="E267" i="8" s="1"/>
  <c r="D267" i="3"/>
  <c r="D267" i="8" s="1"/>
  <c r="C267" i="3"/>
  <c r="C267" i="8" s="1"/>
  <c r="B267" i="3"/>
  <c r="B267" i="8" s="1"/>
  <c r="F266" i="3"/>
  <c r="A266" i="8" s="1"/>
  <c r="E266" i="3"/>
  <c r="E266" i="8" s="1"/>
  <c r="D266" i="3"/>
  <c r="D266" i="8" s="1"/>
  <c r="C266" i="3"/>
  <c r="C266" i="8" s="1"/>
  <c r="B266" i="3"/>
  <c r="B266" i="8" s="1"/>
  <c r="F265" i="3"/>
  <c r="A265" i="8" s="1"/>
  <c r="E265" i="3"/>
  <c r="E265" i="8" s="1"/>
  <c r="D265" i="3"/>
  <c r="D265" i="8" s="1"/>
  <c r="C265" i="3"/>
  <c r="C265" i="8" s="1"/>
  <c r="B265" i="3"/>
  <c r="B265" i="8" s="1"/>
  <c r="F264" i="3"/>
  <c r="A264" i="8" s="1"/>
  <c r="E264" i="3"/>
  <c r="E264" i="8" s="1"/>
  <c r="D264" i="3"/>
  <c r="D264" i="8" s="1"/>
  <c r="C264" i="3"/>
  <c r="C264" i="8" s="1"/>
  <c r="B264" i="3"/>
  <c r="B264" i="8" s="1"/>
  <c r="F263" i="3"/>
  <c r="A263" i="8" s="1"/>
  <c r="E263" i="3"/>
  <c r="E263" i="8" s="1"/>
  <c r="D263" i="3"/>
  <c r="D263" i="8" s="1"/>
  <c r="C263" i="3"/>
  <c r="C263" i="8" s="1"/>
  <c r="B263" i="3"/>
  <c r="B263" i="8" s="1"/>
  <c r="F262" i="3"/>
  <c r="A262" i="8" s="1"/>
  <c r="E262" i="3"/>
  <c r="E262" i="8" s="1"/>
  <c r="D262" i="3"/>
  <c r="D262" i="8" s="1"/>
  <c r="C262" i="3"/>
  <c r="C262" i="8" s="1"/>
  <c r="B262" i="3"/>
  <c r="B262" i="8" s="1"/>
  <c r="F261" i="3"/>
  <c r="A261" i="8" s="1"/>
  <c r="E261" i="3"/>
  <c r="E261" i="8" s="1"/>
  <c r="D261" i="3"/>
  <c r="D261" i="8" s="1"/>
  <c r="C261" i="3"/>
  <c r="C261" i="8" s="1"/>
  <c r="B261" i="3"/>
  <c r="B261" i="8" s="1"/>
  <c r="F260" i="3"/>
  <c r="A260" i="8" s="1"/>
  <c r="E260" i="3"/>
  <c r="E260" i="8" s="1"/>
  <c r="D260" i="3"/>
  <c r="D260" i="8" s="1"/>
  <c r="C260" i="3"/>
  <c r="C260" i="8" s="1"/>
  <c r="B260" i="3"/>
  <c r="B260" i="8" s="1"/>
  <c r="F259" i="3"/>
  <c r="A259" i="8" s="1"/>
  <c r="E259" i="3"/>
  <c r="E259" i="8" s="1"/>
  <c r="D259" i="3"/>
  <c r="D259" i="8" s="1"/>
  <c r="C259" i="3"/>
  <c r="C259" i="8" s="1"/>
  <c r="B259" i="3"/>
  <c r="B259" i="8" s="1"/>
  <c r="F258" i="3"/>
  <c r="A258" i="8" s="1"/>
  <c r="E258" i="3"/>
  <c r="E258" i="8" s="1"/>
  <c r="D258" i="3"/>
  <c r="D258" i="8" s="1"/>
  <c r="C258" i="3"/>
  <c r="C258" i="8" s="1"/>
  <c r="B258" i="3"/>
  <c r="B258" i="8" s="1"/>
  <c r="F257" i="3"/>
  <c r="A257" i="8" s="1"/>
  <c r="E257" i="3"/>
  <c r="E257" i="8" s="1"/>
  <c r="D257" i="3"/>
  <c r="D257" i="8" s="1"/>
  <c r="C257" i="3"/>
  <c r="C257" i="8" s="1"/>
  <c r="B257" i="3"/>
  <c r="B257" i="8" s="1"/>
  <c r="F256" i="3"/>
  <c r="A256" i="8" s="1"/>
  <c r="E256" i="3"/>
  <c r="E256" i="8" s="1"/>
  <c r="D256" i="3"/>
  <c r="D256" i="8" s="1"/>
  <c r="C256" i="3"/>
  <c r="C256" i="8" s="1"/>
  <c r="B256" i="3"/>
  <c r="B256" i="8" s="1"/>
  <c r="F255" i="3"/>
  <c r="A255" i="8" s="1"/>
  <c r="E255" i="3"/>
  <c r="E255" i="8" s="1"/>
  <c r="D255" i="3"/>
  <c r="D255" i="8" s="1"/>
  <c r="C255" i="3"/>
  <c r="C255" i="8" s="1"/>
  <c r="B255" i="3"/>
  <c r="B255" i="8" s="1"/>
  <c r="F254" i="3"/>
  <c r="A254" i="8" s="1"/>
  <c r="E254" i="3"/>
  <c r="E254" i="8" s="1"/>
  <c r="D254" i="3"/>
  <c r="D254" i="8" s="1"/>
  <c r="C254" i="3"/>
  <c r="C254" i="8" s="1"/>
  <c r="B254" i="3"/>
  <c r="B254" i="8" s="1"/>
  <c r="F253" i="3"/>
  <c r="A253" i="8" s="1"/>
  <c r="E253" i="3"/>
  <c r="E253" i="8" s="1"/>
  <c r="D253" i="3"/>
  <c r="D253" i="8" s="1"/>
  <c r="C253" i="3"/>
  <c r="C253" i="8" s="1"/>
  <c r="B253" i="3"/>
  <c r="B253" i="8" s="1"/>
  <c r="F252" i="3"/>
  <c r="A252" i="8" s="1"/>
  <c r="E252" i="3"/>
  <c r="E252" i="8" s="1"/>
  <c r="D252" i="3"/>
  <c r="D252" i="8" s="1"/>
  <c r="C252" i="3"/>
  <c r="C252" i="8" s="1"/>
  <c r="B252" i="3"/>
  <c r="B252" i="8" s="1"/>
  <c r="F251" i="3"/>
  <c r="A251" i="8" s="1"/>
  <c r="E251" i="3"/>
  <c r="E251" i="8" s="1"/>
  <c r="D251" i="3"/>
  <c r="D251" i="8" s="1"/>
  <c r="C251" i="3"/>
  <c r="C251" i="8" s="1"/>
  <c r="B251" i="3"/>
  <c r="B251" i="8" s="1"/>
  <c r="F250" i="3"/>
  <c r="A250" i="8" s="1"/>
  <c r="E250" i="3"/>
  <c r="E250" i="8" s="1"/>
  <c r="D250" i="3"/>
  <c r="D250" i="8" s="1"/>
  <c r="C250" i="3"/>
  <c r="C250" i="8" s="1"/>
  <c r="B250" i="3"/>
  <c r="B250" i="8" s="1"/>
  <c r="F249" i="3"/>
  <c r="A249" i="8" s="1"/>
  <c r="E249" i="3"/>
  <c r="E249" i="8" s="1"/>
  <c r="D249" i="3"/>
  <c r="D249" i="8" s="1"/>
  <c r="C249" i="3"/>
  <c r="C249" i="8" s="1"/>
  <c r="B249" i="3"/>
  <c r="B249" i="8" s="1"/>
  <c r="F248" i="3"/>
  <c r="A248" i="8" s="1"/>
  <c r="E248" i="3"/>
  <c r="E248" i="8" s="1"/>
  <c r="D248" i="3"/>
  <c r="D248" i="8" s="1"/>
  <c r="C248" i="3"/>
  <c r="C248" i="8" s="1"/>
  <c r="B248" i="3"/>
  <c r="B248" i="8" s="1"/>
  <c r="F247" i="3"/>
  <c r="A247" i="8" s="1"/>
  <c r="E247" i="3"/>
  <c r="E247" i="8" s="1"/>
  <c r="D247" i="3"/>
  <c r="D247" i="8" s="1"/>
  <c r="C247" i="3"/>
  <c r="C247" i="8" s="1"/>
  <c r="B247" i="3"/>
  <c r="B247" i="8" s="1"/>
  <c r="F246" i="3"/>
  <c r="A246" i="8" s="1"/>
  <c r="E246" i="3"/>
  <c r="E246" i="8" s="1"/>
  <c r="D246" i="3"/>
  <c r="D246" i="8" s="1"/>
  <c r="C246" i="3"/>
  <c r="C246" i="8" s="1"/>
  <c r="B246" i="3"/>
  <c r="B246" i="8" s="1"/>
  <c r="F245" i="3"/>
  <c r="A245" i="8" s="1"/>
  <c r="E245" i="3"/>
  <c r="E245" i="8" s="1"/>
  <c r="D245" i="3"/>
  <c r="D245" i="8" s="1"/>
  <c r="C245" i="3"/>
  <c r="C245" i="8" s="1"/>
  <c r="B245" i="3"/>
  <c r="B245" i="8" s="1"/>
  <c r="F244" i="3"/>
  <c r="A244" i="8" s="1"/>
  <c r="E244" i="3"/>
  <c r="E244" i="8" s="1"/>
  <c r="D244" i="3"/>
  <c r="D244" i="8" s="1"/>
  <c r="C244" i="3"/>
  <c r="C244" i="8" s="1"/>
  <c r="B244" i="3"/>
  <c r="B244" i="8" s="1"/>
  <c r="F243" i="3"/>
  <c r="A243" i="8" s="1"/>
  <c r="E243" i="3"/>
  <c r="E243" i="8" s="1"/>
  <c r="D243" i="3"/>
  <c r="D243" i="8" s="1"/>
  <c r="C243" i="3"/>
  <c r="C243" i="8" s="1"/>
  <c r="B243" i="3"/>
  <c r="B243" i="8" s="1"/>
  <c r="F242" i="3"/>
  <c r="A242" i="8" s="1"/>
  <c r="E242" i="3"/>
  <c r="E242" i="8" s="1"/>
  <c r="D242" i="3"/>
  <c r="D242" i="8" s="1"/>
  <c r="C242" i="3"/>
  <c r="C242" i="8" s="1"/>
  <c r="B242" i="3"/>
  <c r="B242" i="8" s="1"/>
  <c r="F241" i="3"/>
  <c r="A241" i="8" s="1"/>
  <c r="E241" i="3"/>
  <c r="E241" i="8" s="1"/>
  <c r="D241" i="3"/>
  <c r="D241" i="8" s="1"/>
  <c r="C241" i="3"/>
  <c r="C241" i="8" s="1"/>
  <c r="B241" i="3"/>
  <c r="B241" i="8" s="1"/>
  <c r="F240" i="3"/>
  <c r="A240" i="8" s="1"/>
  <c r="E240" i="3"/>
  <c r="E240" i="8" s="1"/>
  <c r="D240" i="3"/>
  <c r="D240" i="8" s="1"/>
  <c r="C240" i="3"/>
  <c r="C240" i="8" s="1"/>
  <c r="B240" i="3"/>
  <c r="B240" i="8" s="1"/>
  <c r="F239" i="3"/>
  <c r="A239" i="8" s="1"/>
  <c r="E239" i="3"/>
  <c r="E239" i="8" s="1"/>
  <c r="D239" i="3"/>
  <c r="D239" i="8" s="1"/>
  <c r="C239" i="3"/>
  <c r="C239" i="8" s="1"/>
  <c r="B239" i="3"/>
  <c r="B239" i="8" s="1"/>
  <c r="F238" i="3"/>
  <c r="A238" i="8" s="1"/>
  <c r="E238" i="3"/>
  <c r="E238" i="8" s="1"/>
  <c r="D238" i="3"/>
  <c r="D238" i="8" s="1"/>
  <c r="C238" i="3"/>
  <c r="C238" i="8" s="1"/>
  <c r="B238" i="3"/>
  <c r="B238" i="8" s="1"/>
  <c r="F237" i="3"/>
  <c r="A237" i="8" s="1"/>
  <c r="E237" i="3"/>
  <c r="E237" i="8" s="1"/>
  <c r="D237" i="3"/>
  <c r="D237" i="8" s="1"/>
  <c r="C237" i="3"/>
  <c r="C237" i="8" s="1"/>
  <c r="B237" i="3"/>
  <c r="B237" i="8" s="1"/>
  <c r="F236" i="3"/>
  <c r="A236" i="8" s="1"/>
  <c r="E236" i="3"/>
  <c r="E236" i="8" s="1"/>
  <c r="D236" i="3"/>
  <c r="D236" i="8" s="1"/>
  <c r="C236" i="3"/>
  <c r="C236" i="8" s="1"/>
  <c r="B236" i="3"/>
  <c r="B236" i="8" s="1"/>
  <c r="F235" i="3"/>
  <c r="A235" i="8" s="1"/>
  <c r="E235" i="3"/>
  <c r="E235" i="8" s="1"/>
  <c r="D235" i="3"/>
  <c r="D235" i="8" s="1"/>
  <c r="C235" i="3"/>
  <c r="C235" i="8" s="1"/>
  <c r="B235" i="3"/>
  <c r="B235" i="8" s="1"/>
  <c r="F234" i="3"/>
  <c r="A234" i="8" s="1"/>
  <c r="E234" i="3"/>
  <c r="E234" i="8" s="1"/>
  <c r="D234" i="3"/>
  <c r="D234" i="8" s="1"/>
  <c r="C234" i="3"/>
  <c r="C234" i="8" s="1"/>
  <c r="B234" i="3"/>
  <c r="B234" i="8" s="1"/>
  <c r="F233" i="3"/>
  <c r="A233" i="8" s="1"/>
  <c r="E233" i="3"/>
  <c r="E233" i="8" s="1"/>
  <c r="D233" i="3"/>
  <c r="D233" i="8" s="1"/>
  <c r="C233" i="3"/>
  <c r="C233" i="8" s="1"/>
  <c r="B233" i="3"/>
  <c r="B233" i="8" s="1"/>
  <c r="F232" i="3"/>
  <c r="A232" i="8" s="1"/>
  <c r="E232" i="3"/>
  <c r="E232" i="8" s="1"/>
  <c r="D232" i="3"/>
  <c r="D232" i="8" s="1"/>
  <c r="C232" i="3"/>
  <c r="C232" i="8" s="1"/>
  <c r="B232" i="3"/>
  <c r="B232" i="8" s="1"/>
  <c r="F231" i="3"/>
  <c r="A231" i="8" s="1"/>
  <c r="E231" i="3"/>
  <c r="E231" i="8" s="1"/>
  <c r="D231" i="3"/>
  <c r="D231" i="8" s="1"/>
  <c r="C231" i="3"/>
  <c r="C231" i="8" s="1"/>
  <c r="B231" i="3"/>
  <c r="B231" i="8" s="1"/>
  <c r="F230" i="3"/>
  <c r="A230" i="8" s="1"/>
  <c r="E230" i="3"/>
  <c r="E230" i="8" s="1"/>
  <c r="D230" i="3"/>
  <c r="D230" i="8" s="1"/>
  <c r="C230" i="3"/>
  <c r="C230" i="8" s="1"/>
  <c r="B230" i="3"/>
  <c r="B230" i="8" s="1"/>
  <c r="F229" i="3"/>
  <c r="A229" i="8" s="1"/>
  <c r="E229" i="3"/>
  <c r="E229" i="8" s="1"/>
  <c r="D229" i="3"/>
  <c r="D229" i="8" s="1"/>
  <c r="C229" i="3"/>
  <c r="C229" i="8" s="1"/>
  <c r="B229" i="3"/>
  <c r="B229" i="8" s="1"/>
  <c r="F228" i="3"/>
  <c r="A228" i="8" s="1"/>
  <c r="E228" i="3"/>
  <c r="E228" i="8" s="1"/>
  <c r="D228" i="3"/>
  <c r="D228" i="8" s="1"/>
  <c r="C228" i="3"/>
  <c r="C228" i="8" s="1"/>
  <c r="B228" i="3"/>
  <c r="B228" i="8" s="1"/>
  <c r="F227" i="3"/>
  <c r="A227" i="8" s="1"/>
  <c r="E227" i="3"/>
  <c r="E227" i="8" s="1"/>
  <c r="D227" i="3"/>
  <c r="D227" i="8" s="1"/>
  <c r="C227" i="3"/>
  <c r="C227" i="8" s="1"/>
  <c r="B227" i="3"/>
  <c r="B227" i="8" s="1"/>
  <c r="F226" i="3"/>
  <c r="A226" i="8" s="1"/>
  <c r="E226" i="3"/>
  <c r="E226" i="8" s="1"/>
  <c r="D226" i="3"/>
  <c r="D226" i="8" s="1"/>
  <c r="C226" i="3"/>
  <c r="C226" i="8" s="1"/>
  <c r="B226" i="3"/>
  <c r="B226" i="8" s="1"/>
  <c r="F225" i="3"/>
  <c r="A225" i="8" s="1"/>
  <c r="E225" i="3"/>
  <c r="E225" i="8" s="1"/>
  <c r="D225" i="3"/>
  <c r="D225" i="8" s="1"/>
  <c r="C225" i="3"/>
  <c r="C225" i="8" s="1"/>
  <c r="B225" i="3"/>
  <c r="B225" i="8" s="1"/>
  <c r="F224" i="3"/>
  <c r="A224" i="8" s="1"/>
  <c r="E224" i="3"/>
  <c r="E224" i="8" s="1"/>
  <c r="D224" i="3"/>
  <c r="D224" i="8" s="1"/>
  <c r="C224" i="3"/>
  <c r="C224" i="8" s="1"/>
  <c r="B224" i="3"/>
  <c r="B224" i="8" s="1"/>
  <c r="F223" i="3"/>
  <c r="A223" i="8" s="1"/>
  <c r="E223" i="3"/>
  <c r="E223" i="8" s="1"/>
  <c r="D223" i="3"/>
  <c r="D223" i="8" s="1"/>
  <c r="C223" i="3"/>
  <c r="C223" i="8" s="1"/>
  <c r="B223" i="3"/>
  <c r="B223" i="8" s="1"/>
  <c r="F222" i="3"/>
  <c r="A222" i="8" s="1"/>
  <c r="E222" i="3"/>
  <c r="E222" i="8" s="1"/>
  <c r="D222" i="3"/>
  <c r="D222" i="8" s="1"/>
  <c r="C222" i="3"/>
  <c r="C222" i="8" s="1"/>
  <c r="B222" i="3"/>
  <c r="B222" i="8" s="1"/>
  <c r="F221" i="3"/>
  <c r="A221" i="8" s="1"/>
  <c r="E221" i="3"/>
  <c r="E221" i="8" s="1"/>
  <c r="D221" i="3"/>
  <c r="D221" i="8" s="1"/>
  <c r="C221" i="3"/>
  <c r="C221" i="8" s="1"/>
  <c r="B221" i="3"/>
  <c r="B221" i="8" s="1"/>
  <c r="F220" i="3"/>
  <c r="A220" i="8" s="1"/>
  <c r="E220" i="3"/>
  <c r="E220" i="8" s="1"/>
  <c r="D220" i="3"/>
  <c r="D220" i="8" s="1"/>
  <c r="C220" i="3"/>
  <c r="C220" i="8" s="1"/>
  <c r="B220" i="3"/>
  <c r="B220" i="8" s="1"/>
  <c r="F219" i="3"/>
  <c r="A219" i="8" s="1"/>
  <c r="E219" i="3"/>
  <c r="E219" i="8" s="1"/>
  <c r="D219" i="3"/>
  <c r="D219" i="8" s="1"/>
  <c r="C219" i="3"/>
  <c r="C219" i="8" s="1"/>
  <c r="B219" i="3"/>
  <c r="B219" i="8" s="1"/>
  <c r="F218" i="3"/>
  <c r="A218" i="8" s="1"/>
  <c r="E218" i="3"/>
  <c r="E218" i="8" s="1"/>
  <c r="D218" i="3"/>
  <c r="D218" i="8" s="1"/>
  <c r="C218" i="3"/>
  <c r="C218" i="8" s="1"/>
  <c r="B218" i="3"/>
  <c r="B218" i="8" s="1"/>
  <c r="F217" i="3"/>
  <c r="A217" i="8" s="1"/>
  <c r="E217" i="3"/>
  <c r="E217" i="8" s="1"/>
  <c r="D217" i="3"/>
  <c r="D217" i="8" s="1"/>
  <c r="C217" i="3"/>
  <c r="C217" i="8" s="1"/>
  <c r="B217" i="3"/>
  <c r="B217" i="8" s="1"/>
  <c r="F216" i="3"/>
  <c r="A216" i="8" s="1"/>
  <c r="E216" i="3"/>
  <c r="E216" i="8" s="1"/>
  <c r="D216" i="3"/>
  <c r="D216" i="8" s="1"/>
  <c r="C216" i="3"/>
  <c r="C216" i="8" s="1"/>
  <c r="B216" i="3"/>
  <c r="B216" i="8" s="1"/>
  <c r="F215" i="3"/>
  <c r="A215" i="8" s="1"/>
  <c r="E215" i="3"/>
  <c r="E215" i="8" s="1"/>
  <c r="D215" i="3"/>
  <c r="D215" i="8" s="1"/>
  <c r="C215" i="3"/>
  <c r="C215" i="8" s="1"/>
  <c r="B215" i="3"/>
  <c r="B215" i="8" s="1"/>
  <c r="F214" i="3"/>
  <c r="A214" i="8" s="1"/>
  <c r="E214" i="3"/>
  <c r="E214" i="8" s="1"/>
  <c r="D214" i="3"/>
  <c r="D214" i="8" s="1"/>
  <c r="C214" i="3"/>
  <c r="C214" i="8" s="1"/>
  <c r="B214" i="3"/>
  <c r="B214" i="8" s="1"/>
  <c r="F213" i="3"/>
  <c r="A213" i="8" s="1"/>
  <c r="E213" i="3"/>
  <c r="E213" i="8" s="1"/>
  <c r="D213" i="3"/>
  <c r="D213" i="8" s="1"/>
  <c r="C213" i="3"/>
  <c r="C213" i="8" s="1"/>
  <c r="B213" i="3"/>
  <c r="B213" i="8" s="1"/>
  <c r="F212" i="3"/>
  <c r="A212" i="8" s="1"/>
  <c r="E212" i="3"/>
  <c r="E212" i="8" s="1"/>
  <c r="D212" i="3"/>
  <c r="D212" i="8" s="1"/>
  <c r="C212" i="3"/>
  <c r="C212" i="8" s="1"/>
  <c r="B212" i="3"/>
  <c r="B212" i="8" s="1"/>
  <c r="F211" i="3"/>
  <c r="A211" i="8" s="1"/>
  <c r="E211" i="3"/>
  <c r="E211" i="8" s="1"/>
  <c r="D211" i="3"/>
  <c r="D211" i="8" s="1"/>
  <c r="C211" i="3"/>
  <c r="C211" i="8" s="1"/>
  <c r="B211" i="3"/>
  <c r="B211" i="8" s="1"/>
  <c r="F210" i="3"/>
  <c r="A210" i="8" s="1"/>
  <c r="E210" i="3"/>
  <c r="E210" i="8" s="1"/>
  <c r="D210" i="3"/>
  <c r="D210" i="8" s="1"/>
  <c r="C210" i="3"/>
  <c r="C210" i="8" s="1"/>
  <c r="B210" i="3"/>
  <c r="B210" i="8" s="1"/>
  <c r="F209" i="3"/>
  <c r="A209" i="8" s="1"/>
  <c r="E209" i="3"/>
  <c r="E209" i="8" s="1"/>
  <c r="D209" i="3"/>
  <c r="D209" i="8" s="1"/>
  <c r="C209" i="3"/>
  <c r="C209" i="8" s="1"/>
  <c r="B209" i="3"/>
  <c r="B209" i="8" s="1"/>
  <c r="F208" i="3"/>
  <c r="A208" i="8" s="1"/>
  <c r="E208" i="3"/>
  <c r="E208" i="8" s="1"/>
  <c r="D208" i="3"/>
  <c r="D208" i="8" s="1"/>
  <c r="C208" i="3"/>
  <c r="C208" i="8" s="1"/>
  <c r="B208" i="3"/>
  <c r="B208" i="8" s="1"/>
  <c r="F207" i="3"/>
  <c r="A207" i="8" s="1"/>
  <c r="E207" i="3"/>
  <c r="E207" i="8" s="1"/>
  <c r="D207" i="3"/>
  <c r="D207" i="8" s="1"/>
  <c r="C207" i="3"/>
  <c r="C207" i="8" s="1"/>
  <c r="B207" i="3"/>
  <c r="B207" i="8" s="1"/>
  <c r="F206" i="3"/>
  <c r="A206" i="8" s="1"/>
  <c r="E206" i="3"/>
  <c r="E206" i="8" s="1"/>
  <c r="D206" i="3"/>
  <c r="D206" i="8" s="1"/>
  <c r="C206" i="3"/>
  <c r="C206" i="8" s="1"/>
  <c r="B206" i="3"/>
  <c r="B206" i="8" s="1"/>
  <c r="F205" i="3"/>
  <c r="A205" i="8" s="1"/>
  <c r="E205" i="3"/>
  <c r="E205" i="8" s="1"/>
  <c r="D205" i="3"/>
  <c r="D205" i="8" s="1"/>
  <c r="C205" i="3"/>
  <c r="C205" i="8" s="1"/>
  <c r="B205" i="3"/>
  <c r="B205" i="8" s="1"/>
  <c r="F204" i="3"/>
  <c r="A204" i="8" s="1"/>
  <c r="E204" i="3"/>
  <c r="E204" i="8" s="1"/>
  <c r="D204" i="3"/>
  <c r="D204" i="8" s="1"/>
  <c r="C204" i="3"/>
  <c r="C204" i="8" s="1"/>
  <c r="B204" i="3"/>
  <c r="B204" i="8" s="1"/>
  <c r="F203" i="3"/>
  <c r="A203" i="8" s="1"/>
  <c r="E203" i="3"/>
  <c r="E203" i="8" s="1"/>
  <c r="D203" i="3"/>
  <c r="D203" i="8" s="1"/>
  <c r="C203" i="3"/>
  <c r="C203" i="8" s="1"/>
  <c r="B203" i="3"/>
  <c r="B203" i="8" s="1"/>
  <c r="F202" i="3"/>
  <c r="A202" i="8" s="1"/>
  <c r="E202" i="3"/>
  <c r="E202" i="8" s="1"/>
  <c r="D202" i="3"/>
  <c r="D202" i="8" s="1"/>
  <c r="C202" i="3"/>
  <c r="C202" i="8" s="1"/>
  <c r="B202" i="3"/>
  <c r="B202" i="8" s="1"/>
  <c r="F201" i="3"/>
  <c r="A201" i="8" s="1"/>
  <c r="E201" i="3"/>
  <c r="E201" i="8" s="1"/>
  <c r="D201" i="3"/>
  <c r="D201" i="8" s="1"/>
  <c r="C201" i="3"/>
  <c r="C201" i="8" s="1"/>
  <c r="B201" i="3"/>
  <c r="B201" i="8" s="1"/>
  <c r="F200" i="3"/>
  <c r="A200" i="8" s="1"/>
  <c r="E200" i="3"/>
  <c r="E200" i="8" s="1"/>
  <c r="D200" i="3"/>
  <c r="D200" i="8" s="1"/>
  <c r="C200" i="3"/>
  <c r="C200" i="8" s="1"/>
  <c r="B200" i="3"/>
  <c r="B200" i="8" s="1"/>
  <c r="F199" i="3"/>
  <c r="A199" i="8" s="1"/>
  <c r="E199" i="3"/>
  <c r="E199" i="8" s="1"/>
  <c r="D199" i="3"/>
  <c r="D199" i="8" s="1"/>
  <c r="C199" i="3"/>
  <c r="C199" i="8" s="1"/>
  <c r="B199" i="3"/>
  <c r="B199" i="8" s="1"/>
  <c r="F198" i="3"/>
  <c r="A198" i="8" s="1"/>
  <c r="E198" i="3"/>
  <c r="E198" i="8" s="1"/>
  <c r="D198" i="3"/>
  <c r="D198" i="8" s="1"/>
  <c r="C198" i="3"/>
  <c r="C198" i="8" s="1"/>
  <c r="B198" i="3"/>
  <c r="B198" i="8" s="1"/>
  <c r="F197" i="3"/>
  <c r="A197" i="8" s="1"/>
  <c r="E197" i="3"/>
  <c r="E197" i="8" s="1"/>
  <c r="D197" i="3"/>
  <c r="D197" i="8" s="1"/>
  <c r="C197" i="3"/>
  <c r="C197" i="8" s="1"/>
  <c r="B197" i="3"/>
  <c r="B197" i="8" s="1"/>
  <c r="F196" i="3"/>
  <c r="A196" i="8" s="1"/>
  <c r="E196" i="3"/>
  <c r="E196" i="8" s="1"/>
  <c r="D196" i="3"/>
  <c r="D196" i="8" s="1"/>
  <c r="C196" i="3"/>
  <c r="C196" i="8" s="1"/>
  <c r="B196" i="3"/>
  <c r="B196" i="8" s="1"/>
  <c r="F195" i="3"/>
  <c r="A195" i="8" s="1"/>
  <c r="E195" i="3"/>
  <c r="E195" i="8" s="1"/>
  <c r="D195" i="3"/>
  <c r="D195" i="8" s="1"/>
  <c r="C195" i="3"/>
  <c r="C195" i="8" s="1"/>
  <c r="B195" i="3"/>
  <c r="B195" i="8" s="1"/>
  <c r="F194" i="3"/>
  <c r="A194" i="8" s="1"/>
  <c r="E194" i="3"/>
  <c r="E194" i="8" s="1"/>
  <c r="D194" i="3"/>
  <c r="D194" i="8" s="1"/>
  <c r="C194" i="3"/>
  <c r="C194" i="8" s="1"/>
  <c r="B194" i="3"/>
  <c r="B194" i="8" s="1"/>
  <c r="F193" i="3"/>
  <c r="A193" i="8" s="1"/>
  <c r="E193" i="3"/>
  <c r="E193" i="8" s="1"/>
  <c r="D193" i="3"/>
  <c r="D193" i="8" s="1"/>
  <c r="C193" i="3"/>
  <c r="C193" i="8" s="1"/>
  <c r="B193" i="3"/>
  <c r="B193" i="8" s="1"/>
  <c r="F192" i="3"/>
  <c r="A192" i="8" s="1"/>
  <c r="E192" i="3"/>
  <c r="E192" i="8" s="1"/>
  <c r="D192" i="3"/>
  <c r="D192" i="8" s="1"/>
  <c r="C192" i="3"/>
  <c r="C192" i="8" s="1"/>
  <c r="B192" i="3"/>
  <c r="B192" i="8" s="1"/>
  <c r="F191" i="3"/>
  <c r="A191" i="8" s="1"/>
  <c r="E191" i="3"/>
  <c r="E191" i="8" s="1"/>
  <c r="D191" i="3"/>
  <c r="D191" i="8" s="1"/>
  <c r="C191" i="3"/>
  <c r="C191" i="8" s="1"/>
  <c r="B191" i="3"/>
  <c r="B191" i="8" s="1"/>
  <c r="F190" i="3"/>
  <c r="A190" i="8" s="1"/>
  <c r="E190" i="3"/>
  <c r="E190" i="8" s="1"/>
  <c r="D190" i="3"/>
  <c r="D190" i="8" s="1"/>
  <c r="C190" i="3"/>
  <c r="C190" i="8" s="1"/>
  <c r="B190" i="3"/>
  <c r="B190" i="8" s="1"/>
  <c r="F189" i="3"/>
  <c r="A189" i="8" s="1"/>
  <c r="E189" i="3"/>
  <c r="E189" i="8" s="1"/>
  <c r="D189" i="3"/>
  <c r="D189" i="8" s="1"/>
  <c r="C189" i="3"/>
  <c r="C189" i="8" s="1"/>
  <c r="B189" i="3"/>
  <c r="B189" i="8" s="1"/>
  <c r="F188" i="3"/>
  <c r="A188" i="8" s="1"/>
  <c r="E188" i="3"/>
  <c r="E188" i="8" s="1"/>
  <c r="D188" i="3"/>
  <c r="D188" i="8" s="1"/>
  <c r="C188" i="3"/>
  <c r="C188" i="8" s="1"/>
  <c r="B188" i="3"/>
  <c r="B188" i="8" s="1"/>
  <c r="F187" i="3"/>
  <c r="A187" i="8" s="1"/>
  <c r="E187" i="3"/>
  <c r="E187" i="8" s="1"/>
  <c r="D187" i="3"/>
  <c r="D187" i="8" s="1"/>
  <c r="C187" i="3"/>
  <c r="C187" i="8" s="1"/>
  <c r="B187" i="3"/>
  <c r="B187" i="8" s="1"/>
  <c r="F186" i="3"/>
  <c r="A186" i="8" s="1"/>
  <c r="E186" i="3"/>
  <c r="E186" i="8" s="1"/>
  <c r="D186" i="3"/>
  <c r="D186" i="8" s="1"/>
  <c r="C186" i="3"/>
  <c r="C186" i="8" s="1"/>
  <c r="B186" i="3"/>
  <c r="B186" i="8" s="1"/>
  <c r="F185" i="3"/>
  <c r="A185" i="8" s="1"/>
  <c r="E185" i="3"/>
  <c r="E185" i="8" s="1"/>
  <c r="D185" i="3"/>
  <c r="D185" i="8" s="1"/>
  <c r="C185" i="3"/>
  <c r="C185" i="8" s="1"/>
  <c r="B185" i="3"/>
  <c r="B185" i="8" s="1"/>
  <c r="F184" i="3"/>
  <c r="A184" i="8" s="1"/>
  <c r="E184" i="3"/>
  <c r="E184" i="8" s="1"/>
  <c r="D184" i="3"/>
  <c r="D184" i="8" s="1"/>
  <c r="C184" i="3"/>
  <c r="C184" i="8" s="1"/>
  <c r="B184" i="3"/>
  <c r="B184" i="8" s="1"/>
  <c r="F183" i="3"/>
  <c r="A183" i="8" s="1"/>
  <c r="E183" i="3"/>
  <c r="E183" i="8" s="1"/>
  <c r="D183" i="3"/>
  <c r="D183" i="8" s="1"/>
  <c r="C183" i="3"/>
  <c r="C183" i="8" s="1"/>
  <c r="B183" i="3"/>
  <c r="B183" i="8" s="1"/>
  <c r="F182" i="3"/>
  <c r="A182" i="8" s="1"/>
  <c r="E182" i="3"/>
  <c r="E182" i="8" s="1"/>
  <c r="D182" i="3"/>
  <c r="D182" i="8" s="1"/>
  <c r="C182" i="3"/>
  <c r="C182" i="8" s="1"/>
  <c r="B182" i="3"/>
  <c r="B182" i="8" s="1"/>
  <c r="F181" i="3"/>
  <c r="A181" i="8" s="1"/>
  <c r="E181" i="3"/>
  <c r="E181" i="8" s="1"/>
  <c r="D181" i="3"/>
  <c r="D181" i="8" s="1"/>
  <c r="C181" i="3"/>
  <c r="C181" i="8" s="1"/>
  <c r="B181" i="3"/>
  <c r="B181" i="8" s="1"/>
  <c r="F180" i="3"/>
  <c r="A180" i="8" s="1"/>
  <c r="E180" i="3"/>
  <c r="E180" i="8" s="1"/>
  <c r="D180" i="3"/>
  <c r="D180" i="8" s="1"/>
  <c r="C180" i="3"/>
  <c r="C180" i="8" s="1"/>
  <c r="B180" i="3"/>
  <c r="B180" i="8" s="1"/>
  <c r="F179" i="3"/>
  <c r="A179" i="8" s="1"/>
  <c r="E179" i="3"/>
  <c r="E179" i="8" s="1"/>
  <c r="D179" i="3"/>
  <c r="D179" i="8" s="1"/>
  <c r="C179" i="3"/>
  <c r="C179" i="8" s="1"/>
  <c r="B179" i="3"/>
  <c r="B179" i="8" s="1"/>
  <c r="F178" i="3"/>
  <c r="A178" i="8" s="1"/>
  <c r="E178" i="3"/>
  <c r="E178" i="8" s="1"/>
  <c r="D178" i="3"/>
  <c r="D178" i="8" s="1"/>
  <c r="C178" i="3"/>
  <c r="C178" i="8" s="1"/>
  <c r="B178" i="3"/>
  <c r="B178" i="8" s="1"/>
  <c r="F177" i="3"/>
  <c r="A177" i="8" s="1"/>
  <c r="E177" i="3"/>
  <c r="E177" i="8" s="1"/>
  <c r="D177" i="3"/>
  <c r="D177" i="8" s="1"/>
  <c r="C177" i="3"/>
  <c r="C177" i="8" s="1"/>
  <c r="B177" i="3"/>
  <c r="B177" i="8" s="1"/>
  <c r="F176" i="3"/>
  <c r="A176" i="8" s="1"/>
  <c r="E176" i="3"/>
  <c r="E176" i="8" s="1"/>
  <c r="D176" i="3"/>
  <c r="D176" i="8" s="1"/>
  <c r="C176" i="3"/>
  <c r="C176" i="8" s="1"/>
  <c r="B176" i="3"/>
  <c r="B176" i="8" s="1"/>
  <c r="F175" i="3"/>
  <c r="A175" i="8" s="1"/>
  <c r="E175" i="3"/>
  <c r="E175" i="8" s="1"/>
  <c r="D175" i="3"/>
  <c r="D175" i="8" s="1"/>
  <c r="C175" i="3"/>
  <c r="C175" i="8" s="1"/>
  <c r="B175" i="3"/>
  <c r="B175" i="8" s="1"/>
  <c r="F174" i="3"/>
  <c r="A174" i="8" s="1"/>
  <c r="E174" i="3"/>
  <c r="E174" i="8" s="1"/>
  <c r="D174" i="3"/>
  <c r="D174" i="8" s="1"/>
  <c r="C174" i="3"/>
  <c r="C174" i="8" s="1"/>
  <c r="B174" i="3"/>
  <c r="B174" i="8" s="1"/>
  <c r="F173" i="3"/>
  <c r="A173" i="8" s="1"/>
  <c r="E173" i="3"/>
  <c r="E173" i="8" s="1"/>
  <c r="D173" i="3"/>
  <c r="D173" i="8" s="1"/>
  <c r="C173" i="3"/>
  <c r="C173" i="8" s="1"/>
  <c r="B173" i="3"/>
  <c r="B173" i="8" s="1"/>
  <c r="F172" i="3"/>
  <c r="A172" i="8" s="1"/>
  <c r="E172" i="3"/>
  <c r="E172" i="8" s="1"/>
  <c r="D172" i="3"/>
  <c r="D172" i="8" s="1"/>
  <c r="C172" i="3"/>
  <c r="C172" i="8" s="1"/>
  <c r="B172" i="3"/>
  <c r="B172" i="8" s="1"/>
  <c r="F171" i="3"/>
  <c r="A171" i="8" s="1"/>
  <c r="E171" i="3"/>
  <c r="E171" i="8" s="1"/>
  <c r="D171" i="3"/>
  <c r="D171" i="8" s="1"/>
  <c r="C171" i="3"/>
  <c r="C171" i="8" s="1"/>
  <c r="B171" i="3"/>
  <c r="B171" i="8" s="1"/>
  <c r="F170" i="3"/>
  <c r="A170" i="8" s="1"/>
  <c r="E170" i="3"/>
  <c r="E170" i="8" s="1"/>
  <c r="D170" i="3"/>
  <c r="D170" i="8" s="1"/>
  <c r="C170" i="3"/>
  <c r="C170" i="8" s="1"/>
  <c r="B170" i="3"/>
  <c r="B170" i="8" s="1"/>
  <c r="F169" i="3"/>
  <c r="A169" i="8" s="1"/>
  <c r="E169" i="3"/>
  <c r="E169" i="8" s="1"/>
  <c r="D169" i="3"/>
  <c r="D169" i="8" s="1"/>
  <c r="C169" i="3"/>
  <c r="C169" i="8" s="1"/>
  <c r="B169" i="3"/>
  <c r="B169" i="8" s="1"/>
  <c r="F168" i="3"/>
  <c r="A168" i="8" s="1"/>
  <c r="E168" i="3"/>
  <c r="E168" i="8" s="1"/>
  <c r="D168" i="3"/>
  <c r="D168" i="8" s="1"/>
  <c r="C168" i="3"/>
  <c r="C168" i="8" s="1"/>
  <c r="B168" i="3"/>
  <c r="B168" i="8" s="1"/>
  <c r="F167" i="3"/>
  <c r="A167" i="8" s="1"/>
  <c r="E167" i="3"/>
  <c r="E167" i="8" s="1"/>
  <c r="D167" i="3"/>
  <c r="D167" i="8" s="1"/>
  <c r="C167" i="3"/>
  <c r="C167" i="8" s="1"/>
  <c r="B167" i="3"/>
  <c r="B167" i="8" s="1"/>
  <c r="F166" i="3"/>
  <c r="A166" i="8" s="1"/>
  <c r="E166" i="3"/>
  <c r="E166" i="8" s="1"/>
  <c r="D166" i="3"/>
  <c r="D166" i="8" s="1"/>
  <c r="C166" i="3"/>
  <c r="C166" i="8" s="1"/>
  <c r="B166" i="3"/>
  <c r="B166" i="8" s="1"/>
  <c r="F165" i="3"/>
  <c r="A165" i="8" s="1"/>
  <c r="E165" i="3"/>
  <c r="E165" i="8" s="1"/>
  <c r="D165" i="3"/>
  <c r="D165" i="8" s="1"/>
  <c r="C165" i="3"/>
  <c r="C165" i="8" s="1"/>
  <c r="B165" i="3"/>
  <c r="B165" i="8" s="1"/>
  <c r="F164" i="3"/>
  <c r="A164" i="8" s="1"/>
  <c r="E164" i="3"/>
  <c r="E164" i="8" s="1"/>
  <c r="D164" i="3"/>
  <c r="D164" i="8" s="1"/>
  <c r="C164" i="3"/>
  <c r="C164" i="8" s="1"/>
  <c r="B164" i="3"/>
  <c r="B164" i="8" s="1"/>
  <c r="F163" i="3"/>
  <c r="A163" i="8" s="1"/>
  <c r="E163" i="3"/>
  <c r="E163" i="8" s="1"/>
  <c r="D163" i="3"/>
  <c r="D163" i="8" s="1"/>
  <c r="C163" i="3"/>
  <c r="C163" i="8" s="1"/>
  <c r="B163" i="3"/>
  <c r="B163" i="8" s="1"/>
  <c r="F162" i="3"/>
  <c r="A162" i="8" s="1"/>
  <c r="E162" i="3"/>
  <c r="E162" i="8" s="1"/>
  <c r="D162" i="3"/>
  <c r="D162" i="8" s="1"/>
  <c r="C162" i="3"/>
  <c r="C162" i="8" s="1"/>
  <c r="B162" i="3"/>
  <c r="B162" i="8" s="1"/>
  <c r="F161" i="3"/>
  <c r="A161" i="8" s="1"/>
  <c r="E161" i="3"/>
  <c r="E161" i="8" s="1"/>
  <c r="D161" i="3"/>
  <c r="D161" i="8" s="1"/>
  <c r="C161" i="3"/>
  <c r="C161" i="8" s="1"/>
  <c r="B161" i="3"/>
  <c r="B161" i="8" s="1"/>
  <c r="F160" i="3"/>
  <c r="A160" i="8" s="1"/>
  <c r="E160" i="3"/>
  <c r="E160" i="8" s="1"/>
  <c r="D160" i="3"/>
  <c r="D160" i="8" s="1"/>
  <c r="C160" i="3"/>
  <c r="C160" i="8" s="1"/>
  <c r="B160" i="3"/>
  <c r="B160" i="8" s="1"/>
  <c r="F159" i="3"/>
  <c r="A159" i="8" s="1"/>
  <c r="E159" i="3"/>
  <c r="E159" i="8" s="1"/>
  <c r="D159" i="3"/>
  <c r="D159" i="8" s="1"/>
  <c r="C159" i="3"/>
  <c r="C159" i="8" s="1"/>
  <c r="B159" i="3"/>
  <c r="B159" i="8" s="1"/>
  <c r="F158" i="3"/>
  <c r="A158" i="8" s="1"/>
  <c r="E158" i="3"/>
  <c r="E158" i="8" s="1"/>
  <c r="D158" i="3"/>
  <c r="D158" i="8" s="1"/>
  <c r="C158" i="3"/>
  <c r="C158" i="8" s="1"/>
  <c r="B158" i="3"/>
  <c r="B158" i="8" s="1"/>
  <c r="F157" i="3"/>
  <c r="A157" i="8" s="1"/>
  <c r="E157" i="3"/>
  <c r="E157" i="8" s="1"/>
  <c r="D157" i="3"/>
  <c r="D157" i="8" s="1"/>
  <c r="C157" i="3"/>
  <c r="C157" i="8" s="1"/>
  <c r="B157" i="3"/>
  <c r="B157" i="8" s="1"/>
  <c r="F156" i="3"/>
  <c r="A156" i="8" s="1"/>
  <c r="E156" i="3"/>
  <c r="E156" i="8" s="1"/>
  <c r="D156" i="3"/>
  <c r="D156" i="8" s="1"/>
  <c r="C156" i="3"/>
  <c r="C156" i="8" s="1"/>
  <c r="B156" i="3"/>
  <c r="B156" i="8" s="1"/>
  <c r="F155" i="3"/>
  <c r="A155" i="8" s="1"/>
  <c r="E155" i="3"/>
  <c r="E155" i="8" s="1"/>
  <c r="D155" i="3"/>
  <c r="D155" i="8" s="1"/>
  <c r="C155" i="3"/>
  <c r="C155" i="8" s="1"/>
  <c r="B155" i="3"/>
  <c r="B155" i="8" s="1"/>
  <c r="F154" i="3"/>
  <c r="A154" i="8" s="1"/>
  <c r="E154" i="3"/>
  <c r="E154" i="8" s="1"/>
  <c r="D154" i="3"/>
  <c r="D154" i="8" s="1"/>
  <c r="C154" i="3"/>
  <c r="C154" i="8" s="1"/>
  <c r="B154" i="3"/>
  <c r="B154" i="8" s="1"/>
  <c r="F153" i="3"/>
  <c r="A153" i="8" s="1"/>
  <c r="E153" i="3"/>
  <c r="E153" i="8" s="1"/>
  <c r="D153" i="3"/>
  <c r="D153" i="8" s="1"/>
  <c r="C153" i="3"/>
  <c r="C153" i="8" s="1"/>
  <c r="B153" i="3"/>
  <c r="B153" i="8" s="1"/>
  <c r="F152" i="3"/>
  <c r="A152" i="8" s="1"/>
  <c r="E152" i="3"/>
  <c r="E152" i="8" s="1"/>
  <c r="D152" i="3"/>
  <c r="D152" i="8" s="1"/>
  <c r="C152" i="3"/>
  <c r="C152" i="8" s="1"/>
  <c r="B152" i="3"/>
  <c r="B152" i="8" s="1"/>
  <c r="F151" i="3"/>
  <c r="A151" i="8" s="1"/>
  <c r="E151" i="3"/>
  <c r="E151" i="8" s="1"/>
  <c r="D151" i="3"/>
  <c r="D151" i="8" s="1"/>
  <c r="C151" i="3"/>
  <c r="C151" i="8" s="1"/>
  <c r="B151" i="3"/>
  <c r="B151" i="8" s="1"/>
  <c r="F150" i="3"/>
  <c r="A150" i="8" s="1"/>
  <c r="E150" i="3"/>
  <c r="E150" i="8" s="1"/>
  <c r="D150" i="3"/>
  <c r="D150" i="8" s="1"/>
  <c r="C150" i="3"/>
  <c r="C150" i="8" s="1"/>
  <c r="B150" i="3"/>
  <c r="B150" i="8" s="1"/>
  <c r="F149" i="3"/>
  <c r="A149" i="8" s="1"/>
  <c r="E149" i="3"/>
  <c r="E149" i="8" s="1"/>
  <c r="D149" i="3"/>
  <c r="D149" i="8" s="1"/>
  <c r="C149" i="3"/>
  <c r="C149" i="8" s="1"/>
  <c r="B149" i="3"/>
  <c r="B149" i="8" s="1"/>
  <c r="F148" i="3"/>
  <c r="A148" i="8" s="1"/>
  <c r="E148" i="3"/>
  <c r="E148" i="8" s="1"/>
  <c r="D148" i="3"/>
  <c r="D148" i="8" s="1"/>
  <c r="C148" i="3"/>
  <c r="C148" i="8" s="1"/>
  <c r="B148" i="3"/>
  <c r="B148" i="8" s="1"/>
  <c r="F147" i="3"/>
  <c r="A147" i="8" s="1"/>
  <c r="E147" i="3"/>
  <c r="E147" i="8" s="1"/>
  <c r="D147" i="3"/>
  <c r="D147" i="8" s="1"/>
  <c r="C147" i="3"/>
  <c r="C147" i="8" s="1"/>
  <c r="B147" i="3"/>
  <c r="B147" i="8" s="1"/>
  <c r="F146" i="3"/>
  <c r="A146" i="8" s="1"/>
  <c r="E146" i="3"/>
  <c r="E146" i="8" s="1"/>
  <c r="D146" i="3"/>
  <c r="D146" i="8" s="1"/>
  <c r="C146" i="3"/>
  <c r="C146" i="8" s="1"/>
  <c r="B146" i="3"/>
  <c r="B146" i="8" s="1"/>
  <c r="F145" i="3"/>
  <c r="A145" i="8" s="1"/>
  <c r="E145" i="3"/>
  <c r="E145" i="8" s="1"/>
  <c r="D145" i="3"/>
  <c r="D145" i="8" s="1"/>
  <c r="C145" i="3"/>
  <c r="C145" i="8" s="1"/>
  <c r="B145" i="3"/>
  <c r="B145" i="8" s="1"/>
  <c r="F144" i="3"/>
  <c r="A144" i="8" s="1"/>
  <c r="E144" i="3"/>
  <c r="E144" i="8" s="1"/>
  <c r="D144" i="3"/>
  <c r="D144" i="8" s="1"/>
  <c r="C144" i="3"/>
  <c r="C144" i="8" s="1"/>
  <c r="B144" i="3"/>
  <c r="B144" i="8" s="1"/>
  <c r="F143" i="3"/>
  <c r="A143" i="8" s="1"/>
  <c r="E143" i="3"/>
  <c r="E143" i="8" s="1"/>
  <c r="D143" i="3"/>
  <c r="D143" i="8" s="1"/>
  <c r="C143" i="3"/>
  <c r="C143" i="8" s="1"/>
  <c r="B143" i="3"/>
  <c r="B143" i="8" s="1"/>
  <c r="F142" i="3"/>
  <c r="A142" i="8" s="1"/>
  <c r="E142" i="3"/>
  <c r="E142" i="8" s="1"/>
  <c r="D142" i="3"/>
  <c r="D142" i="8" s="1"/>
  <c r="C142" i="3"/>
  <c r="C142" i="8" s="1"/>
  <c r="B142" i="3"/>
  <c r="B142" i="8" s="1"/>
  <c r="F141" i="3"/>
  <c r="A141" i="8" s="1"/>
  <c r="E141" i="3"/>
  <c r="E141" i="8" s="1"/>
  <c r="D141" i="3"/>
  <c r="D141" i="8" s="1"/>
  <c r="C141" i="3"/>
  <c r="C141" i="8" s="1"/>
  <c r="B141" i="3"/>
  <c r="B141" i="8" s="1"/>
  <c r="F140" i="3"/>
  <c r="A140" i="8" s="1"/>
  <c r="E140" i="3"/>
  <c r="E140" i="8" s="1"/>
  <c r="D140" i="3"/>
  <c r="D140" i="8" s="1"/>
  <c r="C140" i="3"/>
  <c r="C140" i="8" s="1"/>
  <c r="B140" i="3"/>
  <c r="B140" i="8" s="1"/>
  <c r="F139" i="3"/>
  <c r="A139" i="8" s="1"/>
  <c r="E139" i="3"/>
  <c r="E139" i="8" s="1"/>
  <c r="D139" i="3"/>
  <c r="D139" i="8" s="1"/>
  <c r="C139" i="3"/>
  <c r="C139" i="8" s="1"/>
  <c r="B139" i="3"/>
  <c r="B139" i="8" s="1"/>
  <c r="F138" i="3"/>
  <c r="A138" i="8" s="1"/>
  <c r="E138" i="3"/>
  <c r="E138" i="8" s="1"/>
  <c r="D138" i="3"/>
  <c r="D138" i="8" s="1"/>
  <c r="C138" i="3"/>
  <c r="C138" i="8" s="1"/>
  <c r="B138" i="3"/>
  <c r="B138" i="8" s="1"/>
  <c r="F137" i="3"/>
  <c r="A137" i="8" s="1"/>
  <c r="E137" i="3"/>
  <c r="E137" i="8" s="1"/>
  <c r="D137" i="3"/>
  <c r="D137" i="8" s="1"/>
  <c r="C137" i="3"/>
  <c r="C137" i="8" s="1"/>
  <c r="B137" i="3"/>
  <c r="B137" i="8" s="1"/>
  <c r="F136" i="3"/>
  <c r="A136" i="8" s="1"/>
  <c r="E136" i="3"/>
  <c r="E136" i="8" s="1"/>
  <c r="D136" i="3"/>
  <c r="D136" i="8" s="1"/>
  <c r="C136" i="3"/>
  <c r="C136" i="8" s="1"/>
  <c r="B136" i="3"/>
  <c r="B136" i="8" s="1"/>
  <c r="F135" i="3"/>
  <c r="A135" i="8" s="1"/>
  <c r="E135" i="3"/>
  <c r="E135" i="8" s="1"/>
  <c r="D135" i="3"/>
  <c r="D135" i="8" s="1"/>
  <c r="C135" i="3"/>
  <c r="C135" i="8" s="1"/>
  <c r="B135" i="3"/>
  <c r="B135" i="8" s="1"/>
  <c r="F134" i="3"/>
  <c r="A134" i="8" s="1"/>
  <c r="E134" i="3"/>
  <c r="E134" i="8" s="1"/>
  <c r="D134" i="3"/>
  <c r="D134" i="8" s="1"/>
  <c r="C134" i="3"/>
  <c r="C134" i="8" s="1"/>
  <c r="B134" i="3"/>
  <c r="B134" i="8" s="1"/>
  <c r="F133" i="3"/>
  <c r="A133" i="8" s="1"/>
  <c r="E133" i="3"/>
  <c r="E133" i="8" s="1"/>
  <c r="D133" i="3"/>
  <c r="D133" i="8" s="1"/>
  <c r="C133" i="3"/>
  <c r="C133" i="8" s="1"/>
  <c r="B133" i="3"/>
  <c r="B133" i="8" s="1"/>
  <c r="F132" i="3"/>
  <c r="A132" i="8" s="1"/>
  <c r="E132" i="3"/>
  <c r="E132" i="8" s="1"/>
  <c r="D132" i="3"/>
  <c r="D132" i="8" s="1"/>
  <c r="C132" i="3"/>
  <c r="C132" i="8" s="1"/>
  <c r="B132" i="3"/>
  <c r="B132" i="8" s="1"/>
  <c r="F131" i="3"/>
  <c r="A131" i="8" s="1"/>
  <c r="E131" i="3"/>
  <c r="E131" i="8" s="1"/>
  <c r="D131" i="3"/>
  <c r="D131" i="8" s="1"/>
  <c r="C131" i="3"/>
  <c r="C131" i="8" s="1"/>
  <c r="B131" i="3"/>
  <c r="B131" i="8" s="1"/>
  <c r="F130" i="3"/>
  <c r="A130" i="8" s="1"/>
  <c r="E130" i="3"/>
  <c r="E130" i="8" s="1"/>
  <c r="D130" i="3"/>
  <c r="D130" i="8" s="1"/>
  <c r="C130" i="3"/>
  <c r="C130" i="8" s="1"/>
  <c r="B130" i="3"/>
  <c r="B130" i="8" s="1"/>
  <c r="F129" i="3"/>
  <c r="A129" i="8" s="1"/>
  <c r="E129" i="3"/>
  <c r="E129" i="8" s="1"/>
  <c r="D129" i="3"/>
  <c r="D129" i="8" s="1"/>
  <c r="C129" i="3"/>
  <c r="C129" i="8" s="1"/>
  <c r="B129" i="3"/>
  <c r="B129" i="8" s="1"/>
  <c r="F128" i="3"/>
  <c r="A128" i="8" s="1"/>
  <c r="E128" i="3"/>
  <c r="E128" i="8" s="1"/>
  <c r="D128" i="3"/>
  <c r="D128" i="8" s="1"/>
  <c r="C128" i="3"/>
  <c r="C128" i="8" s="1"/>
  <c r="B128" i="3"/>
  <c r="B128" i="8" s="1"/>
  <c r="F127" i="3"/>
  <c r="A127" i="8" s="1"/>
  <c r="E127" i="3"/>
  <c r="E127" i="8" s="1"/>
  <c r="D127" i="3"/>
  <c r="D127" i="8" s="1"/>
  <c r="C127" i="3"/>
  <c r="C127" i="8" s="1"/>
  <c r="B127" i="3"/>
  <c r="B127" i="8" s="1"/>
  <c r="F126" i="3"/>
  <c r="A126" i="8" s="1"/>
  <c r="E126" i="3"/>
  <c r="E126" i="8" s="1"/>
  <c r="D126" i="3"/>
  <c r="D126" i="8" s="1"/>
  <c r="C126" i="3"/>
  <c r="C126" i="8" s="1"/>
  <c r="B126" i="3"/>
  <c r="B126" i="8" s="1"/>
  <c r="F125" i="3"/>
  <c r="A125" i="8" s="1"/>
  <c r="E125" i="3"/>
  <c r="E125" i="8" s="1"/>
  <c r="D125" i="3"/>
  <c r="D125" i="8" s="1"/>
  <c r="C125" i="3"/>
  <c r="C125" i="8" s="1"/>
  <c r="B125" i="3"/>
  <c r="B125" i="8" s="1"/>
  <c r="F124" i="3"/>
  <c r="A124" i="8" s="1"/>
  <c r="E124" i="3"/>
  <c r="E124" i="8" s="1"/>
  <c r="D124" i="3"/>
  <c r="D124" i="8" s="1"/>
  <c r="C124" i="3"/>
  <c r="C124" i="8" s="1"/>
  <c r="B124" i="3"/>
  <c r="B124" i="8" s="1"/>
  <c r="F123" i="3"/>
  <c r="A123" i="8" s="1"/>
  <c r="E123" i="3"/>
  <c r="E123" i="8" s="1"/>
  <c r="D123" i="3"/>
  <c r="D123" i="8" s="1"/>
  <c r="C123" i="3"/>
  <c r="C123" i="8" s="1"/>
  <c r="B123" i="3"/>
  <c r="B123" i="8" s="1"/>
  <c r="F122" i="3"/>
  <c r="A122" i="8" s="1"/>
  <c r="E122" i="3"/>
  <c r="E122" i="8" s="1"/>
  <c r="D122" i="3"/>
  <c r="D122" i="8" s="1"/>
  <c r="C122" i="3"/>
  <c r="C122" i="8" s="1"/>
  <c r="B122" i="3"/>
  <c r="B122" i="8" s="1"/>
  <c r="F121" i="3"/>
  <c r="A121" i="8" s="1"/>
  <c r="E121" i="3"/>
  <c r="E121" i="8" s="1"/>
  <c r="D121" i="3"/>
  <c r="D121" i="8" s="1"/>
  <c r="C121" i="3"/>
  <c r="C121" i="8" s="1"/>
  <c r="B121" i="3"/>
  <c r="B121" i="8" s="1"/>
  <c r="F120" i="3"/>
  <c r="A120" i="8" s="1"/>
  <c r="E120" i="3"/>
  <c r="E120" i="8" s="1"/>
  <c r="D120" i="3"/>
  <c r="D120" i="8" s="1"/>
  <c r="C120" i="3"/>
  <c r="C120" i="8" s="1"/>
  <c r="B120" i="3"/>
  <c r="B120" i="8" s="1"/>
  <c r="F119" i="3"/>
  <c r="A119" i="8" s="1"/>
  <c r="E119" i="3"/>
  <c r="E119" i="8" s="1"/>
  <c r="D119" i="3"/>
  <c r="D119" i="8" s="1"/>
  <c r="C119" i="3"/>
  <c r="C119" i="8" s="1"/>
  <c r="B119" i="3"/>
  <c r="B119" i="8" s="1"/>
  <c r="F118" i="3"/>
  <c r="A118" i="8" s="1"/>
  <c r="E118" i="3"/>
  <c r="E118" i="8" s="1"/>
  <c r="D118" i="3"/>
  <c r="D118" i="8" s="1"/>
  <c r="C118" i="3"/>
  <c r="C118" i="8" s="1"/>
  <c r="B118" i="3"/>
  <c r="B118" i="8" s="1"/>
  <c r="F117" i="3"/>
  <c r="A117" i="8" s="1"/>
  <c r="E117" i="3"/>
  <c r="E117" i="8" s="1"/>
  <c r="D117" i="3"/>
  <c r="D117" i="8" s="1"/>
  <c r="C117" i="3"/>
  <c r="C117" i="8" s="1"/>
  <c r="B117" i="3"/>
  <c r="B117" i="8" s="1"/>
  <c r="F116" i="3"/>
  <c r="A116" i="8" s="1"/>
  <c r="E116" i="3"/>
  <c r="E116" i="8" s="1"/>
  <c r="D116" i="3"/>
  <c r="D116" i="8" s="1"/>
  <c r="C116" i="3"/>
  <c r="C116" i="8" s="1"/>
  <c r="B116" i="3"/>
  <c r="B116" i="8" s="1"/>
  <c r="F115" i="3"/>
  <c r="A115" i="8" s="1"/>
  <c r="E115" i="3"/>
  <c r="E115" i="8" s="1"/>
  <c r="D115" i="3"/>
  <c r="D115" i="8" s="1"/>
  <c r="C115" i="3"/>
  <c r="C115" i="8" s="1"/>
  <c r="B115" i="3"/>
  <c r="B115" i="8" s="1"/>
  <c r="F114" i="3"/>
  <c r="A114" i="8" s="1"/>
  <c r="E114" i="3"/>
  <c r="E114" i="8" s="1"/>
  <c r="D114" i="3"/>
  <c r="D114" i="8" s="1"/>
  <c r="C114" i="3"/>
  <c r="C114" i="8" s="1"/>
  <c r="B114" i="3"/>
  <c r="B114" i="8" s="1"/>
  <c r="F113" i="3"/>
  <c r="A113" i="8" s="1"/>
  <c r="E113" i="3"/>
  <c r="E113" i="8" s="1"/>
  <c r="D113" i="3"/>
  <c r="D113" i="8" s="1"/>
  <c r="C113" i="3"/>
  <c r="C113" i="8" s="1"/>
  <c r="B113" i="3"/>
  <c r="B113" i="8" s="1"/>
  <c r="F112" i="3"/>
  <c r="A112" i="8" s="1"/>
  <c r="E112" i="3"/>
  <c r="E112" i="8" s="1"/>
  <c r="D112" i="3"/>
  <c r="D112" i="8" s="1"/>
  <c r="C112" i="3"/>
  <c r="C112" i="8" s="1"/>
  <c r="B112" i="3"/>
  <c r="B112" i="8" s="1"/>
  <c r="F111" i="3"/>
  <c r="A111" i="8" s="1"/>
  <c r="E111" i="3"/>
  <c r="E111" i="8" s="1"/>
  <c r="D111" i="3"/>
  <c r="D111" i="8" s="1"/>
  <c r="C111" i="3"/>
  <c r="C111" i="8" s="1"/>
  <c r="B111" i="3"/>
  <c r="B111" i="8" s="1"/>
  <c r="F110" i="3"/>
  <c r="A110" i="8" s="1"/>
  <c r="E110" i="3"/>
  <c r="E110" i="8" s="1"/>
  <c r="D110" i="3"/>
  <c r="D110" i="8" s="1"/>
  <c r="C110" i="3"/>
  <c r="C110" i="8" s="1"/>
  <c r="B110" i="3"/>
  <c r="B110" i="8" s="1"/>
  <c r="F109" i="3"/>
  <c r="A109" i="8" s="1"/>
  <c r="E109" i="3"/>
  <c r="E109" i="8" s="1"/>
  <c r="D109" i="3"/>
  <c r="D109" i="8" s="1"/>
  <c r="C109" i="3"/>
  <c r="C109" i="8" s="1"/>
  <c r="B109" i="3"/>
  <c r="B109" i="8" s="1"/>
  <c r="F108" i="3"/>
  <c r="A108" i="8" s="1"/>
  <c r="E108" i="3"/>
  <c r="E108" i="8" s="1"/>
  <c r="D108" i="3"/>
  <c r="D108" i="8" s="1"/>
  <c r="C108" i="3"/>
  <c r="C108" i="8" s="1"/>
  <c r="B108" i="3"/>
  <c r="B108" i="8" s="1"/>
  <c r="F107" i="3"/>
  <c r="A107" i="8" s="1"/>
  <c r="E107" i="3"/>
  <c r="E107" i="8" s="1"/>
  <c r="D107" i="3"/>
  <c r="D107" i="8" s="1"/>
  <c r="C107" i="3"/>
  <c r="C107" i="8" s="1"/>
  <c r="B107" i="3"/>
  <c r="B107" i="8" s="1"/>
  <c r="F106" i="3"/>
  <c r="A106" i="8" s="1"/>
  <c r="E106" i="3"/>
  <c r="E106" i="8" s="1"/>
  <c r="D106" i="3"/>
  <c r="D106" i="8" s="1"/>
  <c r="C106" i="3"/>
  <c r="C106" i="8" s="1"/>
  <c r="B106" i="3"/>
  <c r="B106" i="8" s="1"/>
  <c r="F105" i="3"/>
  <c r="A105" i="8" s="1"/>
  <c r="E105" i="3"/>
  <c r="E105" i="8" s="1"/>
  <c r="D105" i="3"/>
  <c r="D105" i="8" s="1"/>
  <c r="C105" i="3"/>
  <c r="C105" i="8" s="1"/>
  <c r="B105" i="3"/>
  <c r="B105" i="8" s="1"/>
  <c r="F104" i="3"/>
  <c r="A104" i="8" s="1"/>
  <c r="E104" i="3"/>
  <c r="E104" i="8" s="1"/>
  <c r="D104" i="3"/>
  <c r="D104" i="8" s="1"/>
  <c r="C104" i="3"/>
  <c r="C104" i="8" s="1"/>
  <c r="B104" i="3"/>
  <c r="B104" i="8" s="1"/>
  <c r="F103" i="3"/>
  <c r="A103" i="8" s="1"/>
  <c r="E103" i="3"/>
  <c r="E103" i="8" s="1"/>
  <c r="D103" i="3"/>
  <c r="D103" i="8" s="1"/>
  <c r="C103" i="3"/>
  <c r="C103" i="8" s="1"/>
  <c r="B103" i="3"/>
  <c r="B103" i="8" s="1"/>
  <c r="F102" i="3"/>
  <c r="A102" i="8" s="1"/>
  <c r="E102" i="3"/>
  <c r="E102" i="8" s="1"/>
  <c r="D102" i="3"/>
  <c r="D102" i="8" s="1"/>
  <c r="C102" i="3"/>
  <c r="C102" i="8" s="1"/>
  <c r="B102" i="3"/>
  <c r="B102" i="8" s="1"/>
  <c r="F101" i="3"/>
  <c r="A101" i="8" s="1"/>
  <c r="E101" i="3"/>
  <c r="E101" i="8" s="1"/>
  <c r="D101" i="3"/>
  <c r="D101" i="8" s="1"/>
  <c r="C101" i="3"/>
  <c r="C101" i="8" s="1"/>
  <c r="B101" i="3"/>
  <c r="B101" i="8" s="1"/>
  <c r="F100" i="3"/>
  <c r="A100" i="8" s="1"/>
  <c r="E100" i="3"/>
  <c r="E100" i="8" s="1"/>
  <c r="D100" i="3"/>
  <c r="D100" i="8" s="1"/>
  <c r="C100" i="3"/>
  <c r="C100" i="8" s="1"/>
  <c r="B100" i="3"/>
  <c r="B100" i="8" s="1"/>
  <c r="F99" i="3"/>
  <c r="A99" i="8" s="1"/>
  <c r="E99" i="3"/>
  <c r="E99" i="8" s="1"/>
  <c r="D99" i="3"/>
  <c r="D99" i="8" s="1"/>
  <c r="C99" i="3"/>
  <c r="C99" i="8" s="1"/>
  <c r="B99" i="3"/>
  <c r="B99" i="8" s="1"/>
  <c r="F98" i="3"/>
  <c r="A98" i="8" s="1"/>
  <c r="E98" i="3"/>
  <c r="E98" i="8" s="1"/>
  <c r="D98" i="3"/>
  <c r="D98" i="8" s="1"/>
  <c r="C98" i="3"/>
  <c r="C98" i="8" s="1"/>
  <c r="B98" i="3"/>
  <c r="B98" i="8" s="1"/>
  <c r="F97" i="3"/>
  <c r="A97" i="8" s="1"/>
  <c r="E97" i="3"/>
  <c r="E97" i="8" s="1"/>
  <c r="D97" i="3"/>
  <c r="D97" i="8" s="1"/>
  <c r="C97" i="3"/>
  <c r="C97" i="8" s="1"/>
  <c r="B97" i="3"/>
  <c r="B97" i="8" s="1"/>
  <c r="F96" i="3"/>
  <c r="A96" i="8" s="1"/>
  <c r="E96" i="3"/>
  <c r="E96" i="8" s="1"/>
  <c r="D96" i="3"/>
  <c r="D96" i="8" s="1"/>
  <c r="C96" i="3"/>
  <c r="C96" i="8" s="1"/>
  <c r="B96" i="3"/>
  <c r="B96" i="8" s="1"/>
  <c r="F95" i="3"/>
  <c r="A95" i="8" s="1"/>
  <c r="E95" i="3"/>
  <c r="E95" i="8" s="1"/>
  <c r="D95" i="3"/>
  <c r="D95" i="8" s="1"/>
  <c r="C95" i="3"/>
  <c r="C95" i="8" s="1"/>
  <c r="B95" i="3"/>
  <c r="B95" i="8" s="1"/>
  <c r="F94" i="3"/>
  <c r="A94" i="8" s="1"/>
  <c r="E94" i="3"/>
  <c r="E94" i="8" s="1"/>
  <c r="D94" i="3"/>
  <c r="D94" i="8" s="1"/>
  <c r="C94" i="3"/>
  <c r="C94" i="8" s="1"/>
  <c r="B94" i="3"/>
  <c r="B94" i="8" s="1"/>
  <c r="F93" i="3"/>
  <c r="A93" i="8" s="1"/>
  <c r="E93" i="3"/>
  <c r="E93" i="8" s="1"/>
  <c r="D93" i="3"/>
  <c r="D93" i="8" s="1"/>
  <c r="C93" i="3"/>
  <c r="C93" i="8" s="1"/>
  <c r="B93" i="3"/>
  <c r="B93" i="8" s="1"/>
  <c r="F92" i="3"/>
  <c r="A92" i="8" s="1"/>
  <c r="E92" i="3"/>
  <c r="E92" i="8" s="1"/>
  <c r="D92" i="3"/>
  <c r="D92" i="8" s="1"/>
  <c r="C92" i="3"/>
  <c r="C92" i="8" s="1"/>
  <c r="B92" i="3"/>
  <c r="B92" i="8" s="1"/>
  <c r="F91" i="3"/>
  <c r="A91" i="8" s="1"/>
  <c r="E91" i="3"/>
  <c r="E91" i="8" s="1"/>
  <c r="D91" i="3"/>
  <c r="D91" i="8" s="1"/>
  <c r="C91" i="3"/>
  <c r="C91" i="8" s="1"/>
  <c r="B91" i="3"/>
  <c r="B91" i="8" s="1"/>
  <c r="F90" i="3"/>
  <c r="A90" i="8" s="1"/>
  <c r="E90" i="3"/>
  <c r="E90" i="8" s="1"/>
  <c r="D90" i="3"/>
  <c r="D90" i="8" s="1"/>
  <c r="C90" i="3"/>
  <c r="C90" i="8" s="1"/>
  <c r="B90" i="3"/>
  <c r="B90" i="8" s="1"/>
  <c r="F89" i="3"/>
  <c r="A89" i="8" s="1"/>
  <c r="E89" i="3"/>
  <c r="E89" i="8" s="1"/>
  <c r="D89" i="3"/>
  <c r="D89" i="8" s="1"/>
  <c r="C89" i="3"/>
  <c r="C89" i="8" s="1"/>
  <c r="B89" i="3"/>
  <c r="B89" i="8" s="1"/>
  <c r="F88" i="3"/>
  <c r="A88" i="8" s="1"/>
  <c r="E88" i="3"/>
  <c r="E88" i="8" s="1"/>
  <c r="D88" i="3"/>
  <c r="D88" i="8" s="1"/>
  <c r="C88" i="3"/>
  <c r="C88" i="8" s="1"/>
  <c r="B88" i="3"/>
  <c r="B88" i="8" s="1"/>
  <c r="F87" i="3"/>
  <c r="A87" i="8" s="1"/>
  <c r="E87" i="3"/>
  <c r="E87" i="8" s="1"/>
  <c r="D87" i="3"/>
  <c r="D87" i="8" s="1"/>
  <c r="C87" i="3"/>
  <c r="C87" i="8" s="1"/>
  <c r="B87" i="3"/>
  <c r="B87" i="8" s="1"/>
  <c r="F86" i="3"/>
  <c r="A86" i="8" s="1"/>
  <c r="E86" i="3"/>
  <c r="E86" i="8" s="1"/>
  <c r="D86" i="3"/>
  <c r="D86" i="8" s="1"/>
  <c r="C86" i="3"/>
  <c r="C86" i="8" s="1"/>
  <c r="B86" i="3"/>
  <c r="B86" i="8" s="1"/>
  <c r="F85" i="3"/>
  <c r="A85" i="8" s="1"/>
  <c r="E85" i="3"/>
  <c r="E85" i="8" s="1"/>
  <c r="D85" i="3"/>
  <c r="D85" i="8" s="1"/>
  <c r="C85" i="3"/>
  <c r="C85" i="8" s="1"/>
  <c r="B85" i="3"/>
  <c r="B85" i="8" s="1"/>
  <c r="F84" i="3"/>
  <c r="A84" i="8" s="1"/>
  <c r="E84" i="3"/>
  <c r="E84" i="8" s="1"/>
  <c r="D84" i="3"/>
  <c r="D84" i="8" s="1"/>
  <c r="C84" i="3"/>
  <c r="C84" i="8" s="1"/>
  <c r="B84" i="3"/>
  <c r="B84" i="8" s="1"/>
  <c r="F83" i="3"/>
  <c r="A83" i="8" s="1"/>
  <c r="E83" i="3"/>
  <c r="E83" i="8" s="1"/>
  <c r="D83" i="3"/>
  <c r="D83" i="8" s="1"/>
  <c r="C83" i="3"/>
  <c r="C83" i="8" s="1"/>
  <c r="B83" i="3"/>
  <c r="B83" i="8" s="1"/>
  <c r="F82" i="3"/>
  <c r="A82" i="8" s="1"/>
  <c r="E82" i="3"/>
  <c r="E82" i="8" s="1"/>
  <c r="D82" i="3"/>
  <c r="D82" i="8" s="1"/>
  <c r="C82" i="3"/>
  <c r="C82" i="8" s="1"/>
  <c r="B82" i="3"/>
  <c r="B82" i="8" s="1"/>
  <c r="F81" i="3"/>
  <c r="A81" i="8" s="1"/>
  <c r="E81" i="3"/>
  <c r="E81" i="8" s="1"/>
  <c r="D81" i="3"/>
  <c r="D81" i="8" s="1"/>
  <c r="C81" i="3"/>
  <c r="C81" i="8" s="1"/>
  <c r="B81" i="3"/>
  <c r="B81" i="8" s="1"/>
  <c r="F80" i="3"/>
  <c r="A80" i="8" s="1"/>
  <c r="E80" i="3"/>
  <c r="E80" i="8" s="1"/>
  <c r="D80" i="3"/>
  <c r="D80" i="8" s="1"/>
  <c r="C80" i="3"/>
  <c r="C80" i="8" s="1"/>
  <c r="B80" i="3"/>
  <c r="B80" i="8" s="1"/>
  <c r="F79" i="3"/>
  <c r="A79" i="8" s="1"/>
  <c r="E79" i="3"/>
  <c r="E79" i="8" s="1"/>
  <c r="D79" i="3"/>
  <c r="D79" i="8" s="1"/>
  <c r="C79" i="3"/>
  <c r="C79" i="8" s="1"/>
  <c r="B79" i="3"/>
  <c r="B79" i="8" s="1"/>
  <c r="F78" i="3"/>
  <c r="A78" i="8" s="1"/>
  <c r="E78" i="3"/>
  <c r="E78" i="8" s="1"/>
  <c r="D78" i="3"/>
  <c r="D78" i="8" s="1"/>
  <c r="C78" i="3"/>
  <c r="C78" i="8" s="1"/>
  <c r="B78" i="3"/>
  <c r="B78" i="8" s="1"/>
  <c r="F77" i="3"/>
  <c r="A77" i="8" s="1"/>
  <c r="E77" i="3"/>
  <c r="E77" i="8" s="1"/>
  <c r="D77" i="3"/>
  <c r="D77" i="8" s="1"/>
  <c r="C77" i="3"/>
  <c r="C77" i="8" s="1"/>
  <c r="B77" i="3"/>
  <c r="B77" i="8" s="1"/>
  <c r="F76" i="3"/>
  <c r="A76" i="8" s="1"/>
  <c r="E76" i="3"/>
  <c r="E76" i="8" s="1"/>
  <c r="D76" i="3"/>
  <c r="D76" i="8" s="1"/>
  <c r="C76" i="3"/>
  <c r="C76" i="8" s="1"/>
  <c r="B76" i="3"/>
  <c r="B76" i="8" s="1"/>
  <c r="F75" i="3"/>
  <c r="A75" i="8" s="1"/>
  <c r="E75" i="3"/>
  <c r="E75" i="8" s="1"/>
  <c r="D75" i="3"/>
  <c r="D75" i="8" s="1"/>
  <c r="C75" i="3"/>
  <c r="C75" i="8" s="1"/>
  <c r="B75" i="3"/>
  <c r="B75" i="8" s="1"/>
  <c r="F74" i="3"/>
  <c r="A74" i="8" s="1"/>
  <c r="E74" i="3"/>
  <c r="E74" i="8" s="1"/>
  <c r="D74" i="3"/>
  <c r="D74" i="8" s="1"/>
  <c r="C74" i="3"/>
  <c r="C74" i="8" s="1"/>
  <c r="B74" i="3"/>
  <c r="B74" i="8" s="1"/>
  <c r="F73" i="3"/>
  <c r="A73" i="8" s="1"/>
  <c r="E73" i="3"/>
  <c r="E73" i="8" s="1"/>
  <c r="D73" i="3"/>
  <c r="D73" i="8" s="1"/>
  <c r="C73" i="3"/>
  <c r="C73" i="8" s="1"/>
  <c r="B73" i="3"/>
  <c r="B73" i="8" s="1"/>
  <c r="F72" i="3"/>
  <c r="A72" i="8" s="1"/>
  <c r="E72" i="3"/>
  <c r="E72" i="8" s="1"/>
  <c r="D72" i="3"/>
  <c r="D72" i="8" s="1"/>
  <c r="C72" i="3"/>
  <c r="C72" i="8" s="1"/>
  <c r="B72" i="3"/>
  <c r="B72" i="8" s="1"/>
  <c r="F71" i="3"/>
  <c r="A71" i="8" s="1"/>
  <c r="E71" i="3"/>
  <c r="E71" i="8" s="1"/>
  <c r="D71" i="3"/>
  <c r="D71" i="8" s="1"/>
  <c r="C71" i="3"/>
  <c r="C71" i="8" s="1"/>
  <c r="B71" i="3"/>
  <c r="B71" i="8" s="1"/>
  <c r="F70" i="3"/>
  <c r="A70" i="8" s="1"/>
  <c r="E70" i="3"/>
  <c r="E70" i="8" s="1"/>
  <c r="D70" i="3"/>
  <c r="D70" i="8" s="1"/>
  <c r="C70" i="3"/>
  <c r="C70" i="8" s="1"/>
  <c r="B70" i="3"/>
  <c r="B70" i="8" s="1"/>
  <c r="F69" i="3"/>
  <c r="A69" i="8" s="1"/>
  <c r="E69" i="3"/>
  <c r="E69" i="8" s="1"/>
  <c r="D69" i="3"/>
  <c r="D69" i="8" s="1"/>
  <c r="C69" i="3"/>
  <c r="C69" i="8" s="1"/>
  <c r="B69" i="3"/>
  <c r="B69" i="8" s="1"/>
  <c r="F68" i="3"/>
  <c r="A68" i="8" s="1"/>
  <c r="E68" i="3"/>
  <c r="E68" i="8" s="1"/>
  <c r="D68" i="3"/>
  <c r="D68" i="8" s="1"/>
  <c r="C68" i="3"/>
  <c r="C68" i="8" s="1"/>
  <c r="B68" i="3"/>
  <c r="B68" i="8" s="1"/>
  <c r="F67" i="3"/>
  <c r="A67" i="8" s="1"/>
  <c r="E67" i="3"/>
  <c r="E67" i="8" s="1"/>
  <c r="D67" i="3"/>
  <c r="D67" i="8" s="1"/>
  <c r="C67" i="3"/>
  <c r="C67" i="8" s="1"/>
  <c r="B67" i="3"/>
  <c r="B67" i="8" s="1"/>
  <c r="F66" i="3"/>
  <c r="A66" i="8" s="1"/>
  <c r="E66" i="3"/>
  <c r="E66" i="8" s="1"/>
  <c r="D66" i="3"/>
  <c r="D66" i="8" s="1"/>
  <c r="C66" i="3"/>
  <c r="C66" i="8" s="1"/>
  <c r="B66" i="3"/>
  <c r="B66" i="8" s="1"/>
  <c r="F65" i="3"/>
  <c r="A65" i="8" s="1"/>
  <c r="E65" i="3"/>
  <c r="E65" i="8" s="1"/>
  <c r="D65" i="3"/>
  <c r="D65" i="8" s="1"/>
  <c r="C65" i="3"/>
  <c r="C65" i="8" s="1"/>
  <c r="B65" i="3"/>
  <c r="B65" i="8" s="1"/>
  <c r="F64" i="3"/>
  <c r="A64" i="8" s="1"/>
  <c r="E64" i="3"/>
  <c r="E64" i="8" s="1"/>
  <c r="D64" i="3"/>
  <c r="D64" i="8" s="1"/>
  <c r="C64" i="3"/>
  <c r="C64" i="8" s="1"/>
  <c r="B64" i="3"/>
  <c r="B64" i="8" s="1"/>
  <c r="F63" i="3"/>
  <c r="A63" i="8" s="1"/>
  <c r="E63" i="3"/>
  <c r="E63" i="8" s="1"/>
  <c r="D63" i="3"/>
  <c r="D63" i="8" s="1"/>
  <c r="C63" i="3"/>
  <c r="C63" i="8" s="1"/>
  <c r="B63" i="3"/>
  <c r="B63" i="8" s="1"/>
  <c r="F62" i="3"/>
  <c r="A62" i="8" s="1"/>
  <c r="E62" i="3"/>
  <c r="E62" i="8" s="1"/>
  <c r="D62" i="3"/>
  <c r="D62" i="8" s="1"/>
  <c r="C62" i="3"/>
  <c r="C62" i="8" s="1"/>
  <c r="B62" i="3"/>
  <c r="B62" i="8" s="1"/>
  <c r="F61" i="3"/>
  <c r="A61" i="8" s="1"/>
  <c r="E61" i="3"/>
  <c r="E61" i="8" s="1"/>
  <c r="D61" i="3"/>
  <c r="D61" i="8" s="1"/>
  <c r="C61" i="3"/>
  <c r="C61" i="8" s="1"/>
  <c r="B61" i="3"/>
  <c r="B61" i="8" s="1"/>
  <c r="F60" i="3"/>
  <c r="A60" i="8" s="1"/>
  <c r="E60" i="3"/>
  <c r="E60" i="8" s="1"/>
  <c r="D60" i="3"/>
  <c r="D60" i="8" s="1"/>
  <c r="C60" i="3"/>
  <c r="C60" i="8" s="1"/>
  <c r="B60" i="3"/>
  <c r="B60" i="8" s="1"/>
  <c r="F59" i="3"/>
  <c r="A59" i="8" s="1"/>
  <c r="E59" i="3"/>
  <c r="E59" i="8" s="1"/>
  <c r="D59" i="3"/>
  <c r="D59" i="8" s="1"/>
  <c r="C59" i="3"/>
  <c r="C59" i="8" s="1"/>
  <c r="B59" i="3"/>
  <c r="B59" i="8" s="1"/>
  <c r="F58" i="3"/>
  <c r="A58" i="8" s="1"/>
  <c r="E58" i="3"/>
  <c r="E58" i="8" s="1"/>
  <c r="D58" i="3"/>
  <c r="D58" i="8" s="1"/>
  <c r="C58" i="3"/>
  <c r="C58" i="8" s="1"/>
  <c r="B58" i="3"/>
  <c r="B58" i="8" s="1"/>
  <c r="F57" i="3"/>
  <c r="A57" i="8" s="1"/>
  <c r="E57" i="3"/>
  <c r="E57" i="8" s="1"/>
  <c r="D57" i="3"/>
  <c r="D57" i="8" s="1"/>
  <c r="C57" i="3"/>
  <c r="C57" i="8" s="1"/>
  <c r="B57" i="3"/>
  <c r="B57" i="8" s="1"/>
  <c r="F56" i="3"/>
  <c r="A56" i="8" s="1"/>
  <c r="E56" i="3"/>
  <c r="E56" i="8" s="1"/>
  <c r="D56" i="3"/>
  <c r="D56" i="8" s="1"/>
  <c r="C56" i="3"/>
  <c r="C56" i="8" s="1"/>
  <c r="B56" i="3"/>
  <c r="B56" i="8" s="1"/>
  <c r="F55" i="3"/>
  <c r="A55" i="8" s="1"/>
  <c r="E55" i="3"/>
  <c r="E55" i="8" s="1"/>
  <c r="D55" i="3"/>
  <c r="D55" i="8" s="1"/>
  <c r="C55" i="3"/>
  <c r="C55" i="8" s="1"/>
  <c r="B55" i="3"/>
  <c r="B55" i="8" s="1"/>
  <c r="F54" i="3"/>
  <c r="A54" i="8" s="1"/>
  <c r="E54" i="3"/>
  <c r="E54" i="8" s="1"/>
  <c r="D54" i="3"/>
  <c r="D54" i="8" s="1"/>
  <c r="C54" i="3"/>
  <c r="C54" i="8" s="1"/>
  <c r="B54" i="3"/>
  <c r="B54" i="8" s="1"/>
  <c r="F53" i="3"/>
  <c r="A53" i="8" s="1"/>
  <c r="E53" i="3"/>
  <c r="E53" i="8" s="1"/>
  <c r="D53" i="3"/>
  <c r="D53" i="8" s="1"/>
  <c r="C53" i="3"/>
  <c r="C53" i="8" s="1"/>
  <c r="B53" i="3"/>
  <c r="B53" i="8" s="1"/>
  <c r="F52" i="3"/>
  <c r="A52" i="8" s="1"/>
  <c r="E52" i="3"/>
  <c r="E52" i="8" s="1"/>
  <c r="D52" i="3"/>
  <c r="D52" i="8" s="1"/>
  <c r="C52" i="3"/>
  <c r="C52" i="8" s="1"/>
  <c r="B52" i="3"/>
  <c r="B52" i="8" s="1"/>
  <c r="F51" i="3"/>
  <c r="A51" i="8" s="1"/>
  <c r="E51" i="3"/>
  <c r="E51" i="8" s="1"/>
  <c r="D51" i="3"/>
  <c r="D51" i="8" s="1"/>
  <c r="C51" i="3"/>
  <c r="C51" i="8" s="1"/>
  <c r="B51" i="3"/>
  <c r="B51" i="8" s="1"/>
  <c r="F50" i="3"/>
  <c r="A50" i="8" s="1"/>
  <c r="E50" i="3"/>
  <c r="E50" i="8" s="1"/>
  <c r="D50" i="3"/>
  <c r="D50" i="8" s="1"/>
  <c r="C50" i="3"/>
  <c r="C50" i="8" s="1"/>
  <c r="B50" i="3"/>
  <c r="B50" i="8" s="1"/>
  <c r="F49" i="3"/>
  <c r="A49" i="8" s="1"/>
  <c r="E49" i="3"/>
  <c r="E49" i="8" s="1"/>
  <c r="D49" i="3"/>
  <c r="D49" i="8" s="1"/>
  <c r="C49" i="3"/>
  <c r="C49" i="8" s="1"/>
  <c r="B49" i="3"/>
  <c r="B49" i="8" s="1"/>
  <c r="F48" i="3"/>
  <c r="A48" i="8" s="1"/>
  <c r="E48" i="3"/>
  <c r="E48" i="8" s="1"/>
  <c r="D48" i="3"/>
  <c r="D48" i="8" s="1"/>
  <c r="C48" i="3"/>
  <c r="C48" i="8" s="1"/>
  <c r="B48" i="3"/>
  <c r="B48" i="8" s="1"/>
  <c r="F47" i="3"/>
  <c r="A47" i="8" s="1"/>
  <c r="E47" i="3"/>
  <c r="E47" i="8" s="1"/>
  <c r="D47" i="3"/>
  <c r="D47" i="8" s="1"/>
  <c r="C47" i="3"/>
  <c r="C47" i="8" s="1"/>
  <c r="B47" i="3"/>
  <c r="B47" i="8" s="1"/>
  <c r="F46" i="3"/>
  <c r="A46" i="8" s="1"/>
  <c r="E46" i="3"/>
  <c r="E46" i="8" s="1"/>
  <c r="D46" i="3"/>
  <c r="D46" i="8" s="1"/>
  <c r="C46" i="3"/>
  <c r="C46" i="8" s="1"/>
  <c r="B46" i="3"/>
  <c r="B46" i="8" s="1"/>
  <c r="F45" i="3"/>
  <c r="A45" i="8" s="1"/>
  <c r="E45" i="3"/>
  <c r="E45" i="8" s="1"/>
  <c r="D45" i="3"/>
  <c r="D45" i="8" s="1"/>
  <c r="C45" i="3"/>
  <c r="C45" i="8" s="1"/>
  <c r="B45" i="3"/>
  <c r="B45" i="8" s="1"/>
  <c r="F44" i="3"/>
  <c r="A44" i="8" s="1"/>
  <c r="E44" i="3"/>
  <c r="E44" i="8" s="1"/>
  <c r="D44" i="3"/>
  <c r="D44" i="8" s="1"/>
  <c r="C44" i="3"/>
  <c r="C44" i="8" s="1"/>
  <c r="B44" i="3"/>
  <c r="B44" i="8" s="1"/>
  <c r="F43" i="3"/>
  <c r="A43" i="8" s="1"/>
  <c r="E43" i="3"/>
  <c r="E43" i="8" s="1"/>
  <c r="D43" i="3"/>
  <c r="D43" i="8" s="1"/>
  <c r="C43" i="3"/>
  <c r="C43" i="8" s="1"/>
  <c r="B43" i="3"/>
  <c r="B43" i="8" s="1"/>
  <c r="F42" i="3"/>
  <c r="A42" i="8" s="1"/>
  <c r="E42" i="3"/>
  <c r="E42" i="8" s="1"/>
  <c r="D42" i="3"/>
  <c r="D42" i="8" s="1"/>
  <c r="C42" i="3"/>
  <c r="C42" i="8" s="1"/>
  <c r="B42" i="3"/>
  <c r="B42" i="8" s="1"/>
  <c r="F41" i="3"/>
  <c r="A41" i="8" s="1"/>
  <c r="E41" i="3"/>
  <c r="E41" i="8" s="1"/>
  <c r="D41" i="3"/>
  <c r="D41" i="8" s="1"/>
  <c r="C41" i="3"/>
  <c r="C41" i="8" s="1"/>
  <c r="B41" i="3"/>
  <c r="B41" i="8" s="1"/>
  <c r="F40" i="3"/>
  <c r="A40" i="8" s="1"/>
  <c r="E40" i="3"/>
  <c r="E40" i="8" s="1"/>
  <c r="D40" i="3"/>
  <c r="D40" i="8" s="1"/>
  <c r="C40" i="3"/>
  <c r="C40" i="8" s="1"/>
  <c r="B40" i="3"/>
  <c r="B40" i="8" s="1"/>
  <c r="F39" i="3"/>
  <c r="A39" i="8" s="1"/>
  <c r="E39" i="3"/>
  <c r="E39" i="8" s="1"/>
  <c r="D39" i="3"/>
  <c r="D39" i="8" s="1"/>
  <c r="C39" i="3"/>
  <c r="C39" i="8" s="1"/>
  <c r="B39" i="3"/>
  <c r="B39" i="8" s="1"/>
  <c r="F38" i="3"/>
  <c r="A38" i="8" s="1"/>
  <c r="E38" i="3"/>
  <c r="E38" i="8" s="1"/>
  <c r="D38" i="3"/>
  <c r="D38" i="8" s="1"/>
  <c r="C38" i="3"/>
  <c r="C38" i="8" s="1"/>
  <c r="B38" i="3"/>
  <c r="B38" i="8" s="1"/>
  <c r="F37" i="3"/>
  <c r="A37" i="8" s="1"/>
  <c r="E37" i="3"/>
  <c r="E37" i="8" s="1"/>
  <c r="D37" i="3"/>
  <c r="D37" i="8" s="1"/>
  <c r="C37" i="3"/>
  <c r="C37" i="8" s="1"/>
  <c r="B37" i="3"/>
  <c r="B37" i="8" s="1"/>
  <c r="F36" i="3"/>
  <c r="A36" i="8" s="1"/>
  <c r="E36" i="3"/>
  <c r="E36" i="8" s="1"/>
  <c r="D36" i="3"/>
  <c r="D36" i="8" s="1"/>
  <c r="C36" i="3"/>
  <c r="C36" i="8" s="1"/>
  <c r="B36" i="3"/>
  <c r="B36" i="8" s="1"/>
  <c r="F35" i="3"/>
  <c r="A35" i="8" s="1"/>
  <c r="E35" i="3"/>
  <c r="E35" i="8" s="1"/>
  <c r="D35" i="3"/>
  <c r="D35" i="8" s="1"/>
  <c r="C35" i="3"/>
  <c r="C35" i="8" s="1"/>
  <c r="B35" i="3"/>
  <c r="B35" i="8" s="1"/>
  <c r="F34" i="3"/>
  <c r="A34" i="8" s="1"/>
  <c r="E34" i="3"/>
  <c r="E34" i="8" s="1"/>
  <c r="D34" i="3"/>
  <c r="D34" i="8" s="1"/>
  <c r="C34" i="3"/>
  <c r="C34" i="8" s="1"/>
  <c r="B34" i="3"/>
  <c r="B34" i="8" s="1"/>
  <c r="F33" i="3"/>
  <c r="A33" i="8" s="1"/>
  <c r="E33" i="3"/>
  <c r="E33" i="8" s="1"/>
  <c r="D33" i="3"/>
  <c r="D33" i="8" s="1"/>
  <c r="C33" i="3"/>
  <c r="C33" i="8" s="1"/>
  <c r="B33" i="3"/>
  <c r="B33" i="8" s="1"/>
  <c r="F32" i="3"/>
  <c r="A32" i="8" s="1"/>
  <c r="E32" i="3"/>
  <c r="E32" i="8" s="1"/>
  <c r="D32" i="3"/>
  <c r="D32" i="8" s="1"/>
  <c r="C32" i="3"/>
  <c r="C32" i="8" s="1"/>
  <c r="B32" i="3"/>
  <c r="B32" i="8" s="1"/>
  <c r="F31" i="3"/>
  <c r="A31" i="8" s="1"/>
  <c r="E31" i="3"/>
  <c r="E31" i="8" s="1"/>
  <c r="D31" i="3"/>
  <c r="D31" i="8" s="1"/>
  <c r="C31" i="3"/>
  <c r="C31" i="8" s="1"/>
  <c r="B31" i="3"/>
  <c r="B31" i="8" s="1"/>
  <c r="F30" i="3"/>
  <c r="A30" i="8" s="1"/>
  <c r="E30" i="3"/>
  <c r="E30" i="8" s="1"/>
  <c r="D30" i="3"/>
  <c r="D30" i="8" s="1"/>
  <c r="C30" i="3"/>
  <c r="C30" i="8" s="1"/>
  <c r="B30" i="3"/>
  <c r="B30" i="8" s="1"/>
  <c r="F29" i="3"/>
  <c r="A29" i="8" s="1"/>
  <c r="E29" i="3"/>
  <c r="E29" i="8" s="1"/>
  <c r="D29" i="3"/>
  <c r="D29" i="8" s="1"/>
  <c r="C29" i="3"/>
  <c r="C29" i="8" s="1"/>
  <c r="B29" i="3"/>
  <c r="B29" i="8" s="1"/>
  <c r="F28" i="3"/>
  <c r="A28" i="8" s="1"/>
  <c r="E28" i="3"/>
  <c r="E28" i="8" s="1"/>
  <c r="D28" i="3"/>
  <c r="D28" i="8" s="1"/>
  <c r="C28" i="3"/>
  <c r="C28" i="8" s="1"/>
  <c r="B28" i="3"/>
  <c r="B28" i="8" s="1"/>
  <c r="F27" i="3"/>
  <c r="A27" i="8" s="1"/>
  <c r="E27" i="3"/>
  <c r="E27" i="8" s="1"/>
  <c r="D27" i="3"/>
  <c r="D27" i="8" s="1"/>
  <c r="C27" i="3"/>
  <c r="C27" i="8" s="1"/>
  <c r="B27" i="3"/>
  <c r="B27" i="8" s="1"/>
  <c r="F26" i="3"/>
  <c r="A26" i="8" s="1"/>
  <c r="E26" i="3"/>
  <c r="E26" i="8" s="1"/>
  <c r="D26" i="3"/>
  <c r="D26" i="8" s="1"/>
  <c r="C26" i="3"/>
  <c r="C26" i="8" s="1"/>
  <c r="B26" i="3"/>
  <c r="B26" i="8" s="1"/>
  <c r="F25" i="3"/>
  <c r="A25" i="8" s="1"/>
  <c r="E25" i="3"/>
  <c r="E25" i="8" s="1"/>
  <c r="D25" i="3"/>
  <c r="D25" i="8" s="1"/>
  <c r="C25" i="3"/>
  <c r="C25" i="8" s="1"/>
  <c r="B25" i="3"/>
  <c r="B25" i="8" s="1"/>
  <c r="F24" i="3"/>
  <c r="A24" i="8" s="1"/>
  <c r="E24" i="3"/>
  <c r="E24" i="8" s="1"/>
  <c r="D24" i="3"/>
  <c r="D24" i="8" s="1"/>
  <c r="C24" i="3"/>
  <c r="C24" i="8" s="1"/>
  <c r="B24" i="3"/>
  <c r="B24" i="8" s="1"/>
  <c r="F23" i="3"/>
  <c r="A23" i="8" s="1"/>
  <c r="E23" i="3"/>
  <c r="E23" i="8" s="1"/>
  <c r="D23" i="3"/>
  <c r="D23" i="8" s="1"/>
  <c r="C23" i="3"/>
  <c r="C23" i="8" s="1"/>
  <c r="B23" i="3"/>
  <c r="B23" i="8" s="1"/>
  <c r="F22" i="3"/>
  <c r="A22" i="8" s="1"/>
  <c r="E22" i="3"/>
  <c r="E22" i="8" s="1"/>
  <c r="D22" i="3"/>
  <c r="D22" i="8" s="1"/>
  <c r="C22" i="3"/>
  <c r="C22" i="8" s="1"/>
  <c r="B22" i="3"/>
  <c r="B22" i="8" s="1"/>
  <c r="F21" i="3"/>
  <c r="A21" i="8" s="1"/>
  <c r="E21" i="3"/>
  <c r="E21" i="8" s="1"/>
  <c r="D21" i="3"/>
  <c r="D21" i="8" s="1"/>
  <c r="C21" i="3"/>
  <c r="C21" i="8" s="1"/>
  <c r="B21" i="3"/>
  <c r="B21" i="8" s="1"/>
  <c r="F20" i="3"/>
  <c r="A20" i="8" s="1"/>
  <c r="E20" i="3"/>
  <c r="E20" i="8" s="1"/>
  <c r="D20" i="3"/>
  <c r="D20" i="8" s="1"/>
  <c r="C20" i="3"/>
  <c r="C20" i="8" s="1"/>
  <c r="B20" i="3"/>
  <c r="B20" i="8" s="1"/>
  <c r="F19" i="3"/>
  <c r="A19" i="8" s="1"/>
  <c r="E19" i="3"/>
  <c r="E19" i="8" s="1"/>
  <c r="D19" i="3"/>
  <c r="D19" i="8" s="1"/>
  <c r="C19" i="3"/>
  <c r="C19" i="8" s="1"/>
  <c r="B19" i="3"/>
  <c r="B19" i="8" s="1"/>
  <c r="F18" i="3"/>
  <c r="A18" i="8" s="1"/>
  <c r="E18" i="3"/>
  <c r="E18" i="8" s="1"/>
  <c r="D18" i="3"/>
  <c r="D18" i="8" s="1"/>
  <c r="C18" i="3"/>
  <c r="C18" i="8" s="1"/>
  <c r="B18" i="3"/>
  <c r="B18" i="8" s="1"/>
  <c r="F17" i="3"/>
  <c r="A17" i="8" s="1"/>
  <c r="E17" i="3"/>
  <c r="E17" i="8" s="1"/>
  <c r="D17" i="3"/>
  <c r="D17" i="8" s="1"/>
  <c r="C17" i="3"/>
  <c r="C17" i="8" s="1"/>
  <c r="B17" i="3"/>
  <c r="B17" i="8" s="1"/>
  <c r="F16" i="3"/>
  <c r="A16" i="8" s="1"/>
  <c r="E16" i="3"/>
  <c r="E16" i="8" s="1"/>
  <c r="D16" i="3"/>
  <c r="D16" i="8" s="1"/>
  <c r="C16" i="3"/>
  <c r="C16" i="8" s="1"/>
  <c r="B16" i="3"/>
  <c r="B16" i="8" s="1"/>
  <c r="F15" i="3"/>
  <c r="A15" i="8" s="1"/>
  <c r="E15" i="3"/>
  <c r="E15" i="8" s="1"/>
  <c r="D15" i="3"/>
  <c r="D15" i="8" s="1"/>
  <c r="C15" i="3"/>
  <c r="C15" i="8" s="1"/>
  <c r="B15" i="3"/>
  <c r="B15" i="8" s="1"/>
  <c r="F14" i="3"/>
  <c r="A14" i="8" s="1"/>
  <c r="E14" i="3"/>
  <c r="E14" i="8" s="1"/>
  <c r="D14" i="3"/>
  <c r="D14" i="8" s="1"/>
  <c r="C14" i="3"/>
  <c r="C14" i="8" s="1"/>
  <c r="B14" i="3"/>
  <c r="B14" i="8" s="1"/>
  <c r="F13" i="3"/>
  <c r="A13" i="8" s="1"/>
  <c r="E13" i="3"/>
  <c r="E13" i="8" s="1"/>
  <c r="D13" i="3"/>
  <c r="D13" i="8" s="1"/>
  <c r="C13" i="3"/>
  <c r="C13" i="8" s="1"/>
  <c r="B13" i="3"/>
  <c r="B13" i="8" s="1"/>
  <c r="F12" i="3"/>
  <c r="A12" i="8" s="1"/>
  <c r="E12" i="3"/>
  <c r="E12" i="8" s="1"/>
  <c r="D12" i="3"/>
  <c r="D12" i="8" s="1"/>
  <c r="C12" i="3"/>
  <c r="C12" i="8" s="1"/>
  <c r="B12" i="3"/>
  <c r="B12" i="8" s="1"/>
  <c r="F11" i="3"/>
  <c r="A11" i="8" s="1"/>
  <c r="E11" i="3"/>
  <c r="E11" i="8" s="1"/>
  <c r="D11" i="3"/>
  <c r="D11" i="8" s="1"/>
  <c r="C11" i="3"/>
  <c r="C11" i="8" s="1"/>
  <c r="B11" i="3"/>
  <c r="B11" i="8" s="1"/>
  <c r="F10" i="3"/>
  <c r="A10" i="8" s="1"/>
  <c r="E10" i="3"/>
  <c r="E10" i="8" s="1"/>
  <c r="D10" i="3"/>
  <c r="D10" i="8" s="1"/>
  <c r="C10" i="3"/>
  <c r="C10" i="8" s="1"/>
  <c r="B10" i="3"/>
  <c r="B10" i="8" s="1"/>
  <c r="F9" i="3"/>
  <c r="A9" i="8" s="1"/>
  <c r="E9" i="3"/>
  <c r="E9" i="8" s="1"/>
  <c r="D9" i="3"/>
  <c r="D9" i="8" s="1"/>
  <c r="C9" i="3"/>
  <c r="C9" i="8" s="1"/>
  <c r="B9" i="3"/>
  <c r="B9" i="8" s="1"/>
  <c r="F8" i="3"/>
  <c r="A8" i="8" s="1"/>
  <c r="E8" i="3"/>
  <c r="E8" i="8" s="1"/>
  <c r="D8" i="3"/>
  <c r="D8" i="8" s="1"/>
  <c r="C8" i="3"/>
  <c r="C8" i="8" s="1"/>
  <c r="B8" i="3"/>
  <c r="B8" i="8" s="1"/>
  <c r="F7" i="3"/>
  <c r="A7" i="8" s="1"/>
  <c r="E7" i="3"/>
  <c r="E7" i="8" s="1"/>
  <c r="D7" i="3"/>
  <c r="D7" i="8" s="1"/>
  <c r="C7" i="3"/>
  <c r="C7" i="8" s="1"/>
  <c r="B7" i="3"/>
  <c r="B7" i="8" s="1"/>
  <c r="F6" i="3"/>
  <c r="A6" i="8" s="1"/>
  <c r="E6" i="3"/>
  <c r="E6" i="8" s="1"/>
  <c r="D6" i="3"/>
  <c r="D6" i="8" s="1"/>
  <c r="C6" i="3"/>
  <c r="C6" i="8" s="1"/>
  <c r="B6" i="3"/>
  <c r="B6" i="8" s="1"/>
  <c r="F5" i="3"/>
  <c r="A5" i="8" s="1"/>
  <c r="E5" i="3"/>
  <c r="E5" i="8" s="1"/>
  <c r="D5" i="3"/>
  <c r="D5" i="8" s="1"/>
  <c r="C5" i="3"/>
  <c r="C5" i="8" s="1"/>
  <c r="B5" i="3"/>
  <c r="B5" i="8" s="1"/>
  <c r="F4" i="3"/>
  <c r="A4" i="8" s="1"/>
  <c r="E4" i="3"/>
  <c r="E4" i="8" s="1"/>
  <c r="D4" i="3"/>
  <c r="D4" i="8" s="1"/>
  <c r="C4" i="3"/>
  <c r="C4" i="8" s="1"/>
  <c r="B4" i="3"/>
  <c r="B4" i="8" s="1"/>
  <c r="F3" i="3"/>
  <c r="A3" i="8" s="1"/>
  <c r="E3" i="3"/>
  <c r="E6" i="4" s="1"/>
  <c r="D3" i="3"/>
  <c r="D6" i="4" s="1"/>
  <c r="C3" i="3"/>
  <c r="C6" i="4" s="1"/>
  <c r="B3" i="3"/>
  <c r="B6" i="4" s="1"/>
  <c r="E7" i="4" l="1"/>
  <c r="E9" i="4" s="1"/>
  <c r="E8" i="4"/>
  <c r="D7" i="4"/>
  <c r="B7" i="4"/>
  <c r="C7" i="4"/>
  <c r="E4" i="4"/>
  <c r="E5" i="4" s="1"/>
  <c r="B11" i="4"/>
  <c r="D6" i="5"/>
  <c r="F4" i="4"/>
  <c r="F5" i="4" s="1"/>
  <c r="C11" i="4"/>
  <c r="E6" i="5"/>
  <c r="D11" i="4"/>
  <c r="E11" i="4"/>
  <c r="F11" i="4"/>
  <c r="B12" i="4"/>
  <c r="G11" i="7"/>
  <c r="F11" i="7"/>
  <c r="C12" i="4"/>
  <c r="D12" i="4"/>
  <c r="E11" i="7"/>
  <c r="C44" i="7"/>
  <c r="E12" i="4"/>
  <c r="C3" i="8"/>
  <c r="C7" i="5"/>
  <c r="F12" i="4"/>
  <c r="B6" i="5"/>
  <c r="B3" i="8"/>
  <c r="B7" i="5"/>
  <c r="D4" i="5"/>
  <c r="D3" i="8"/>
  <c r="D7" i="5"/>
  <c r="B4" i="5"/>
  <c r="E5" i="5"/>
  <c r="E4" i="5"/>
  <c r="E3" i="8"/>
  <c r="E7" i="5"/>
  <c r="F6" i="4"/>
  <c r="B10" i="4"/>
  <c r="C4" i="5"/>
  <c r="C10" i="4"/>
  <c r="B5" i="5"/>
  <c r="B4" i="4"/>
  <c r="B5" i="4" s="1"/>
  <c r="D10" i="4"/>
  <c r="C5" i="5"/>
  <c r="C4" i="4"/>
  <c r="C5" i="4" s="1"/>
  <c r="E10" i="4"/>
  <c r="D5" i="5"/>
  <c r="D4" i="4"/>
  <c r="D5" i="4" s="1"/>
  <c r="F10" i="4"/>
  <c r="C6" i="5"/>
  <c r="D6" i="7" l="1"/>
  <c r="D39" i="7" s="1"/>
  <c r="D5" i="6"/>
  <c r="B6" i="7"/>
  <c r="B39" i="7" s="1"/>
  <c r="D10" i="7"/>
  <c r="D43" i="7" s="1"/>
  <c r="C10" i="7"/>
  <c r="B9" i="6"/>
  <c r="D5" i="7"/>
  <c r="D38" i="7" s="1"/>
  <c r="B5" i="7"/>
  <c r="B38" i="7" s="1"/>
  <c r="C5" i="6"/>
  <c r="E6" i="6"/>
  <c r="C7" i="7"/>
  <c r="C4" i="7"/>
  <c r="B6" i="6"/>
  <c r="F8" i="4"/>
  <c r="F7" i="4"/>
  <c r="F9" i="4" s="1"/>
  <c r="C8" i="4"/>
  <c r="C9" i="4"/>
  <c r="C6" i="7"/>
  <c r="D6" i="6"/>
  <c r="C5" i="7"/>
  <c r="C6" i="6"/>
  <c r="B8" i="4"/>
  <c r="E5" i="6"/>
  <c r="D7" i="7"/>
  <c r="D40" i="7" s="1"/>
  <c r="B7" i="7"/>
  <c r="B40" i="7" s="1"/>
  <c r="B9" i="4"/>
  <c r="D8" i="4"/>
  <c r="B4" i="7"/>
  <c r="B37" i="7" s="1"/>
  <c r="D4" i="7"/>
  <c r="D37" i="7" s="1"/>
  <c r="B5" i="6"/>
  <c r="D9" i="4"/>
  <c r="E6" i="7" l="1"/>
  <c r="G6" i="7"/>
  <c r="F6" i="7"/>
  <c r="H6" i="7" s="1"/>
  <c r="C39" i="7"/>
  <c r="F7" i="7"/>
  <c r="H7" i="7" s="1"/>
  <c r="E7" i="7"/>
  <c r="C40" i="7"/>
  <c r="G7" i="7"/>
  <c r="B7" i="6"/>
  <c r="G4" i="7"/>
  <c r="C37" i="7"/>
  <c r="F4" i="7"/>
  <c r="H4" i="7" s="1"/>
  <c r="E4" i="7"/>
  <c r="B25" i="7"/>
  <c r="B23" i="6"/>
  <c r="B24" i="6" s="1"/>
  <c r="B24" i="7"/>
  <c r="B22" i="7"/>
  <c r="B21" i="7"/>
  <c r="B20" i="7"/>
  <c r="B19" i="7"/>
  <c r="B18" i="7"/>
  <c r="B23" i="7"/>
  <c r="B17" i="7"/>
  <c r="B16" i="7"/>
  <c r="B15" i="7"/>
  <c r="C43" i="7"/>
  <c r="G10" i="7"/>
  <c r="F10" i="7"/>
  <c r="E10" i="7"/>
  <c r="C38" i="7"/>
  <c r="G5" i="7"/>
  <c r="F5" i="7"/>
  <c r="H5" i="7" s="1"/>
  <c r="E5" i="7"/>
  <c r="B8" i="7" l="1"/>
  <c r="B41" i="7" s="1"/>
  <c r="C14" i="6"/>
  <c r="D14" i="6" s="1"/>
  <c r="B19" i="6" s="1"/>
  <c r="B10" i="6"/>
  <c r="B9" i="7" l="1"/>
  <c r="B42" i="7" s="1"/>
  <c r="B25" i="6"/>
  <c r="B26" i="6" s="1"/>
  <c r="D8" i="7"/>
  <c r="D41" i="7" s="1"/>
  <c r="C8" i="7"/>
  <c r="D9" i="7" l="1"/>
  <c r="D42" i="7" s="1"/>
  <c r="C9" i="7"/>
  <c r="G8" i="7"/>
  <c r="F8" i="7"/>
  <c r="C41" i="7"/>
  <c r="E8" i="7"/>
  <c r="G9" i="7" l="1"/>
  <c r="F9" i="7"/>
  <c r="E9" i="7"/>
  <c r="C42" i="7"/>
</calcChain>
</file>

<file path=xl/sharedStrings.xml><?xml version="1.0" encoding="utf-8"?>
<sst xmlns="http://schemas.openxmlformats.org/spreadsheetml/2006/main" count="180" uniqueCount="146">
  <si>
    <t>FINANCIAL MANAGEMENT</t>
  </si>
  <si>
    <t>ASSIGNMENT #3 — PORTFOLIO ANALYSIS</t>
  </si>
  <si>
    <t>Course</t>
  </si>
  <si>
    <t>Financial Management</t>
  </si>
  <si>
    <t>Section</t>
  </si>
  <si>
    <t>BBD-IV</t>
  </si>
  <si>
    <t>Due Date</t>
  </si>
  <si>
    <t>11th April, 2026</t>
  </si>
  <si>
    <t>Data Period</t>
  </si>
  <si>
    <t>1 Jan 2019 – 31 Dec 2025</t>
  </si>
  <si>
    <t>Companies</t>
  </si>
  <si>
    <t>OGDC | LUCK | HBL | ENGRO</t>
  </si>
  <si>
    <t>Benchmark</t>
  </si>
  <si>
    <t>KSE-100 Index</t>
  </si>
  <si>
    <t>Risk-Free Rate (12M T-Bill)</t>
  </si>
  <si>
    <t>11.35% p.a.</t>
  </si>
  <si>
    <t>Data Source</t>
  </si>
  <si>
    <t>PSX.com.pk / Investing.com</t>
  </si>
  <si>
    <t>Date</t>
  </si>
  <si>
    <t>OGDC</t>
  </si>
  <si>
    <t>LUCK</t>
  </si>
  <si>
    <t>HBL</t>
  </si>
  <si>
    <t>ENGRO</t>
  </si>
  <si>
    <t>KSE-100</t>
  </si>
  <si>
    <t>OGDC Return</t>
  </si>
  <si>
    <t>LUCK Return</t>
  </si>
  <si>
    <t>HBL Return</t>
  </si>
  <si>
    <t>ENGRO Return</t>
  </si>
  <si>
    <t>KSE-100 Return</t>
  </si>
  <si>
    <t>PART 1 &amp; 2 — RETURNS ANALYSIS, STANDARD DEVIATION &amp; COEFFICIENT OF VARIATION</t>
  </si>
  <si>
    <t>Daily returns data from 'Daily Returns' sheet | Period: Jan 2019 – Dec 2025</t>
  </si>
  <si>
    <t>Metric</t>
  </si>
  <si>
    <t>Average Daily Return</t>
  </si>
  <si>
    <t>Average Annual Return</t>
  </si>
  <si>
    <t>Standard Deviation (Daily)</t>
  </si>
  <si>
    <t>Standard Deviation (Annual)</t>
  </si>
  <si>
    <t>Coefficient of Variation (Daily)</t>
  </si>
  <si>
    <t>Coefficient of Variation (Annual)</t>
  </si>
  <si>
    <t>Minimum Daily Return</t>
  </si>
  <si>
    <t>Maximum Daily Return</t>
  </si>
  <si>
    <t>Number of Observations</t>
  </si>
  <si>
    <t>INTERPRETATION</t>
  </si>
  <si>
    <t>• Average Return: Higher average return indicates better performance over 7-year period. ENGRO &amp; LUCK show highest annual returns.</t>
  </si>
  <si>
    <t>• Standard Deviation: Measures total risk (volatility). Higher std dev = more volatile/risky stock. ENGRO shows highest volatility.</t>
  </si>
  <si>
    <t>• Coefficient of Variation (CV): Risk per unit of return. Lower CV = more efficient risk-return tradeoff. Use for cross-stock comparison.</t>
  </si>
  <si>
    <t>• KSE-100 serves as market benchmark. Individual stocks are compared against this to measure relative performance.</t>
  </si>
  <si>
    <t>PART 4 — BETA ESTIMATION VIA REGRESSION (Company Returns vs KSE-100 Returns)</t>
  </si>
  <si>
    <t>Beta = SLOPE(stock returns, KSE-100 returns) | Alpha = INTERCEPT | R² = CORREL²</t>
  </si>
  <si>
    <t>Interpretation</t>
  </si>
  <si>
    <t>Beta (β)</t>
  </si>
  <si>
    <t>Alpha (α)</t>
  </si>
  <si>
    <t>Correlation (r)</t>
  </si>
  <si>
    <t>R-Squared (R²)</t>
  </si>
  <si>
    <t>BETA INTERPRETATION &amp; CAPM FRAMEWORK</t>
  </si>
  <si>
    <t>β = 1.0</t>
  </si>
  <si>
    <t>Stock moves perfectly in sync with market. Same systematic risk as market portfolio.</t>
  </si>
  <si>
    <t>β &gt; 1.0</t>
  </si>
  <si>
    <t>Aggressive stock. Amplifies market movements. Suitable for bull markets. Higher risk &amp; return.</t>
  </si>
  <si>
    <t>β &lt; 1.0</t>
  </si>
  <si>
    <t>Defensive stock. Less sensitive to market swings. Lower risk. Suitable for bear markets.</t>
  </si>
  <si>
    <t>β = 0.0</t>
  </si>
  <si>
    <t>Stock has no correlation with market (e.g., money market instruments).</t>
  </si>
  <si>
    <t>β &lt; 0.0</t>
  </si>
  <si>
    <t>Inverse relationship with market (e.g., gold, some hedges). Rare for equities.</t>
  </si>
  <si>
    <t>Consistency with Scatter</t>
  </si>
  <si>
    <t>Steeper slope in scatter diagram = higher beta. Visual inspection should confirm regression results.</t>
  </si>
  <si>
    <t>PART 5 — PORTFOLIO FORMATION (Weights: 30% | 30% | 20% | 10%)</t>
  </si>
  <si>
    <t>Component</t>
  </si>
  <si>
    <t>Portfolio</t>
  </si>
  <si>
    <t>Note: Assignment weights sum to 90% (30%+30%+20%+10%). Remaining 10% is implicitly unallocated (no 5th asset specified).</t>
  </si>
  <si>
    <t>Weight (wi)</t>
  </si>
  <si>
    <t>Beta (βi)</t>
  </si>
  <si>
    <t>Annual Avg Return</t>
  </si>
  <si>
    <t>Portfolio Beta (β_p)</t>
  </si>
  <si>
    <t>Risk-Free Rate (Rf) — 12M T-Bill</t>
  </si>
  <si>
    <t>Source: SBP T-Bill Auction Jan 2025</t>
  </si>
  <si>
    <t>Market Return (Rm) — KSE-100 Annual Avg</t>
  </si>
  <si>
    <t>Required Return (CAPM): Rf + β_p(Rm - Rf)</t>
  </si>
  <si>
    <t>PART 6 — NEW COMBINED PORTFOLIO BETA (Adding 3 External Stocks)</t>
  </si>
  <si>
    <t>Asset</t>
  </si>
  <si>
    <t>Weighted Beta (wi×βi)</t>
  </si>
  <si>
    <t>Our Portfolio (Part 5)</t>
  </si>
  <si>
    <t>Stock A</t>
  </si>
  <si>
    <t>Stock B</t>
  </si>
  <si>
    <t>Stock C</t>
  </si>
  <si>
    <t>Total Weight Check</t>
  </si>
  <si>
    <t>New Combined Portfolio Beta (β_new)</t>
  </si>
  <si>
    <t>PART 7 — REQUIRED RETURN OF NEW PORTFOLIO (CAPM)</t>
  </si>
  <si>
    <t>Risk-Free Rate (Rf)</t>
  </si>
  <si>
    <t>12-month T-Bill rate from SBP auction</t>
  </si>
  <si>
    <t>Market Return (Rm)</t>
  </si>
  <si>
    <t>Average annual KSE-100 return (Part 1)</t>
  </si>
  <si>
    <t>Market Risk Premium (Rm - Rf)</t>
  </si>
  <si>
    <t>Excess return above risk-free</t>
  </si>
  <si>
    <t>New Portfolio Beta (β_new)</t>
  </si>
  <si>
    <t>Calculated in Part 6</t>
  </si>
  <si>
    <t>Required Return = Rf + β(Rm-Rf)</t>
  </si>
  <si>
    <t>CAPM Formula</t>
  </si>
  <si>
    <t>PART 8 — SECURITY MARKET LINE (SML) &amp; STOCK VALUATION</t>
  </si>
  <si>
    <t>SML: Required Return = Rf + β × (Rm − Rf)  |  Undervalued: Actual Return &gt; Required Return  |  Overvalued: Actual Return &lt; Required Return</t>
  </si>
  <si>
    <t>Stock / Asset</t>
  </si>
  <si>
    <t>Actual Annual Return</t>
  </si>
  <si>
    <t>Required Return (CAPM)</t>
  </si>
  <si>
    <t>Risk Premium (Rm-Rf)</t>
  </si>
  <si>
    <t>Over/Undervalued?</t>
  </si>
  <si>
    <t>Mispricing (bps)</t>
  </si>
  <si>
    <t>Plot Position</t>
  </si>
  <si>
    <t>Our Portfolio</t>
  </si>
  <si>
    <t>On SML</t>
  </si>
  <si>
    <t>New Portfolio</t>
  </si>
  <si>
    <t>KSE-100 (Market)</t>
  </si>
  <si>
    <t>1</t>
  </si>
  <si>
    <t>On SML (Market)</t>
  </si>
  <si>
    <t>Risk-Free Asset</t>
  </si>
  <si>
    <t>0</t>
  </si>
  <si>
    <t>On SML (Origin)</t>
  </si>
  <si>
    <t>SML LINE DATA (for chart — Required Return at each Beta level)</t>
  </si>
  <si>
    <t>Beta (X)</t>
  </si>
  <si>
    <t>SML Required Return (Y)</t>
  </si>
  <si>
    <t>SML INTERPRETATION GUIDE</t>
  </si>
  <si>
    <t>• The SML plots Required Return (Y-axis) against Beta (X-axis). The line starts at Rf (β=0) and passes through the market return (β=1).</t>
  </si>
  <si>
    <t>• UNDERVALUED stocks plot ABOVE the SML: their actual return exceeds what CAPM requires for that risk level → Buy signal.</t>
  </si>
  <si>
    <t>• OVERVALUED stocks plot BELOW the SML: their actual return is less than CAPM required → Sell/avoid signal.</t>
  </si>
  <si>
    <t>• Fairly valued stocks plot EXACTLY ON the SML.</t>
  </si>
  <si>
    <t>• Slope of SML = Market Risk Premium (Rm - Rf). A steeper SML indicates higher risk aversion in the market.</t>
  </si>
  <si>
    <t>CHART HELPER DATA</t>
  </si>
  <si>
    <t>Beta</t>
  </si>
  <si>
    <t>Actual Return</t>
  </si>
  <si>
    <t>Required Return</t>
  </si>
  <si>
    <t>Market</t>
  </si>
  <si>
    <t>Rf</t>
  </si>
  <si>
    <t>PART 3 — SCATTER DIAGRAM DATA (Company Returns vs KSE-100 Returns)</t>
  </si>
  <si>
    <t>KSE-100 Return (X)</t>
  </si>
  <si>
    <t>📊 CHART INSTRUCTIONS: Select columns A-E (rows 2 onwards) → Insert → Scatter Chart. Each company's returns plotted against KSE-100 returns. Slope of trendline = Beta.</t>
  </si>
  <si>
    <t xml:space="preserve">Submitted By: </t>
  </si>
  <si>
    <t xml:space="preserve">Daniyal Nadeem </t>
  </si>
  <si>
    <t>Hamza Zohad Khan</t>
  </si>
  <si>
    <t>Ayaan Qaiser</t>
  </si>
  <si>
    <t xml:space="preserve">Muhammad Omer </t>
  </si>
  <si>
    <t>FA24-BBD-120</t>
  </si>
  <si>
    <t>SP23-BBD-046</t>
  </si>
  <si>
    <t>FA24-BBD-036</t>
  </si>
  <si>
    <t>Roll No.</t>
  </si>
  <si>
    <t>FA24-BBD-060</t>
  </si>
  <si>
    <t>FA24-BBD-108</t>
  </si>
  <si>
    <t>Muhammad Abdullah Tiwana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</si>
</sst>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"/>
    <numFmt numFmtId="165" formatCode="0.0000%"/>
    <numFmt numFmtId="166" formatCode="0.000"/>
    <numFmt numFmtId="167" formatCode="0.000000%"/>
    <numFmt numFmtId="168" formatCode="0.0000"/>
    <numFmt numFmtId="169" formatCode="0.0&quot; bps&quot;"/>
    <numFmt numFmtId="170" formatCode="0.0"/>
  </numFmts>
  <fonts count="2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20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1F3864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0"/>
      <color rgb="FF1F3864"/>
      <name val="Arial"/>
      <charset val="1"/>
    </font>
    <font>
      <i/>
      <sz val="9"/>
      <color rgb="FF595959"/>
      <name val="Arial"/>
      <charset val="1"/>
    </font>
    <font>
      <sz val="10"/>
      <color rgb="FF008000"/>
      <name val="Arial"/>
      <charset val="1"/>
    </font>
    <font>
      <b/>
      <sz val="12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2"/>
      <color rgb="FF008000"/>
      <name val="Arial"/>
      <charset val="1"/>
    </font>
    <font>
      <b/>
      <sz val="10"/>
      <color rgb="FFFFFFFF"/>
      <name val="Arial"/>
      <charset val="1"/>
    </font>
    <font>
      <b/>
      <sz val="11"/>
      <name val="Cambria"/>
      <charset val="1"/>
    </font>
    <font>
      <sz val="12"/>
      <color theme="1"/>
      <name val="Calibri"/>
      <family val="2"/>
      <scheme val="minor"/>
    </font>
    <font>
      <sz val="8"/>
      <name val="Calibri"/>
      <family val="2"/>
      <charset val="1"/>
    </font>
    <font>
      <b/>
      <sz val="12"/>
      <color theme="3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F2F2F2"/>
      </patternFill>
    </fill>
    <fill>
      <patternFill patternType="solid">
        <fgColor rgb="FF2E75B6"/>
        <bgColor rgb="FF0070C0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88">
    <xf numFmtId="0" fontId="0" fillId="0" borderId="0" xfId="0"/>
    <xf numFmtId="10" fontId="17" fillId="5" borderId="1" xfId="0" applyNumberFormat="1" applyFont="1" applyFill="1" applyBorder="1" applyAlignment="1">
      <alignment horizontal="center"/>
    </xf>
    <xf numFmtId="10" fontId="11" fillId="3" borderId="1" xfId="0" applyNumberFormat="1" applyFont="1" applyFill="1" applyBorder="1" applyAlignment="1">
      <alignment horizontal="center"/>
    </xf>
    <xf numFmtId="166" fontId="18" fillId="7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/>
    </xf>
    <xf numFmtId="4" fontId="7" fillId="5" borderId="1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4" fontId="7" fillId="6" borderId="1" xfId="0" applyNumberFormat="1" applyFont="1" applyFill="1" applyBorder="1" applyAlignment="1">
      <alignment horizontal="center"/>
    </xf>
    <xf numFmtId="0" fontId="7" fillId="5" borderId="1" xfId="0" applyFont="1" applyFill="1" applyBorder="1"/>
    <xf numFmtId="0" fontId="0" fillId="0" borderId="1" xfId="0" applyBorder="1"/>
    <xf numFmtId="10" fontId="7" fillId="6" borderId="1" xfId="0" applyNumberFormat="1" applyFont="1" applyFill="1" applyBorder="1" applyAlignment="1">
      <alignment horizontal="center"/>
    </xf>
    <xf numFmtId="10" fontId="7" fillId="5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165" fontId="11" fillId="5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10" fontId="11" fillId="6" borderId="1" xfId="0" applyNumberFormat="1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0" fontId="11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166" fontId="14" fillId="5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167" fontId="14" fillId="6" borderId="1" xfId="0" applyNumberFormat="1" applyFont="1" applyFill="1" applyBorder="1" applyAlignment="1">
      <alignment horizontal="center" vertical="center"/>
    </xf>
    <xf numFmtId="168" fontId="14" fillId="5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9" fontId="11" fillId="5" borderId="1" xfId="0" applyNumberFormat="1" applyFont="1" applyFill="1" applyBorder="1" applyAlignment="1">
      <alignment horizontal="center"/>
    </xf>
    <xf numFmtId="166" fontId="17" fillId="6" borderId="1" xfId="0" applyNumberFormat="1" applyFont="1" applyFill="1" applyBorder="1" applyAlignment="1">
      <alignment horizontal="center"/>
    </xf>
    <xf numFmtId="10" fontId="17" fillId="5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166" fontId="17" fillId="5" borderId="1" xfId="0" applyNumberFormat="1" applyFont="1" applyFill="1" applyBorder="1" applyAlignment="1">
      <alignment horizontal="center"/>
    </xf>
    <xf numFmtId="168" fontId="19" fillId="5" borderId="1" xfId="0" applyNumberFormat="1" applyFont="1" applyFill="1" applyBorder="1" applyAlignment="1">
      <alignment horizontal="center"/>
    </xf>
    <xf numFmtId="9" fontId="11" fillId="6" borderId="1" xfId="0" applyNumberFormat="1" applyFont="1" applyFill="1" applyBorder="1" applyAlignment="1">
      <alignment horizontal="center"/>
    </xf>
    <xf numFmtId="166" fontId="11" fillId="6" borderId="1" xfId="0" applyNumberFormat="1" applyFont="1" applyFill="1" applyBorder="1" applyAlignment="1">
      <alignment horizontal="center"/>
    </xf>
    <xf numFmtId="168" fontId="19" fillId="6" borderId="1" xfId="0" applyNumberFormat="1" applyFont="1" applyFill="1" applyBorder="1" applyAlignment="1">
      <alignment horizontal="center"/>
    </xf>
    <xf numFmtId="166" fontId="11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9" fontId="20" fillId="5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/>
    </xf>
    <xf numFmtId="0" fontId="21" fillId="6" borderId="1" xfId="0" applyFont="1" applyFill="1" applyBorder="1" applyAlignment="1">
      <alignment horizontal="left" vertical="center"/>
    </xf>
    <xf numFmtId="10" fontId="17" fillId="6" borderId="1" xfId="0" applyNumberFormat="1" applyFont="1" applyFill="1" applyBorder="1" applyAlignment="1">
      <alignment horizontal="center"/>
    </xf>
    <xf numFmtId="0" fontId="16" fillId="6" borderId="1" xfId="0" applyFont="1" applyFill="1" applyBorder="1" applyAlignment="1">
      <alignment horizontal="left"/>
    </xf>
    <xf numFmtId="0" fontId="15" fillId="5" borderId="1" xfId="0" applyFont="1" applyFill="1" applyBorder="1" applyAlignment="1">
      <alignment horizontal="left" vertical="center"/>
    </xf>
    <xf numFmtId="10" fontId="22" fillId="7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10" fontId="19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169" fontId="12" fillId="5" borderId="1" xfId="0" applyNumberFormat="1" applyFont="1" applyFill="1" applyBorder="1" applyAlignment="1">
      <alignment horizontal="center"/>
    </xf>
    <xf numFmtId="10" fontId="19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169" fontId="12" fillId="6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70" fontId="11" fillId="0" borderId="1" xfId="0" applyNumberFormat="1" applyFont="1" applyBorder="1" applyAlignment="1">
      <alignment horizontal="center"/>
    </xf>
    <xf numFmtId="10" fontId="19" fillId="0" borderId="1" xfId="0" applyNumberFormat="1" applyFont="1" applyBorder="1" applyAlignment="1">
      <alignment horizontal="center"/>
    </xf>
    <xf numFmtId="0" fontId="24" fillId="0" borderId="0" xfId="0" applyFont="1"/>
    <xf numFmtId="166" fontId="0" fillId="0" borderId="0" xfId="0" applyNumberFormat="1"/>
    <xf numFmtId="10" fontId="0" fillId="0" borderId="0" xfId="0" applyNumberFormat="1"/>
    <xf numFmtId="10" fontId="18" fillId="7" borderId="1" xfId="0" applyNumberFormat="1" applyFont="1" applyFill="1" applyBorder="1" applyAlignment="1">
      <alignment horizontal="center"/>
    </xf>
    <xf numFmtId="0" fontId="16" fillId="5" borderId="1" xfId="0" applyFont="1" applyFill="1" applyBorder="1" applyAlignment="1">
      <alignment horizontal="left"/>
    </xf>
    <xf numFmtId="0" fontId="16" fillId="6" borderId="1" xfId="0" applyFont="1" applyFill="1" applyBorder="1" applyAlignment="1">
      <alignment horizontal="left"/>
    </xf>
    <xf numFmtId="0" fontId="23" fillId="4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3" borderId="0" xfId="0" applyFont="1" applyFill="1" applyAlignment="1">
      <alignment horizontal="left" wrapText="1"/>
    </xf>
    <xf numFmtId="0" fontId="25" fillId="9" borderId="1" xfId="1" applyFont="1" applyBorder="1"/>
    <xf numFmtId="0" fontId="27" fillId="10" borderId="1" xfId="2" applyFont="1" applyBorder="1"/>
  </cellXfs>
  <cellStyles count="3">
    <cellStyle name="20% - Accent1" xfId="1" builtinId="30"/>
    <cellStyle name="60% - Accent1" xfId="2" builtinId="3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2F2F2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Part 8 — Security Market Line (SML)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SML (Required Return)</c:v>
          </c:tx>
          <c:spPr>
            <a:ln w="1800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'SML &amp; Valuation'!$A$15:$A$25</c:f>
              <c:numCache>
                <c:formatCode>0.0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'SML &amp; Valuation'!$B$14:$B$25</c:f>
              <c:numCache>
                <c:formatCode>0.00%</c:formatCode>
                <c:ptCount val="12"/>
                <c:pt idx="0" formatCode="General">
                  <c:v>0</c:v>
                </c:pt>
                <c:pt idx="1">
                  <c:v>0.1135</c:v>
                </c:pt>
                <c:pt idx="2">
                  <c:v>0.10441106483817172</c:v>
                </c:pt>
                <c:pt idx="3">
                  <c:v>9.5322129676343445E-2</c:v>
                </c:pt>
                <c:pt idx="4">
                  <c:v>8.6233194514515166E-2</c:v>
                </c:pt>
                <c:pt idx="5">
                  <c:v>7.7144259352686886E-2</c:v>
                </c:pt>
                <c:pt idx="6">
                  <c:v>6.8055324190858607E-2</c:v>
                </c:pt>
                <c:pt idx="7">
                  <c:v>5.8966389029030328E-2</c:v>
                </c:pt>
                <c:pt idx="8">
                  <c:v>4.9877453867202048E-2</c:v>
                </c:pt>
                <c:pt idx="9">
                  <c:v>4.0788518705373769E-2</c:v>
                </c:pt>
                <c:pt idx="10">
                  <c:v>3.169958354354549E-2</c:v>
                </c:pt>
                <c:pt idx="11">
                  <c:v>2.261064838171721E-2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A0-47EF-83BD-1B9BC975F18A}"/>
            </c:ext>
          </c:extLst>
        </c:ser>
        <c:ser>
          <c:idx val="1"/>
          <c:order val="1"/>
          <c:tx>
            <c:v>Actual Returns</c:v>
          </c:tx>
          <c:spPr>
            <a:ln w="47520">
              <a:noFill/>
            </a:ln>
          </c:spPr>
          <c:marker>
            <c:symbol val="diamond"/>
            <c:size val="8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'SML &amp; Valuation'!$B$37:$B$44</c:f>
              <c:strCache>
                <c:ptCount val="8"/>
                <c:pt idx="0">
                  <c:v>0.002</c:v>
                </c:pt>
                <c:pt idx="1">
                  <c:v>-0.092</c:v>
                </c:pt>
                <c:pt idx="2">
                  <c:v>-0.009</c:v>
                </c:pt>
                <c:pt idx="3">
                  <c:v>0.005</c:v>
                </c:pt>
                <c:pt idx="4">
                  <c:v>-0.028</c:v>
                </c:pt>
                <c:pt idx="5">
                  <c:v>0.787</c:v>
                </c:pt>
                <c:pt idx="6">
                  <c:v>1</c:v>
                </c:pt>
                <c:pt idx="7">
                  <c:v>0</c:v>
                </c:pt>
              </c:strCache>
            </c:strRef>
          </c:xVal>
          <c:yVal>
            <c:numRef>
              <c:f>'SML &amp; Valuation'!$C$36:$C$44</c:f>
              <c:numCache>
                <c:formatCode>0.00%</c:formatCode>
                <c:ptCount val="9"/>
                <c:pt idx="0" formatCode="General">
                  <c:v>0</c:v>
                </c:pt>
                <c:pt idx="1">
                  <c:v>-1.7681071296260502E-2</c:v>
                </c:pt>
                <c:pt idx="2">
                  <c:v>0.23035753188625963</c:v>
                </c:pt>
                <c:pt idx="3">
                  <c:v>4.3484822164140548E-2</c:v>
                </c:pt>
                <c:pt idx="4">
                  <c:v>-1.2335395056021582E-2</c:v>
                </c:pt>
                <c:pt idx="5">
                  <c:v>0.11478967978525337</c:v>
                </c:pt>
                <c:pt idx="6">
                  <c:v>7.7741619587645527E-2</c:v>
                </c:pt>
                <c:pt idx="7">
                  <c:v>6.8055324190858607E-2</c:v>
                </c:pt>
                <c:pt idx="8">
                  <c:v>0.1135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A0-47EF-83BD-1B9BC975F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99177"/>
        <c:axId val="65337592"/>
      </c:scatterChart>
      <c:valAx>
        <c:axId val="3369917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Beta (β)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37592"/>
        <c:crosses val="autoZero"/>
        <c:crossBetween val="midCat"/>
      </c:valAx>
      <c:valAx>
        <c:axId val="653375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9917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Part 3 — Company Returns vs KSE-100 Index Returns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OGDC</c:v>
          </c:tx>
          <c:spPr>
            <a:ln w="47520">
              <a:noFill/>
            </a:ln>
          </c:spPr>
          <c:marker>
            <c:symbol val="circle"/>
            <c:size val="3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'Scatter Data'!$A$3:$A$1830</c:f>
              <c:strCache>
                <c:ptCount val="1828"/>
                <c:pt idx="0">
                  <c:v>1.22%</c:v>
                </c:pt>
                <c:pt idx="1">
                  <c:v>-0.13%</c:v>
                </c:pt>
                <c:pt idx="2">
                  <c:v>0.80%</c:v>
                </c:pt>
                <c:pt idx="3">
                  <c:v>0.42%</c:v>
                </c:pt>
                <c:pt idx="4">
                  <c:v>0.54%</c:v>
                </c:pt>
                <c:pt idx="5">
                  <c:v>0.88%</c:v>
                </c:pt>
                <c:pt idx="6">
                  <c:v>-0.32%</c:v>
                </c:pt>
                <c:pt idx="7">
                  <c:v>-0.33%</c:v>
                </c:pt>
                <c:pt idx="8">
                  <c:v>-2.01%</c:v>
                </c:pt>
                <c:pt idx="9">
                  <c:v>0.29%</c:v>
                </c:pt>
                <c:pt idx="10">
                  <c:v>-1.29%</c:v>
                </c:pt>
                <c:pt idx="11">
                  <c:v>-0.84%</c:v>
                </c:pt>
                <c:pt idx="12">
                  <c:v>-0.40%</c:v>
                </c:pt>
                <c:pt idx="13">
                  <c:v>0.78%</c:v>
                </c:pt>
                <c:pt idx="14">
                  <c:v>0.69%</c:v>
                </c:pt>
                <c:pt idx="15">
                  <c:v>0.56%</c:v>
                </c:pt>
                <c:pt idx="16">
                  <c:v>-0.17%</c:v>
                </c:pt>
                <c:pt idx="17">
                  <c:v>0.36%</c:v>
                </c:pt>
                <c:pt idx="18">
                  <c:v>-0.98%</c:v>
                </c:pt>
                <c:pt idx="19">
                  <c:v>1.78%</c:v>
                </c:pt>
                <c:pt idx="20">
                  <c:v>1.87%</c:v>
                </c:pt>
                <c:pt idx="21">
                  <c:v>-0.65%</c:v>
                </c:pt>
                <c:pt idx="22">
                  <c:v>-1.37%</c:v>
                </c:pt>
                <c:pt idx="23">
                  <c:v>-1.28%</c:v>
                </c:pt>
                <c:pt idx="24">
                  <c:v>-1.02%</c:v>
                </c:pt>
                <c:pt idx="25">
                  <c:v>-1.02%</c:v>
                </c:pt>
                <c:pt idx="26">
                  <c:v>0.38%</c:v>
                </c:pt>
                <c:pt idx="27">
                  <c:v>0.24%</c:v>
                </c:pt>
                <c:pt idx="28">
                  <c:v>1.00%</c:v>
                </c:pt>
                <c:pt idx="29">
                  <c:v>0.24%</c:v>
                </c:pt>
                <c:pt idx="30">
                  <c:v>0.28%</c:v>
                </c:pt>
                <c:pt idx="31">
                  <c:v>-0.30%</c:v>
                </c:pt>
                <c:pt idx="32">
                  <c:v>1.80%</c:v>
                </c:pt>
                <c:pt idx="33">
                  <c:v>1.86%</c:v>
                </c:pt>
                <c:pt idx="34">
                  <c:v>-0.86%</c:v>
                </c:pt>
                <c:pt idx="35">
                  <c:v>0.38%</c:v>
                </c:pt>
                <c:pt idx="36">
                  <c:v>-0.26%</c:v>
                </c:pt>
                <c:pt idx="37">
                  <c:v>-0.26%</c:v>
                </c:pt>
                <c:pt idx="38">
                  <c:v>-0.60%</c:v>
                </c:pt>
                <c:pt idx="39">
                  <c:v>-1.27%</c:v>
                </c:pt>
                <c:pt idx="40">
                  <c:v>-0.27%</c:v>
                </c:pt>
                <c:pt idx="41">
                  <c:v>1.10%</c:v>
                </c:pt>
                <c:pt idx="42">
                  <c:v>1.60%</c:v>
                </c:pt>
                <c:pt idx="43">
                  <c:v>1.11%</c:v>
                </c:pt>
                <c:pt idx="44">
                  <c:v>0.20%</c:v>
                </c:pt>
                <c:pt idx="45">
                  <c:v>1.56%</c:v>
                </c:pt>
                <c:pt idx="46">
                  <c:v>-0.05%</c:v>
                </c:pt>
                <c:pt idx="47">
                  <c:v>-0.10%</c:v>
                </c:pt>
                <c:pt idx="48">
                  <c:v>-1.47%</c:v>
                </c:pt>
                <c:pt idx="49">
                  <c:v>1.38%</c:v>
                </c:pt>
                <c:pt idx="50">
                  <c:v>1.18%</c:v>
                </c:pt>
                <c:pt idx="51">
                  <c:v>-1.04%</c:v>
                </c:pt>
                <c:pt idx="52">
                  <c:v>-1.39%</c:v>
                </c:pt>
                <c:pt idx="53">
                  <c:v>2.29%</c:v>
                </c:pt>
                <c:pt idx="54">
                  <c:v>0.29%</c:v>
                </c:pt>
                <c:pt idx="55">
                  <c:v>-1.19%</c:v>
                </c:pt>
                <c:pt idx="56">
                  <c:v>-0.31%</c:v>
                </c:pt>
                <c:pt idx="57">
                  <c:v>0.69%</c:v>
                </c:pt>
                <c:pt idx="58">
                  <c:v>1.25%</c:v>
                </c:pt>
                <c:pt idx="59">
                  <c:v>0.95%</c:v>
                </c:pt>
                <c:pt idx="60">
                  <c:v>1.86%</c:v>
                </c:pt>
                <c:pt idx="61">
                  <c:v>0.86%</c:v>
                </c:pt>
                <c:pt idx="62">
                  <c:v>0.55%</c:v>
                </c:pt>
                <c:pt idx="63">
                  <c:v>1.42%</c:v>
                </c:pt>
                <c:pt idx="64">
                  <c:v>-0.53%</c:v>
                </c:pt>
                <c:pt idx="65">
                  <c:v>-0.63%</c:v>
                </c:pt>
                <c:pt idx="66">
                  <c:v>-1.57%</c:v>
                </c:pt>
                <c:pt idx="67">
                  <c:v>0.90%</c:v>
                </c:pt>
                <c:pt idx="68">
                  <c:v>-0.76%</c:v>
                </c:pt>
                <c:pt idx="69">
                  <c:v>0.32%</c:v>
                </c:pt>
                <c:pt idx="70">
                  <c:v>0.15%</c:v>
                </c:pt>
                <c:pt idx="71">
                  <c:v>-0.35%</c:v>
                </c:pt>
                <c:pt idx="72">
                  <c:v>-0.42%</c:v>
                </c:pt>
                <c:pt idx="73">
                  <c:v>1.16%</c:v>
                </c:pt>
                <c:pt idx="74">
                  <c:v>1.88%</c:v>
                </c:pt>
                <c:pt idx="75">
                  <c:v>-0.44%</c:v>
                </c:pt>
                <c:pt idx="76">
                  <c:v>-0.85%</c:v>
                </c:pt>
                <c:pt idx="77">
                  <c:v>2.22%</c:v>
                </c:pt>
                <c:pt idx="78">
                  <c:v>0.14%</c:v>
                </c:pt>
                <c:pt idx="79">
                  <c:v>-0.60%</c:v>
                </c:pt>
                <c:pt idx="80">
                  <c:v>-0.34%</c:v>
                </c:pt>
                <c:pt idx="81">
                  <c:v>1.01%</c:v>
                </c:pt>
                <c:pt idx="82">
                  <c:v>-0.06%</c:v>
                </c:pt>
                <c:pt idx="83">
                  <c:v>0.14%</c:v>
                </c:pt>
                <c:pt idx="84">
                  <c:v>-1.43%</c:v>
                </c:pt>
                <c:pt idx="85">
                  <c:v>-0.85%</c:v>
                </c:pt>
                <c:pt idx="86">
                  <c:v>1.30%</c:v>
                </c:pt>
                <c:pt idx="87">
                  <c:v>0.51%</c:v>
                </c:pt>
                <c:pt idx="88">
                  <c:v>1.18%</c:v>
                </c:pt>
                <c:pt idx="89">
                  <c:v>-1.89%</c:v>
                </c:pt>
                <c:pt idx="90">
                  <c:v>-0.62%</c:v>
                </c:pt>
                <c:pt idx="91">
                  <c:v>0.39%</c:v>
                </c:pt>
                <c:pt idx="92">
                  <c:v>0.80%</c:v>
                </c:pt>
                <c:pt idx="93">
                  <c:v>2.40%</c:v>
                </c:pt>
                <c:pt idx="94">
                  <c:v>0.26%</c:v>
                </c:pt>
                <c:pt idx="95">
                  <c:v>-0.98%</c:v>
                </c:pt>
                <c:pt idx="96">
                  <c:v>-0.83%</c:v>
                </c:pt>
                <c:pt idx="97">
                  <c:v>-1.48%</c:v>
                </c:pt>
                <c:pt idx="98">
                  <c:v>1.56%</c:v>
                </c:pt>
                <c:pt idx="99">
                  <c:v>-0.14%</c:v>
                </c:pt>
                <c:pt idx="100">
                  <c:v>-0.69%</c:v>
                </c:pt>
                <c:pt idx="101">
                  <c:v>1.34%</c:v>
                </c:pt>
                <c:pt idx="102">
                  <c:v>1.56%</c:v>
                </c:pt>
                <c:pt idx="103">
                  <c:v>-0.33%</c:v>
                </c:pt>
                <c:pt idx="104">
                  <c:v>-0.55%</c:v>
                </c:pt>
                <c:pt idx="105">
                  <c:v>0.37%</c:v>
                </c:pt>
                <c:pt idx="106">
                  <c:v>-1.88%</c:v>
                </c:pt>
                <c:pt idx="107">
                  <c:v>0.60%</c:v>
                </c:pt>
                <c:pt idx="108">
                  <c:v>0.81%</c:v>
                </c:pt>
                <c:pt idx="109">
                  <c:v>0.24%</c:v>
                </c:pt>
                <c:pt idx="110">
                  <c:v>0.84%</c:v>
                </c:pt>
                <c:pt idx="111">
                  <c:v>0.05%</c:v>
                </c:pt>
                <c:pt idx="112">
                  <c:v>0.23%</c:v>
                </c:pt>
                <c:pt idx="113">
                  <c:v>1.61%</c:v>
                </c:pt>
                <c:pt idx="114">
                  <c:v>0.16%</c:v>
                </c:pt>
                <c:pt idx="115">
                  <c:v>1.88%</c:v>
                </c:pt>
                <c:pt idx="116">
                  <c:v>1.01%</c:v>
                </c:pt>
                <c:pt idx="117">
                  <c:v>-0.26%</c:v>
                </c:pt>
                <c:pt idx="118">
                  <c:v>-0.01%</c:v>
                </c:pt>
                <c:pt idx="119">
                  <c:v>-0.73%</c:v>
                </c:pt>
                <c:pt idx="120">
                  <c:v>1.42%</c:v>
                </c:pt>
                <c:pt idx="121">
                  <c:v>3.18%</c:v>
                </c:pt>
                <c:pt idx="122">
                  <c:v>-0.25%</c:v>
                </c:pt>
                <c:pt idx="123">
                  <c:v>0.37%</c:v>
                </c:pt>
                <c:pt idx="124">
                  <c:v>0.59%</c:v>
                </c:pt>
                <c:pt idx="125">
                  <c:v>0.14%</c:v>
                </c:pt>
                <c:pt idx="126">
                  <c:v>-0.15%</c:v>
                </c:pt>
                <c:pt idx="127">
                  <c:v>0.76%</c:v>
                </c:pt>
                <c:pt idx="128">
                  <c:v>-1.62%</c:v>
                </c:pt>
                <c:pt idx="129">
                  <c:v>-0.95%</c:v>
                </c:pt>
                <c:pt idx="130">
                  <c:v>0.30%</c:v>
                </c:pt>
                <c:pt idx="131">
                  <c:v>0.11%</c:v>
                </c:pt>
                <c:pt idx="132">
                  <c:v>0.26%</c:v>
                </c:pt>
                <c:pt idx="133">
                  <c:v>0.70%</c:v>
                </c:pt>
                <c:pt idx="134">
                  <c:v>1.39%</c:v>
                </c:pt>
                <c:pt idx="135">
                  <c:v>-1.16%</c:v>
                </c:pt>
                <c:pt idx="136">
                  <c:v>-0.74%</c:v>
                </c:pt>
                <c:pt idx="137">
                  <c:v>1.25%</c:v>
                </c:pt>
                <c:pt idx="138">
                  <c:v>0.14%</c:v>
                </c:pt>
                <c:pt idx="139">
                  <c:v>0.25%</c:v>
                </c:pt>
                <c:pt idx="140">
                  <c:v>1.41%</c:v>
                </c:pt>
                <c:pt idx="141">
                  <c:v>-2.04%</c:v>
                </c:pt>
                <c:pt idx="142">
                  <c:v>1.73%</c:v>
                </c:pt>
                <c:pt idx="143">
                  <c:v>0.26%</c:v>
                </c:pt>
                <c:pt idx="144">
                  <c:v>-1.41%</c:v>
                </c:pt>
                <c:pt idx="145">
                  <c:v>1.41%</c:v>
                </c:pt>
                <c:pt idx="146">
                  <c:v>2.07%</c:v>
                </c:pt>
                <c:pt idx="147">
                  <c:v>1.74%</c:v>
                </c:pt>
                <c:pt idx="148">
                  <c:v>-0.25%</c:v>
                </c:pt>
                <c:pt idx="149">
                  <c:v>0.83%</c:v>
                </c:pt>
                <c:pt idx="150">
                  <c:v>0.64%</c:v>
                </c:pt>
                <c:pt idx="151">
                  <c:v>-1.52%</c:v>
                </c:pt>
                <c:pt idx="152">
                  <c:v>2.94%</c:v>
                </c:pt>
                <c:pt idx="153">
                  <c:v>-1.09%</c:v>
                </c:pt>
                <c:pt idx="154">
                  <c:v>2.38%</c:v>
                </c:pt>
                <c:pt idx="155">
                  <c:v>0.00%</c:v>
                </c:pt>
                <c:pt idx="156">
                  <c:v>0.34%</c:v>
                </c:pt>
                <c:pt idx="157">
                  <c:v>-0.25%</c:v>
                </c:pt>
                <c:pt idx="158">
                  <c:v>1.62%</c:v>
                </c:pt>
                <c:pt idx="159">
                  <c:v>2.06%</c:v>
                </c:pt>
                <c:pt idx="160">
                  <c:v>0.24%</c:v>
                </c:pt>
                <c:pt idx="161">
                  <c:v>-0.67%</c:v>
                </c:pt>
                <c:pt idx="162">
                  <c:v>-0.76%</c:v>
                </c:pt>
                <c:pt idx="163">
                  <c:v>0.80%</c:v>
                </c:pt>
                <c:pt idx="164">
                  <c:v>-2.49%</c:v>
                </c:pt>
                <c:pt idx="165">
                  <c:v>-1.79%</c:v>
                </c:pt>
                <c:pt idx="166">
                  <c:v>0.05%</c:v>
                </c:pt>
                <c:pt idx="167">
                  <c:v>0.38%</c:v>
                </c:pt>
                <c:pt idx="168">
                  <c:v>-0.51%</c:v>
                </c:pt>
                <c:pt idx="169">
                  <c:v>-0.45%</c:v>
                </c:pt>
                <c:pt idx="170">
                  <c:v>-1.92%</c:v>
                </c:pt>
                <c:pt idx="171">
                  <c:v>-0.41%</c:v>
                </c:pt>
                <c:pt idx="172">
                  <c:v>-0.14%</c:v>
                </c:pt>
                <c:pt idx="173">
                  <c:v>0.37%</c:v>
                </c:pt>
                <c:pt idx="174">
                  <c:v>0.69%</c:v>
                </c:pt>
                <c:pt idx="175">
                  <c:v>-2.17%</c:v>
                </c:pt>
                <c:pt idx="176">
                  <c:v>1.81%</c:v>
                </c:pt>
                <c:pt idx="177">
                  <c:v>-2.36%</c:v>
                </c:pt>
                <c:pt idx="178">
                  <c:v>0.62%</c:v>
                </c:pt>
                <c:pt idx="179">
                  <c:v>-0.48%</c:v>
                </c:pt>
                <c:pt idx="180">
                  <c:v>1.15%</c:v>
                </c:pt>
                <c:pt idx="181">
                  <c:v>0.66%</c:v>
                </c:pt>
                <c:pt idx="182">
                  <c:v>-0.18%</c:v>
                </c:pt>
                <c:pt idx="183">
                  <c:v>-0.32%</c:v>
                </c:pt>
                <c:pt idx="184">
                  <c:v>-1.85%</c:v>
                </c:pt>
                <c:pt idx="185">
                  <c:v>-0.07%</c:v>
                </c:pt>
                <c:pt idx="186">
                  <c:v>-0.79%</c:v>
                </c:pt>
                <c:pt idx="187">
                  <c:v>-1.03%</c:v>
                </c:pt>
                <c:pt idx="188">
                  <c:v>-1.23%</c:v>
                </c:pt>
                <c:pt idx="189">
                  <c:v>0.05%</c:v>
                </c:pt>
                <c:pt idx="190">
                  <c:v>-0.44%</c:v>
                </c:pt>
                <c:pt idx="191">
                  <c:v>1.02%</c:v>
                </c:pt>
                <c:pt idx="192">
                  <c:v>-0.58%</c:v>
                </c:pt>
                <c:pt idx="193">
                  <c:v>-1.65%</c:v>
                </c:pt>
                <c:pt idx="194">
                  <c:v>-0.86%</c:v>
                </c:pt>
                <c:pt idx="195">
                  <c:v>0.07%</c:v>
                </c:pt>
                <c:pt idx="196">
                  <c:v>-2.04%</c:v>
                </c:pt>
                <c:pt idx="197">
                  <c:v>1.53%</c:v>
                </c:pt>
                <c:pt idx="198">
                  <c:v>-0.23%</c:v>
                </c:pt>
                <c:pt idx="199">
                  <c:v>-0.12%</c:v>
                </c:pt>
                <c:pt idx="200">
                  <c:v>0.18%</c:v>
                </c:pt>
                <c:pt idx="201">
                  <c:v>0.79%</c:v>
                </c:pt>
                <c:pt idx="202">
                  <c:v>0.78%</c:v>
                </c:pt>
                <c:pt idx="203">
                  <c:v>-0.83%</c:v>
                </c:pt>
                <c:pt idx="204">
                  <c:v>-0.78%</c:v>
                </c:pt>
                <c:pt idx="205">
                  <c:v>2.27%</c:v>
                </c:pt>
                <c:pt idx="206">
                  <c:v>-2.36%</c:v>
                </c:pt>
                <c:pt idx="207">
                  <c:v>-1.12%</c:v>
                </c:pt>
                <c:pt idx="208">
                  <c:v>-0.97%</c:v>
                </c:pt>
                <c:pt idx="209">
                  <c:v>1.06%</c:v>
                </c:pt>
                <c:pt idx="210">
                  <c:v>0.35%</c:v>
                </c:pt>
                <c:pt idx="211">
                  <c:v>0.39%</c:v>
                </c:pt>
                <c:pt idx="212">
                  <c:v>-0.96%</c:v>
                </c:pt>
                <c:pt idx="213">
                  <c:v>0.40%</c:v>
                </c:pt>
                <c:pt idx="214">
                  <c:v>-1.06%</c:v>
                </c:pt>
                <c:pt idx="215">
                  <c:v>-0.60%</c:v>
                </c:pt>
                <c:pt idx="216">
                  <c:v>-0.83%</c:v>
                </c:pt>
                <c:pt idx="217">
                  <c:v>-0.79%</c:v>
                </c:pt>
                <c:pt idx="218">
                  <c:v>-1.10%</c:v>
                </c:pt>
                <c:pt idx="219">
                  <c:v>0.27%</c:v>
                </c:pt>
                <c:pt idx="220">
                  <c:v>0.37%</c:v>
                </c:pt>
                <c:pt idx="221">
                  <c:v>-0.90%</c:v>
                </c:pt>
                <c:pt idx="222">
                  <c:v>-0.49%</c:v>
                </c:pt>
                <c:pt idx="223">
                  <c:v>0.52%</c:v>
                </c:pt>
                <c:pt idx="224">
                  <c:v>0.20%</c:v>
                </c:pt>
                <c:pt idx="225">
                  <c:v>1.66%</c:v>
                </c:pt>
                <c:pt idx="226">
                  <c:v>-0.26%</c:v>
                </c:pt>
                <c:pt idx="227">
                  <c:v>0.40%</c:v>
                </c:pt>
                <c:pt idx="228">
                  <c:v>0.78%</c:v>
                </c:pt>
                <c:pt idx="229">
                  <c:v>-1.10%</c:v>
                </c:pt>
                <c:pt idx="230">
                  <c:v>-1.20%</c:v>
                </c:pt>
                <c:pt idx="231">
                  <c:v>-1.53%</c:v>
                </c:pt>
                <c:pt idx="232">
                  <c:v>0.50%</c:v>
                </c:pt>
                <c:pt idx="233">
                  <c:v>-0.19%</c:v>
                </c:pt>
                <c:pt idx="234">
                  <c:v>0.32%</c:v>
                </c:pt>
                <c:pt idx="235">
                  <c:v>0.17%</c:v>
                </c:pt>
                <c:pt idx="236">
                  <c:v>0.27%</c:v>
                </c:pt>
                <c:pt idx="237">
                  <c:v>0.75%</c:v>
                </c:pt>
                <c:pt idx="238">
                  <c:v>-0.42%</c:v>
                </c:pt>
                <c:pt idx="239">
                  <c:v>0.88%</c:v>
                </c:pt>
                <c:pt idx="240">
                  <c:v>0.72%</c:v>
                </c:pt>
                <c:pt idx="241">
                  <c:v>-1.54%</c:v>
                </c:pt>
                <c:pt idx="242">
                  <c:v>-0.24%</c:v>
                </c:pt>
                <c:pt idx="243">
                  <c:v>1.79%</c:v>
                </c:pt>
                <c:pt idx="244">
                  <c:v>4.11%</c:v>
                </c:pt>
                <c:pt idx="245">
                  <c:v>-0.02%</c:v>
                </c:pt>
                <c:pt idx="246">
                  <c:v>0.06%</c:v>
                </c:pt>
                <c:pt idx="247">
                  <c:v>-1.82%</c:v>
                </c:pt>
                <c:pt idx="248">
                  <c:v>0.16%</c:v>
                </c:pt>
                <c:pt idx="249">
                  <c:v>-0.04%</c:v>
                </c:pt>
                <c:pt idx="250">
                  <c:v>-0.61%</c:v>
                </c:pt>
                <c:pt idx="251">
                  <c:v>2.04%</c:v>
                </c:pt>
                <c:pt idx="252">
                  <c:v>0.27%</c:v>
                </c:pt>
                <c:pt idx="253">
                  <c:v>-1.09%</c:v>
                </c:pt>
                <c:pt idx="254">
                  <c:v>-1.20%</c:v>
                </c:pt>
                <c:pt idx="255">
                  <c:v>0.87%</c:v>
                </c:pt>
                <c:pt idx="256">
                  <c:v>-0.68%</c:v>
                </c:pt>
                <c:pt idx="257">
                  <c:v>-1.03%</c:v>
                </c:pt>
                <c:pt idx="258">
                  <c:v>-1.88%</c:v>
                </c:pt>
                <c:pt idx="259">
                  <c:v>-0.12%</c:v>
                </c:pt>
                <c:pt idx="260">
                  <c:v>0.71%</c:v>
                </c:pt>
                <c:pt idx="261">
                  <c:v>0.96%</c:v>
                </c:pt>
                <c:pt idx="262">
                  <c:v>0.31%</c:v>
                </c:pt>
                <c:pt idx="263">
                  <c:v>1.90%</c:v>
                </c:pt>
                <c:pt idx="264">
                  <c:v>-1.31%</c:v>
                </c:pt>
                <c:pt idx="265">
                  <c:v>0.25%</c:v>
                </c:pt>
                <c:pt idx="266">
                  <c:v>0.46%</c:v>
                </c:pt>
                <c:pt idx="267">
                  <c:v>-1.82%</c:v>
                </c:pt>
                <c:pt idx="268">
                  <c:v>-0.18%</c:v>
                </c:pt>
                <c:pt idx="269">
                  <c:v>-1.21%</c:v>
                </c:pt>
                <c:pt idx="270">
                  <c:v>0.29%</c:v>
                </c:pt>
                <c:pt idx="271">
                  <c:v>-0.91%</c:v>
                </c:pt>
                <c:pt idx="272">
                  <c:v>0.78%</c:v>
                </c:pt>
                <c:pt idx="273">
                  <c:v>1.83%</c:v>
                </c:pt>
                <c:pt idx="274">
                  <c:v>-0.21%</c:v>
                </c:pt>
                <c:pt idx="275">
                  <c:v>-0.70%</c:v>
                </c:pt>
                <c:pt idx="276">
                  <c:v>-1.34%</c:v>
                </c:pt>
                <c:pt idx="277">
                  <c:v>0.48%</c:v>
                </c:pt>
                <c:pt idx="278">
                  <c:v>-1.01%</c:v>
                </c:pt>
                <c:pt idx="279">
                  <c:v>1.09%</c:v>
                </c:pt>
                <c:pt idx="280">
                  <c:v>1.92%</c:v>
                </c:pt>
                <c:pt idx="281">
                  <c:v>2.00%</c:v>
                </c:pt>
                <c:pt idx="282">
                  <c:v>2.10%</c:v>
                </c:pt>
                <c:pt idx="283">
                  <c:v>0.16%</c:v>
                </c:pt>
                <c:pt idx="284">
                  <c:v>0.56%</c:v>
                </c:pt>
                <c:pt idx="285">
                  <c:v>-0.86%</c:v>
                </c:pt>
                <c:pt idx="286">
                  <c:v>-1.47%</c:v>
                </c:pt>
                <c:pt idx="287">
                  <c:v>0.87%</c:v>
                </c:pt>
                <c:pt idx="288">
                  <c:v>-1.58%</c:v>
                </c:pt>
                <c:pt idx="289">
                  <c:v>1.16%</c:v>
                </c:pt>
                <c:pt idx="290">
                  <c:v>-0.94%</c:v>
                </c:pt>
                <c:pt idx="291">
                  <c:v>-0.20%</c:v>
                </c:pt>
                <c:pt idx="292">
                  <c:v>2.00%</c:v>
                </c:pt>
                <c:pt idx="293">
                  <c:v>0.33%</c:v>
                </c:pt>
                <c:pt idx="294">
                  <c:v>0.61%</c:v>
                </c:pt>
                <c:pt idx="295">
                  <c:v>-0.27%</c:v>
                </c:pt>
                <c:pt idx="296">
                  <c:v>1.01%</c:v>
                </c:pt>
                <c:pt idx="297">
                  <c:v>-0.26%</c:v>
                </c:pt>
                <c:pt idx="298">
                  <c:v>-1.02%</c:v>
                </c:pt>
                <c:pt idx="299">
                  <c:v>-1.09%</c:v>
                </c:pt>
                <c:pt idx="300">
                  <c:v>-1.74%</c:v>
                </c:pt>
                <c:pt idx="301">
                  <c:v>-1.39%</c:v>
                </c:pt>
                <c:pt idx="302">
                  <c:v>0.80%</c:v>
                </c:pt>
                <c:pt idx="303">
                  <c:v>-0.06%</c:v>
                </c:pt>
                <c:pt idx="304">
                  <c:v>-1.05%</c:v>
                </c:pt>
                <c:pt idx="305">
                  <c:v>0.93%</c:v>
                </c:pt>
                <c:pt idx="306">
                  <c:v>0.24%</c:v>
                </c:pt>
                <c:pt idx="307">
                  <c:v>0.54%</c:v>
                </c:pt>
                <c:pt idx="308">
                  <c:v>-1.09%</c:v>
                </c:pt>
                <c:pt idx="309">
                  <c:v>-0.49%</c:v>
                </c:pt>
                <c:pt idx="310">
                  <c:v>0.43%</c:v>
                </c:pt>
                <c:pt idx="311">
                  <c:v>-0.27%</c:v>
                </c:pt>
                <c:pt idx="312">
                  <c:v>1.18%</c:v>
                </c:pt>
                <c:pt idx="313">
                  <c:v>0.91%</c:v>
                </c:pt>
                <c:pt idx="314">
                  <c:v>1.73%</c:v>
                </c:pt>
                <c:pt idx="315">
                  <c:v>0.38%</c:v>
                </c:pt>
                <c:pt idx="316">
                  <c:v>-0.69%</c:v>
                </c:pt>
                <c:pt idx="317">
                  <c:v>0.09%</c:v>
                </c:pt>
                <c:pt idx="318">
                  <c:v>2.67%</c:v>
                </c:pt>
                <c:pt idx="319">
                  <c:v>1.27%</c:v>
                </c:pt>
                <c:pt idx="320">
                  <c:v>-0.14%</c:v>
                </c:pt>
                <c:pt idx="321">
                  <c:v>0.84%</c:v>
                </c:pt>
                <c:pt idx="322">
                  <c:v>-0.20%</c:v>
                </c:pt>
                <c:pt idx="323">
                  <c:v>-0.33%</c:v>
                </c:pt>
                <c:pt idx="324">
                  <c:v>1.32%</c:v>
                </c:pt>
                <c:pt idx="325">
                  <c:v>0.52%</c:v>
                </c:pt>
                <c:pt idx="326">
                  <c:v>1.10%</c:v>
                </c:pt>
                <c:pt idx="327">
                  <c:v>2.02%</c:v>
                </c:pt>
                <c:pt idx="328">
                  <c:v>-0.53%</c:v>
                </c:pt>
                <c:pt idx="329">
                  <c:v>0.39%</c:v>
                </c:pt>
                <c:pt idx="330">
                  <c:v>1.11%</c:v>
                </c:pt>
                <c:pt idx="331">
                  <c:v>0.94%</c:v>
                </c:pt>
                <c:pt idx="332">
                  <c:v>-0.39%</c:v>
                </c:pt>
                <c:pt idx="333">
                  <c:v>0.09%</c:v>
                </c:pt>
                <c:pt idx="334">
                  <c:v>2.22%</c:v>
                </c:pt>
                <c:pt idx="335">
                  <c:v>-0.60%</c:v>
                </c:pt>
                <c:pt idx="336">
                  <c:v>0.56%</c:v>
                </c:pt>
                <c:pt idx="337">
                  <c:v>0.60%</c:v>
                </c:pt>
                <c:pt idx="338">
                  <c:v>-1.59%</c:v>
                </c:pt>
                <c:pt idx="339">
                  <c:v>0.77%</c:v>
                </c:pt>
                <c:pt idx="340">
                  <c:v>-1.49%</c:v>
                </c:pt>
                <c:pt idx="341">
                  <c:v>0.28%</c:v>
                </c:pt>
                <c:pt idx="342">
                  <c:v>1.44%</c:v>
                </c:pt>
                <c:pt idx="343">
                  <c:v>-0.53%</c:v>
                </c:pt>
                <c:pt idx="344">
                  <c:v>-1.69%</c:v>
                </c:pt>
                <c:pt idx="345">
                  <c:v>0.01%</c:v>
                </c:pt>
                <c:pt idx="346">
                  <c:v>0.01%</c:v>
                </c:pt>
                <c:pt idx="347">
                  <c:v>0.17%</c:v>
                </c:pt>
                <c:pt idx="348">
                  <c:v>0.29%</c:v>
                </c:pt>
                <c:pt idx="349">
                  <c:v>0.36%</c:v>
                </c:pt>
                <c:pt idx="350">
                  <c:v>-1.62%</c:v>
                </c:pt>
                <c:pt idx="351">
                  <c:v>1.25%</c:v>
                </c:pt>
                <c:pt idx="352">
                  <c:v>-2.42%</c:v>
                </c:pt>
                <c:pt idx="353">
                  <c:v>-0.37%</c:v>
                </c:pt>
                <c:pt idx="354">
                  <c:v>0.95%</c:v>
                </c:pt>
                <c:pt idx="355">
                  <c:v>-0.83%</c:v>
                </c:pt>
                <c:pt idx="356">
                  <c:v>-1.61%</c:v>
                </c:pt>
                <c:pt idx="357">
                  <c:v>-0.82%</c:v>
                </c:pt>
                <c:pt idx="358">
                  <c:v>-0.52%</c:v>
                </c:pt>
                <c:pt idx="359">
                  <c:v>2.31%</c:v>
                </c:pt>
                <c:pt idx="360">
                  <c:v>-1.66%</c:v>
                </c:pt>
                <c:pt idx="361">
                  <c:v>0.51%</c:v>
                </c:pt>
                <c:pt idx="362">
                  <c:v>-0.19%</c:v>
                </c:pt>
                <c:pt idx="363">
                  <c:v>-0.89%</c:v>
                </c:pt>
                <c:pt idx="364">
                  <c:v>-1.53%</c:v>
                </c:pt>
                <c:pt idx="365">
                  <c:v>-1.31%</c:v>
                </c:pt>
                <c:pt idx="366">
                  <c:v>0.42%</c:v>
                </c:pt>
                <c:pt idx="367">
                  <c:v>0.80%</c:v>
                </c:pt>
                <c:pt idx="368">
                  <c:v>1.53%</c:v>
                </c:pt>
                <c:pt idx="369">
                  <c:v>-1.05%</c:v>
                </c:pt>
                <c:pt idx="370">
                  <c:v>-2.37%</c:v>
                </c:pt>
                <c:pt idx="371">
                  <c:v>0.69%</c:v>
                </c:pt>
                <c:pt idx="372">
                  <c:v>0.63%</c:v>
                </c:pt>
                <c:pt idx="373">
                  <c:v>1.38%</c:v>
                </c:pt>
                <c:pt idx="374">
                  <c:v>-2.11%</c:v>
                </c:pt>
                <c:pt idx="375">
                  <c:v>1.73%</c:v>
                </c:pt>
                <c:pt idx="376">
                  <c:v>0.18%</c:v>
                </c:pt>
                <c:pt idx="377">
                  <c:v>2.32%</c:v>
                </c:pt>
                <c:pt idx="378">
                  <c:v>-0.20%</c:v>
                </c:pt>
                <c:pt idx="379">
                  <c:v>1.61%</c:v>
                </c:pt>
                <c:pt idx="380">
                  <c:v>-0.62%</c:v>
                </c:pt>
                <c:pt idx="381">
                  <c:v>2.47%</c:v>
                </c:pt>
                <c:pt idx="382">
                  <c:v>-0.55%</c:v>
                </c:pt>
                <c:pt idx="383">
                  <c:v>-1.68%</c:v>
                </c:pt>
                <c:pt idx="384">
                  <c:v>0.31%</c:v>
                </c:pt>
                <c:pt idx="385">
                  <c:v>1.33%</c:v>
                </c:pt>
                <c:pt idx="386">
                  <c:v>1.47%</c:v>
                </c:pt>
                <c:pt idx="387">
                  <c:v>-0.03%</c:v>
                </c:pt>
                <c:pt idx="388">
                  <c:v>0.49%</c:v>
                </c:pt>
                <c:pt idx="389">
                  <c:v>0.02%</c:v>
                </c:pt>
                <c:pt idx="390">
                  <c:v>1.56%</c:v>
                </c:pt>
                <c:pt idx="391">
                  <c:v>1.22%</c:v>
                </c:pt>
                <c:pt idx="392">
                  <c:v>-0.54%</c:v>
                </c:pt>
                <c:pt idx="393">
                  <c:v>1.14%</c:v>
                </c:pt>
                <c:pt idx="394">
                  <c:v>0.01%</c:v>
                </c:pt>
                <c:pt idx="395">
                  <c:v>1.38%</c:v>
                </c:pt>
                <c:pt idx="396">
                  <c:v>-0.39%</c:v>
                </c:pt>
                <c:pt idx="397">
                  <c:v>0.14%</c:v>
                </c:pt>
                <c:pt idx="398">
                  <c:v>-0.61%</c:v>
                </c:pt>
                <c:pt idx="399">
                  <c:v>-1.74%</c:v>
                </c:pt>
                <c:pt idx="400">
                  <c:v>-1.34%</c:v>
                </c:pt>
                <c:pt idx="401">
                  <c:v>1.31%</c:v>
                </c:pt>
                <c:pt idx="402">
                  <c:v>0.74%</c:v>
                </c:pt>
                <c:pt idx="403">
                  <c:v>-0.86%</c:v>
                </c:pt>
                <c:pt idx="404">
                  <c:v>0.59%</c:v>
                </c:pt>
                <c:pt idx="405">
                  <c:v>0.07%</c:v>
                </c:pt>
                <c:pt idx="406">
                  <c:v>0.91%</c:v>
                </c:pt>
                <c:pt idx="407">
                  <c:v>-0.47%</c:v>
                </c:pt>
                <c:pt idx="408">
                  <c:v>0.02%</c:v>
                </c:pt>
                <c:pt idx="409">
                  <c:v>-1.27%</c:v>
                </c:pt>
                <c:pt idx="410">
                  <c:v>1.34%</c:v>
                </c:pt>
                <c:pt idx="411">
                  <c:v>0.63%</c:v>
                </c:pt>
                <c:pt idx="412">
                  <c:v>0.17%</c:v>
                </c:pt>
                <c:pt idx="413">
                  <c:v>2.81%</c:v>
                </c:pt>
                <c:pt idx="414">
                  <c:v>1.37%</c:v>
                </c:pt>
                <c:pt idx="415">
                  <c:v>1.66%</c:v>
                </c:pt>
                <c:pt idx="416">
                  <c:v>0.41%</c:v>
                </c:pt>
                <c:pt idx="417">
                  <c:v>-0.55%</c:v>
                </c:pt>
                <c:pt idx="418">
                  <c:v>0.55%</c:v>
                </c:pt>
                <c:pt idx="419">
                  <c:v>0.09%</c:v>
                </c:pt>
                <c:pt idx="420">
                  <c:v>-0.35%</c:v>
                </c:pt>
                <c:pt idx="421">
                  <c:v>1.38%</c:v>
                </c:pt>
                <c:pt idx="422">
                  <c:v>-0.32%</c:v>
                </c:pt>
                <c:pt idx="423">
                  <c:v>0.32%</c:v>
                </c:pt>
                <c:pt idx="424">
                  <c:v>0.18%</c:v>
                </c:pt>
                <c:pt idx="425">
                  <c:v>-1.66%</c:v>
                </c:pt>
                <c:pt idx="426">
                  <c:v>0.64%</c:v>
                </c:pt>
                <c:pt idx="427">
                  <c:v>0.91%</c:v>
                </c:pt>
                <c:pt idx="428">
                  <c:v>0.10%</c:v>
                </c:pt>
                <c:pt idx="429">
                  <c:v>0.33%</c:v>
                </c:pt>
                <c:pt idx="430">
                  <c:v>-0.32%</c:v>
                </c:pt>
                <c:pt idx="431">
                  <c:v>-0.67%</c:v>
                </c:pt>
                <c:pt idx="432">
                  <c:v>-0.67%</c:v>
                </c:pt>
                <c:pt idx="433">
                  <c:v>-2.00%</c:v>
                </c:pt>
                <c:pt idx="434">
                  <c:v>0.65%</c:v>
                </c:pt>
                <c:pt idx="435">
                  <c:v>-1.47%</c:v>
                </c:pt>
                <c:pt idx="436">
                  <c:v>-0.47%</c:v>
                </c:pt>
                <c:pt idx="437">
                  <c:v>-2.33%</c:v>
                </c:pt>
                <c:pt idx="438">
                  <c:v>-0.72%</c:v>
                </c:pt>
                <c:pt idx="439">
                  <c:v>0.65%</c:v>
                </c:pt>
                <c:pt idx="440">
                  <c:v>0.14%</c:v>
                </c:pt>
                <c:pt idx="441">
                  <c:v>0.07%</c:v>
                </c:pt>
                <c:pt idx="442">
                  <c:v>0.31%</c:v>
                </c:pt>
                <c:pt idx="443">
                  <c:v>-1.88%</c:v>
                </c:pt>
                <c:pt idx="444">
                  <c:v>1.03%</c:v>
                </c:pt>
                <c:pt idx="445">
                  <c:v>-0.44%</c:v>
                </c:pt>
                <c:pt idx="446">
                  <c:v>0.07%</c:v>
                </c:pt>
                <c:pt idx="447">
                  <c:v>0.53%</c:v>
                </c:pt>
                <c:pt idx="448">
                  <c:v>-2.97%</c:v>
                </c:pt>
                <c:pt idx="449">
                  <c:v>1.65%</c:v>
                </c:pt>
                <c:pt idx="450">
                  <c:v>-0.35%</c:v>
                </c:pt>
                <c:pt idx="451">
                  <c:v>0.67%</c:v>
                </c:pt>
                <c:pt idx="452">
                  <c:v>-0.35%</c:v>
                </c:pt>
                <c:pt idx="453">
                  <c:v>-0.66%</c:v>
                </c:pt>
                <c:pt idx="454">
                  <c:v>1.53%</c:v>
                </c:pt>
                <c:pt idx="455">
                  <c:v>-1.33%</c:v>
                </c:pt>
                <c:pt idx="456">
                  <c:v>0.37%</c:v>
                </c:pt>
                <c:pt idx="457">
                  <c:v>-0.57%</c:v>
                </c:pt>
                <c:pt idx="458">
                  <c:v>0.62%</c:v>
                </c:pt>
                <c:pt idx="459">
                  <c:v>1.06%</c:v>
                </c:pt>
                <c:pt idx="460">
                  <c:v>0.82%</c:v>
                </c:pt>
                <c:pt idx="461">
                  <c:v>0.67%</c:v>
                </c:pt>
                <c:pt idx="462">
                  <c:v>-0.64%</c:v>
                </c:pt>
                <c:pt idx="463">
                  <c:v>-0.24%</c:v>
                </c:pt>
                <c:pt idx="464">
                  <c:v>0.41%</c:v>
                </c:pt>
                <c:pt idx="465">
                  <c:v>1.40%</c:v>
                </c:pt>
                <c:pt idx="466">
                  <c:v>0.57%</c:v>
                </c:pt>
                <c:pt idx="467">
                  <c:v>-0.18%</c:v>
                </c:pt>
                <c:pt idx="468">
                  <c:v>0.28%</c:v>
                </c:pt>
                <c:pt idx="469">
                  <c:v>1.07%</c:v>
                </c:pt>
                <c:pt idx="470">
                  <c:v>0.57%</c:v>
                </c:pt>
                <c:pt idx="471">
                  <c:v>1.06%</c:v>
                </c:pt>
                <c:pt idx="472">
                  <c:v>-0.42%</c:v>
                </c:pt>
                <c:pt idx="473">
                  <c:v>1.07%</c:v>
                </c:pt>
                <c:pt idx="474">
                  <c:v>-0.37%</c:v>
                </c:pt>
                <c:pt idx="475">
                  <c:v>0.14%</c:v>
                </c:pt>
                <c:pt idx="476">
                  <c:v>0.69%</c:v>
                </c:pt>
                <c:pt idx="477">
                  <c:v>-1.47%</c:v>
                </c:pt>
                <c:pt idx="478">
                  <c:v>-0.25%</c:v>
                </c:pt>
                <c:pt idx="479">
                  <c:v>0.35%</c:v>
                </c:pt>
                <c:pt idx="480">
                  <c:v>0.22%</c:v>
                </c:pt>
                <c:pt idx="481">
                  <c:v>0.98%</c:v>
                </c:pt>
                <c:pt idx="482">
                  <c:v>-2.60%</c:v>
                </c:pt>
                <c:pt idx="483">
                  <c:v>-1.85%</c:v>
                </c:pt>
                <c:pt idx="484">
                  <c:v>1.16%</c:v>
                </c:pt>
                <c:pt idx="485">
                  <c:v>0.87%</c:v>
                </c:pt>
                <c:pt idx="486">
                  <c:v>2.24%</c:v>
                </c:pt>
                <c:pt idx="487">
                  <c:v>-0.10%</c:v>
                </c:pt>
                <c:pt idx="488">
                  <c:v>1.39%</c:v>
                </c:pt>
                <c:pt idx="489">
                  <c:v>2.56%</c:v>
                </c:pt>
                <c:pt idx="490">
                  <c:v>-2.56%</c:v>
                </c:pt>
                <c:pt idx="491">
                  <c:v>-1.84%</c:v>
                </c:pt>
                <c:pt idx="492">
                  <c:v>-0.53%</c:v>
                </c:pt>
                <c:pt idx="493">
                  <c:v>-1.57%</c:v>
                </c:pt>
                <c:pt idx="494">
                  <c:v>1.75%</c:v>
                </c:pt>
                <c:pt idx="495">
                  <c:v>-0.27%</c:v>
                </c:pt>
                <c:pt idx="496">
                  <c:v>-0.76%</c:v>
                </c:pt>
                <c:pt idx="497">
                  <c:v>1.44%</c:v>
                </c:pt>
                <c:pt idx="498">
                  <c:v>0.78%</c:v>
                </c:pt>
                <c:pt idx="499">
                  <c:v>-0.63%</c:v>
                </c:pt>
                <c:pt idx="500">
                  <c:v>0.81%</c:v>
                </c:pt>
                <c:pt idx="501">
                  <c:v>-1.01%</c:v>
                </c:pt>
                <c:pt idx="502">
                  <c:v>-0.76%</c:v>
                </c:pt>
                <c:pt idx="503">
                  <c:v>1.37%</c:v>
                </c:pt>
                <c:pt idx="504">
                  <c:v>-0.92%</c:v>
                </c:pt>
                <c:pt idx="505">
                  <c:v>-0.53%</c:v>
                </c:pt>
                <c:pt idx="506">
                  <c:v>-0.49%</c:v>
                </c:pt>
                <c:pt idx="507">
                  <c:v>-0.60%</c:v>
                </c:pt>
                <c:pt idx="508">
                  <c:v>-2.85%</c:v>
                </c:pt>
                <c:pt idx="509">
                  <c:v>-1.73%</c:v>
                </c:pt>
                <c:pt idx="510">
                  <c:v>0.21%</c:v>
                </c:pt>
                <c:pt idx="511">
                  <c:v>1.60%</c:v>
                </c:pt>
                <c:pt idx="512">
                  <c:v>0.81%</c:v>
                </c:pt>
                <c:pt idx="513">
                  <c:v>-0.55%</c:v>
                </c:pt>
                <c:pt idx="514">
                  <c:v>-0.11%</c:v>
                </c:pt>
                <c:pt idx="515">
                  <c:v>-1.87%</c:v>
                </c:pt>
                <c:pt idx="516">
                  <c:v>-0.26%</c:v>
                </c:pt>
                <c:pt idx="517">
                  <c:v>-0.24%</c:v>
                </c:pt>
                <c:pt idx="518">
                  <c:v>-0.63%</c:v>
                </c:pt>
                <c:pt idx="519">
                  <c:v>0.71%</c:v>
                </c:pt>
                <c:pt idx="520">
                  <c:v>0.48%</c:v>
                </c:pt>
                <c:pt idx="521">
                  <c:v>0.66%</c:v>
                </c:pt>
                <c:pt idx="522">
                  <c:v>2.53%</c:v>
                </c:pt>
                <c:pt idx="523">
                  <c:v>0.64%</c:v>
                </c:pt>
                <c:pt idx="524">
                  <c:v>-2.20%</c:v>
                </c:pt>
                <c:pt idx="525">
                  <c:v>-1.55%</c:v>
                </c:pt>
                <c:pt idx="526">
                  <c:v>-0.03%</c:v>
                </c:pt>
                <c:pt idx="527">
                  <c:v>-0.97%</c:v>
                </c:pt>
                <c:pt idx="528">
                  <c:v>-0.25%</c:v>
                </c:pt>
                <c:pt idx="529">
                  <c:v>1.64%</c:v>
                </c:pt>
                <c:pt idx="530">
                  <c:v>0.13%</c:v>
                </c:pt>
                <c:pt idx="531">
                  <c:v>-1.34%</c:v>
                </c:pt>
                <c:pt idx="532">
                  <c:v>1.66%</c:v>
                </c:pt>
                <c:pt idx="533">
                  <c:v>-0.19%</c:v>
                </c:pt>
                <c:pt idx="534">
                  <c:v>-0.02%</c:v>
                </c:pt>
                <c:pt idx="535">
                  <c:v>0.28%</c:v>
                </c:pt>
                <c:pt idx="536">
                  <c:v>0.62%</c:v>
                </c:pt>
                <c:pt idx="537">
                  <c:v>-0.80%</c:v>
                </c:pt>
                <c:pt idx="538">
                  <c:v>0.10%</c:v>
                </c:pt>
                <c:pt idx="539">
                  <c:v>1.45%</c:v>
                </c:pt>
                <c:pt idx="540">
                  <c:v>1.43%</c:v>
                </c:pt>
                <c:pt idx="541">
                  <c:v>-0.89%</c:v>
                </c:pt>
                <c:pt idx="542">
                  <c:v>0.05%</c:v>
                </c:pt>
                <c:pt idx="543">
                  <c:v>1.76%</c:v>
                </c:pt>
                <c:pt idx="544">
                  <c:v>-0.26%</c:v>
                </c:pt>
                <c:pt idx="545">
                  <c:v>-1.49%</c:v>
                </c:pt>
                <c:pt idx="546">
                  <c:v>-0.70%</c:v>
                </c:pt>
                <c:pt idx="547">
                  <c:v>0.71%</c:v>
                </c:pt>
                <c:pt idx="548">
                  <c:v>-0.08%</c:v>
                </c:pt>
                <c:pt idx="549">
                  <c:v>0.08%</c:v>
                </c:pt>
                <c:pt idx="550">
                  <c:v>0.33%</c:v>
                </c:pt>
                <c:pt idx="551">
                  <c:v>-0.28%</c:v>
                </c:pt>
                <c:pt idx="552">
                  <c:v>0.60%</c:v>
                </c:pt>
                <c:pt idx="553">
                  <c:v>1.54%</c:v>
                </c:pt>
                <c:pt idx="554">
                  <c:v>0.52%</c:v>
                </c:pt>
                <c:pt idx="555">
                  <c:v>0.63%</c:v>
                </c:pt>
                <c:pt idx="556">
                  <c:v>1.31%</c:v>
                </c:pt>
                <c:pt idx="557">
                  <c:v>0.86%</c:v>
                </c:pt>
                <c:pt idx="558">
                  <c:v>1.32%</c:v>
                </c:pt>
                <c:pt idx="559">
                  <c:v>-2.26%</c:v>
                </c:pt>
                <c:pt idx="560">
                  <c:v>0.08%</c:v>
                </c:pt>
                <c:pt idx="561">
                  <c:v>0.49%</c:v>
                </c:pt>
                <c:pt idx="562">
                  <c:v>-0.12%</c:v>
                </c:pt>
                <c:pt idx="563">
                  <c:v>-0.93%</c:v>
                </c:pt>
                <c:pt idx="564">
                  <c:v>-0.11%</c:v>
                </c:pt>
                <c:pt idx="565">
                  <c:v>-0.80%</c:v>
                </c:pt>
                <c:pt idx="566">
                  <c:v>0.42%</c:v>
                </c:pt>
                <c:pt idx="567">
                  <c:v>0.80%</c:v>
                </c:pt>
                <c:pt idx="568">
                  <c:v>-0.24%</c:v>
                </c:pt>
                <c:pt idx="569">
                  <c:v>1.24%</c:v>
                </c:pt>
                <c:pt idx="570">
                  <c:v>-0.56%</c:v>
                </c:pt>
                <c:pt idx="571">
                  <c:v>-0.64%</c:v>
                </c:pt>
                <c:pt idx="572">
                  <c:v>0.13%</c:v>
                </c:pt>
                <c:pt idx="573">
                  <c:v>-0.42%</c:v>
                </c:pt>
                <c:pt idx="574">
                  <c:v>1.16%</c:v>
                </c:pt>
                <c:pt idx="575">
                  <c:v>-0.16%</c:v>
                </c:pt>
                <c:pt idx="576">
                  <c:v>0.64%</c:v>
                </c:pt>
                <c:pt idx="577">
                  <c:v>1.10%</c:v>
                </c:pt>
                <c:pt idx="578">
                  <c:v>-1.81%</c:v>
                </c:pt>
                <c:pt idx="579">
                  <c:v>-0.03%</c:v>
                </c:pt>
                <c:pt idx="580">
                  <c:v>0.17%</c:v>
                </c:pt>
                <c:pt idx="581">
                  <c:v>-2.06%</c:v>
                </c:pt>
                <c:pt idx="582">
                  <c:v>0.10%</c:v>
                </c:pt>
                <c:pt idx="583">
                  <c:v>-0.18%</c:v>
                </c:pt>
                <c:pt idx="584">
                  <c:v>-1.60%</c:v>
                </c:pt>
                <c:pt idx="585">
                  <c:v>1.54%</c:v>
                </c:pt>
                <c:pt idx="586">
                  <c:v>0.18%</c:v>
                </c:pt>
                <c:pt idx="587">
                  <c:v>-2.52%</c:v>
                </c:pt>
                <c:pt idx="588">
                  <c:v>-0.50%</c:v>
                </c:pt>
                <c:pt idx="589">
                  <c:v>-0.33%</c:v>
                </c:pt>
                <c:pt idx="590">
                  <c:v>-0.09%</c:v>
                </c:pt>
                <c:pt idx="591">
                  <c:v>-0.83%</c:v>
                </c:pt>
                <c:pt idx="592">
                  <c:v>-1.18%</c:v>
                </c:pt>
                <c:pt idx="593">
                  <c:v>0.32%</c:v>
                </c:pt>
                <c:pt idx="594">
                  <c:v>-1.06%</c:v>
                </c:pt>
                <c:pt idx="595">
                  <c:v>1.13%</c:v>
                </c:pt>
                <c:pt idx="596">
                  <c:v>0.59%</c:v>
                </c:pt>
                <c:pt idx="597">
                  <c:v>0.30%</c:v>
                </c:pt>
                <c:pt idx="598">
                  <c:v>-0.61%</c:v>
                </c:pt>
                <c:pt idx="599">
                  <c:v>0.16%</c:v>
                </c:pt>
                <c:pt idx="600">
                  <c:v>0.10%</c:v>
                </c:pt>
                <c:pt idx="601">
                  <c:v>0.21%</c:v>
                </c:pt>
                <c:pt idx="602">
                  <c:v>-1.79%</c:v>
                </c:pt>
                <c:pt idx="603">
                  <c:v>0.03%</c:v>
                </c:pt>
                <c:pt idx="604">
                  <c:v>-2.55%</c:v>
                </c:pt>
                <c:pt idx="605">
                  <c:v>0.17%</c:v>
                </c:pt>
                <c:pt idx="606">
                  <c:v>2.84%</c:v>
                </c:pt>
                <c:pt idx="607">
                  <c:v>-1.07%</c:v>
                </c:pt>
                <c:pt idx="608">
                  <c:v>-0.88%</c:v>
                </c:pt>
                <c:pt idx="609">
                  <c:v>0.98%</c:v>
                </c:pt>
                <c:pt idx="610">
                  <c:v>-0.92%</c:v>
                </c:pt>
                <c:pt idx="611">
                  <c:v>-1.13%</c:v>
                </c:pt>
                <c:pt idx="612">
                  <c:v>-0.23%</c:v>
                </c:pt>
                <c:pt idx="613">
                  <c:v>0.21%</c:v>
                </c:pt>
                <c:pt idx="614">
                  <c:v>1.02%</c:v>
                </c:pt>
                <c:pt idx="615">
                  <c:v>-0.49%</c:v>
                </c:pt>
                <c:pt idx="616">
                  <c:v>-0.65%</c:v>
                </c:pt>
                <c:pt idx="617">
                  <c:v>-0.26%</c:v>
                </c:pt>
                <c:pt idx="618">
                  <c:v>-0.77%</c:v>
                </c:pt>
                <c:pt idx="619">
                  <c:v>0.37%</c:v>
                </c:pt>
                <c:pt idx="620">
                  <c:v>1.59%</c:v>
                </c:pt>
                <c:pt idx="621">
                  <c:v>-0.91%</c:v>
                </c:pt>
                <c:pt idx="622">
                  <c:v>-1.28%</c:v>
                </c:pt>
                <c:pt idx="623">
                  <c:v>-0.04%</c:v>
                </c:pt>
                <c:pt idx="624">
                  <c:v>-0.62%</c:v>
                </c:pt>
                <c:pt idx="625">
                  <c:v>-1.59%</c:v>
                </c:pt>
                <c:pt idx="626">
                  <c:v>-1.48%</c:v>
                </c:pt>
                <c:pt idx="627">
                  <c:v>-2.07%</c:v>
                </c:pt>
                <c:pt idx="628">
                  <c:v>-0.04%</c:v>
                </c:pt>
                <c:pt idx="629">
                  <c:v>-0.81%</c:v>
                </c:pt>
                <c:pt idx="630">
                  <c:v>2.06%</c:v>
                </c:pt>
                <c:pt idx="631">
                  <c:v>0.48%</c:v>
                </c:pt>
                <c:pt idx="632">
                  <c:v>-1.12%</c:v>
                </c:pt>
                <c:pt idx="633">
                  <c:v>-1.21%</c:v>
                </c:pt>
                <c:pt idx="634">
                  <c:v>-0.49%</c:v>
                </c:pt>
                <c:pt idx="635">
                  <c:v>-1.51%</c:v>
                </c:pt>
                <c:pt idx="636">
                  <c:v>-0.05%</c:v>
                </c:pt>
                <c:pt idx="637">
                  <c:v>1.28%</c:v>
                </c:pt>
                <c:pt idx="638">
                  <c:v>-0.33%</c:v>
                </c:pt>
                <c:pt idx="639">
                  <c:v>-0.75%</c:v>
                </c:pt>
                <c:pt idx="640">
                  <c:v>-2.20%</c:v>
                </c:pt>
                <c:pt idx="641">
                  <c:v>-1.64%</c:v>
                </c:pt>
                <c:pt idx="642">
                  <c:v>0.13%</c:v>
                </c:pt>
                <c:pt idx="643">
                  <c:v>-0.11%</c:v>
                </c:pt>
                <c:pt idx="644">
                  <c:v>0.25%</c:v>
                </c:pt>
                <c:pt idx="645">
                  <c:v>-1.58%</c:v>
                </c:pt>
                <c:pt idx="646">
                  <c:v>1.03%</c:v>
                </c:pt>
                <c:pt idx="647">
                  <c:v>-0.53%</c:v>
                </c:pt>
                <c:pt idx="648">
                  <c:v>-2.05%</c:v>
                </c:pt>
                <c:pt idx="649">
                  <c:v>-1.22%</c:v>
                </c:pt>
                <c:pt idx="650">
                  <c:v>-0.69%</c:v>
                </c:pt>
                <c:pt idx="651">
                  <c:v>-0.05%</c:v>
                </c:pt>
                <c:pt idx="652">
                  <c:v>-1.85%</c:v>
                </c:pt>
                <c:pt idx="653">
                  <c:v>1.03%</c:v>
                </c:pt>
                <c:pt idx="654">
                  <c:v>0.02%</c:v>
                </c:pt>
                <c:pt idx="655">
                  <c:v>1.00%</c:v>
                </c:pt>
                <c:pt idx="656">
                  <c:v>1.66%</c:v>
                </c:pt>
                <c:pt idx="657">
                  <c:v>-0.30%</c:v>
                </c:pt>
                <c:pt idx="658">
                  <c:v>-0.69%</c:v>
                </c:pt>
                <c:pt idx="659">
                  <c:v>0.69%</c:v>
                </c:pt>
                <c:pt idx="660">
                  <c:v>-1.93%</c:v>
                </c:pt>
                <c:pt idx="661">
                  <c:v>1.26%</c:v>
                </c:pt>
                <c:pt idx="662">
                  <c:v>-0.03%</c:v>
                </c:pt>
                <c:pt idx="663">
                  <c:v>-0.45%</c:v>
                </c:pt>
                <c:pt idx="664">
                  <c:v>-1.25%</c:v>
                </c:pt>
                <c:pt idx="665">
                  <c:v>-1.45%</c:v>
                </c:pt>
                <c:pt idx="666">
                  <c:v>-0.32%</c:v>
                </c:pt>
                <c:pt idx="667">
                  <c:v>0.56%</c:v>
                </c:pt>
                <c:pt idx="668">
                  <c:v>0.01%</c:v>
                </c:pt>
                <c:pt idx="669">
                  <c:v>-2.58%</c:v>
                </c:pt>
                <c:pt idx="670">
                  <c:v>-0.74%</c:v>
                </c:pt>
                <c:pt idx="671">
                  <c:v>0.62%</c:v>
                </c:pt>
                <c:pt idx="672">
                  <c:v>2.12%</c:v>
                </c:pt>
                <c:pt idx="673">
                  <c:v>-0.13%</c:v>
                </c:pt>
                <c:pt idx="674">
                  <c:v>0.47%</c:v>
                </c:pt>
                <c:pt idx="675">
                  <c:v>0.04%</c:v>
                </c:pt>
                <c:pt idx="676">
                  <c:v>-0.42%</c:v>
                </c:pt>
                <c:pt idx="677">
                  <c:v>-1.27%</c:v>
                </c:pt>
                <c:pt idx="678">
                  <c:v>-1.00%</c:v>
                </c:pt>
                <c:pt idx="679">
                  <c:v>-1.49%</c:v>
                </c:pt>
                <c:pt idx="680">
                  <c:v>0.56%</c:v>
                </c:pt>
                <c:pt idx="681">
                  <c:v>1.00%</c:v>
                </c:pt>
                <c:pt idx="682">
                  <c:v>-0.18%</c:v>
                </c:pt>
                <c:pt idx="683">
                  <c:v>-0.69%</c:v>
                </c:pt>
                <c:pt idx="684">
                  <c:v>1.18%</c:v>
                </c:pt>
                <c:pt idx="685">
                  <c:v>2.55%</c:v>
                </c:pt>
                <c:pt idx="686">
                  <c:v>-1.95%</c:v>
                </c:pt>
                <c:pt idx="687">
                  <c:v>0.67%</c:v>
                </c:pt>
                <c:pt idx="688">
                  <c:v>0.19%</c:v>
                </c:pt>
                <c:pt idx="689">
                  <c:v>0.40%</c:v>
                </c:pt>
                <c:pt idx="690">
                  <c:v>0.82%</c:v>
                </c:pt>
                <c:pt idx="691">
                  <c:v>1.78%</c:v>
                </c:pt>
                <c:pt idx="692">
                  <c:v>-0.11%</c:v>
                </c:pt>
                <c:pt idx="693">
                  <c:v>2.48%</c:v>
                </c:pt>
                <c:pt idx="694">
                  <c:v>-1.30%</c:v>
                </c:pt>
                <c:pt idx="695">
                  <c:v>0.90%</c:v>
                </c:pt>
                <c:pt idx="696">
                  <c:v>-1.58%</c:v>
                </c:pt>
                <c:pt idx="697">
                  <c:v>-1.57%</c:v>
                </c:pt>
                <c:pt idx="698">
                  <c:v>0.51%</c:v>
                </c:pt>
                <c:pt idx="699">
                  <c:v>0.85%</c:v>
                </c:pt>
                <c:pt idx="700">
                  <c:v>-0.62%</c:v>
                </c:pt>
                <c:pt idx="701">
                  <c:v>0.67%</c:v>
                </c:pt>
                <c:pt idx="702">
                  <c:v>-0.79%</c:v>
                </c:pt>
                <c:pt idx="703">
                  <c:v>1.30%</c:v>
                </c:pt>
                <c:pt idx="704">
                  <c:v>-1.64%</c:v>
                </c:pt>
                <c:pt idx="705">
                  <c:v>0.27%</c:v>
                </c:pt>
                <c:pt idx="706">
                  <c:v>0.36%</c:v>
                </c:pt>
                <c:pt idx="707">
                  <c:v>0.27%</c:v>
                </c:pt>
                <c:pt idx="708">
                  <c:v>0.04%</c:v>
                </c:pt>
                <c:pt idx="709">
                  <c:v>-0.10%</c:v>
                </c:pt>
                <c:pt idx="710">
                  <c:v>-2.88%</c:v>
                </c:pt>
                <c:pt idx="711">
                  <c:v>-1.63%</c:v>
                </c:pt>
                <c:pt idx="712">
                  <c:v>1.17%</c:v>
                </c:pt>
                <c:pt idx="713">
                  <c:v>0.82%</c:v>
                </c:pt>
                <c:pt idx="714">
                  <c:v>1.58%</c:v>
                </c:pt>
                <c:pt idx="715">
                  <c:v>0.11%</c:v>
                </c:pt>
                <c:pt idx="716">
                  <c:v>1.95%</c:v>
                </c:pt>
                <c:pt idx="717">
                  <c:v>-0.12%</c:v>
                </c:pt>
                <c:pt idx="718">
                  <c:v>1.20%</c:v>
                </c:pt>
                <c:pt idx="719">
                  <c:v>-0.50%</c:v>
                </c:pt>
                <c:pt idx="720">
                  <c:v>-0.59%</c:v>
                </c:pt>
                <c:pt idx="721">
                  <c:v>1.06%</c:v>
                </c:pt>
                <c:pt idx="722">
                  <c:v>-1.60%</c:v>
                </c:pt>
                <c:pt idx="723">
                  <c:v>1.76%</c:v>
                </c:pt>
                <c:pt idx="724">
                  <c:v>2.12%</c:v>
                </c:pt>
                <c:pt idx="725">
                  <c:v>0.03%</c:v>
                </c:pt>
                <c:pt idx="726">
                  <c:v>1.60%</c:v>
                </c:pt>
                <c:pt idx="727">
                  <c:v>-0.57%</c:v>
                </c:pt>
                <c:pt idx="728">
                  <c:v>-0.25%</c:v>
                </c:pt>
                <c:pt idx="729">
                  <c:v>0.31%</c:v>
                </c:pt>
                <c:pt idx="730">
                  <c:v>-0.59%</c:v>
                </c:pt>
                <c:pt idx="731">
                  <c:v>0.83%</c:v>
                </c:pt>
                <c:pt idx="732">
                  <c:v>1.05%</c:v>
                </c:pt>
                <c:pt idx="733">
                  <c:v>0.77%</c:v>
                </c:pt>
                <c:pt idx="734">
                  <c:v>-0.55%</c:v>
                </c:pt>
                <c:pt idx="735">
                  <c:v>-1.69%</c:v>
                </c:pt>
                <c:pt idx="736">
                  <c:v>0.51%</c:v>
                </c:pt>
                <c:pt idx="737">
                  <c:v>-0.37%</c:v>
                </c:pt>
                <c:pt idx="738">
                  <c:v>-1.80%</c:v>
                </c:pt>
                <c:pt idx="739">
                  <c:v>-1.33%</c:v>
                </c:pt>
                <c:pt idx="740">
                  <c:v>-0.29%</c:v>
                </c:pt>
                <c:pt idx="741">
                  <c:v>1.76%</c:v>
                </c:pt>
                <c:pt idx="742">
                  <c:v>0.47%</c:v>
                </c:pt>
                <c:pt idx="743">
                  <c:v>-0.96%</c:v>
                </c:pt>
                <c:pt idx="744">
                  <c:v>-1.19%</c:v>
                </c:pt>
                <c:pt idx="745">
                  <c:v>-1.09%</c:v>
                </c:pt>
                <c:pt idx="746">
                  <c:v>-1.12%</c:v>
                </c:pt>
                <c:pt idx="747">
                  <c:v>0.22%</c:v>
                </c:pt>
                <c:pt idx="748">
                  <c:v>1.30%</c:v>
                </c:pt>
                <c:pt idx="749">
                  <c:v>3.10%</c:v>
                </c:pt>
                <c:pt idx="750">
                  <c:v>2.04%</c:v>
                </c:pt>
                <c:pt idx="751">
                  <c:v>-0.51%</c:v>
                </c:pt>
                <c:pt idx="752">
                  <c:v>1.10%</c:v>
                </c:pt>
                <c:pt idx="753">
                  <c:v>0.15%</c:v>
                </c:pt>
                <c:pt idx="754">
                  <c:v>2.01%</c:v>
                </c:pt>
                <c:pt idx="755">
                  <c:v>0.62%</c:v>
                </c:pt>
                <c:pt idx="756">
                  <c:v>-0.53%</c:v>
                </c:pt>
                <c:pt idx="757">
                  <c:v>1.13%</c:v>
                </c:pt>
                <c:pt idx="758">
                  <c:v>-0.86%</c:v>
                </c:pt>
                <c:pt idx="759">
                  <c:v>-0.68%</c:v>
                </c:pt>
                <c:pt idx="760">
                  <c:v>-0.32%</c:v>
                </c:pt>
                <c:pt idx="761">
                  <c:v>-0.27%</c:v>
                </c:pt>
                <c:pt idx="762">
                  <c:v>-2.33%</c:v>
                </c:pt>
                <c:pt idx="763">
                  <c:v>1.18%</c:v>
                </c:pt>
                <c:pt idx="764">
                  <c:v>3.06%</c:v>
                </c:pt>
                <c:pt idx="765">
                  <c:v>-1.37%</c:v>
                </c:pt>
                <c:pt idx="766">
                  <c:v>1.57%</c:v>
                </c:pt>
                <c:pt idx="767">
                  <c:v>-1.89%</c:v>
                </c:pt>
                <c:pt idx="768">
                  <c:v>-0.06%</c:v>
                </c:pt>
                <c:pt idx="769">
                  <c:v>-0.91%</c:v>
                </c:pt>
                <c:pt idx="770">
                  <c:v>0.25%</c:v>
                </c:pt>
                <c:pt idx="771">
                  <c:v>0.63%</c:v>
                </c:pt>
                <c:pt idx="772">
                  <c:v>-1.43%</c:v>
                </c:pt>
                <c:pt idx="773">
                  <c:v>-0.15%</c:v>
                </c:pt>
                <c:pt idx="774">
                  <c:v>0.87%</c:v>
                </c:pt>
                <c:pt idx="775">
                  <c:v>-1.02%</c:v>
                </c:pt>
                <c:pt idx="776">
                  <c:v>1.44%</c:v>
                </c:pt>
                <c:pt idx="777">
                  <c:v>1.49%</c:v>
                </c:pt>
                <c:pt idx="778">
                  <c:v>-0.50%</c:v>
                </c:pt>
                <c:pt idx="779">
                  <c:v>1.64%</c:v>
                </c:pt>
                <c:pt idx="780">
                  <c:v>-2.17%</c:v>
                </c:pt>
                <c:pt idx="781">
                  <c:v>-0.66%</c:v>
                </c:pt>
                <c:pt idx="782">
                  <c:v>0.64%</c:v>
                </c:pt>
                <c:pt idx="783">
                  <c:v>1.11%</c:v>
                </c:pt>
                <c:pt idx="784">
                  <c:v>1.28%</c:v>
                </c:pt>
                <c:pt idx="785">
                  <c:v>1.15%</c:v>
                </c:pt>
                <c:pt idx="786">
                  <c:v>0.08%</c:v>
                </c:pt>
                <c:pt idx="787">
                  <c:v>0.82%</c:v>
                </c:pt>
                <c:pt idx="788">
                  <c:v>0.07%</c:v>
                </c:pt>
                <c:pt idx="789">
                  <c:v>-1.63%</c:v>
                </c:pt>
                <c:pt idx="790">
                  <c:v>1.06%</c:v>
                </c:pt>
                <c:pt idx="791">
                  <c:v>0.68%</c:v>
                </c:pt>
                <c:pt idx="792">
                  <c:v>-0.11%</c:v>
                </c:pt>
                <c:pt idx="793">
                  <c:v>-0.62%</c:v>
                </c:pt>
                <c:pt idx="794">
                  <c:v>2.24%</c:v>
                </c:pt>
                <c:pt idx="795">
                  <c:v>-1.02%</c:v>
                </c:pt>
                <c:pt idx="796">
                  <c:v>0.12%</c:v>
                </c:pt>
                <c:pt idx="797">
                  <c:v>-0.76%</c:v>
                </c:pt>
                <c:pt idx="798">
                  <c:v>-0.03%</c:v>
                </c:pt>
                <c:pt idx="799">
                  <c:v>1.32%</c:v>
                </c:pt>
                <c:pt idx="800">
                  <c:v>0.50%</c:v>
                </c:pt>
                <c:pt idx="801">
                  <c:v>-0.31%</c:v>
                </c:pt>
                <c:pt idx="802">
                  <c:v>0.96%</c:v>
                </c:pt>
                <c:pt idx="803">
                  <c:v>1.09%</c:v>
                </c:pt>
                <c:pt idx="804">
                  <c:v>-0.04%</c:v>
                </c:pt>
                <c:pt idx="805">
                  <c:v>-0.45%</c:v>
                </c:pt>
                <c:pt idx="806">
                  <c:v>-0.79%</c:v>
                </c:pt>
                <c:pt idx="807">
                  <c:v>-2.11%</c:v>
                </c:pt>
                <c:pt idx="808">
                  <c:v>1.79%</c:v>
                </c:pt>
                <c:pt idx="809">
                  <c:v>-0.77%</c:v>
                </c:pt>
                <c:pt idx="810">
                  <c:v>-1.28%</c:v>
                </c:pt>
                <c:pt idx="811">
                  <c:v>-0.93%</c:v>
                </c:pt>
                <c:pt idx="812">
                  <c:v>-1.26%</c:v>
                </c:pt>
                <c:pt idx="813">
                  <c:v>1.29%</c:v>
                </c:pt>
                <c:pt idx="814">
                  <c:v>-0.06%</c:v>
                </c:pt>
                <c:pt idx="815">
                  <c:v>-1.07%</c:v>
                </c:pt>
                <c:pt idx="816">
                  <c:v>-0.88%</c:v>
                </c:pt>
                <c:pt idx="817">
                  <c:v>-1.10%</c:v>
                </c:pt>
                <c:pt idx="818">
                  <c:v>1.31%</c:v>
                </c:pt>
                <c:pt idx="819">
                  <c:v>-1.58%</c:v>
                </c:pt>
                <c:pt idx="820">
                  <c:v>0.13%</c:v>
                </c:pt>
                <c:pt idx="821">
                  <c:v>0.59%</c:v>
                </c:pt>
                <c:pt idx="822">
                  <c:v>0.45%</c:v>
                </c:pt>
                <c:pt idx="823">
                  <c:v>0.29%</c:v>
                </c:pt>
                <c:pt idx="824">
                  <c:v>-0.12%</c:v>
                </c:pt>
                <c:pt idx="825">
                  <c:v>-2.63%</c:v>
                </c:pt>
                <c:pt idx="826">
                  <c:v>0.02%</c:v>
                </c:pt>
                <c:pt idx="827">
                  <c:v>-0.53%</c:v>
                </c:pt>
                <c:pt idx="828">
                  <c:v>-1.46%</c:v>
                </c:pt>
                <c:pt idx="829">
                  <c:v>1.68%</c:v>
                </c:pt>
                <c:pt idx="830">
                  <c:v>1.46%</c:v>
                </c:pt>
                <c:pt idx="831">
                  <c:v>-0.39%</c:v>
                </c:pt>
                <c:pt idx="832">
                  <c:v>0.44%</c:v>
                </c:pt>
                <c:pt idx="833">
                  <c:v>0.04%</c:v>
                </c:pt>
                <c:pt idx="834">
                  <c:v>-2.11%</c:v>
                </c:pt>
                <c:pt idx="835">
                  <c:v>-0.45%</c:v>
                </c:pt>
                <c:pt idx="836">
                  <c:v>1.02%</c:v>
                </c:pt>
                <c:pt idx="837">
                  <c:v>-0.09%</c:v>
                </c:pt>
                <c:pt idx="838">
                  <c:v>-1.10%</c:v>
                </c:pt>
                <c:pt idx="839">
                  <c:v>1.32%</c:v>
                </c:pt>
                <c:pt idx="840">
                  <c:v>0.43%</c:v>
                </c:pt>
                <c:pt idx="841">
                  <c:v>-1.28%</c:v>
                </c:pt>
                <c:pt idx="842">
                  <c:v>-0.61%</c:v>
                </c:pt>
                <c:pt idx="843">
                  <c:v>-0.44%</c:v>
                </c:pt>
                <c:pt idx="844">
                  <c:v>-1.08%</c:v>
                </c:pt>
                <c:pt idx="845">
                  <c:v>0.90%</c:v>
                </c:pt>
                <c:pt idx="846">
                  <c:v>-0.58%</c:v>
                </c:pt>
                <c:pt idx="847">
                  <c:v>0.19%</c:v>
                </c:pt>
                <c:pt idx="848">
                  <c:v>2.06%</c:v>
                </c:pt>
                <c:pt idx="849">
                  <c:v>-0.72%</c:v>
                </c:pt>
                <c:pt idx="850">
                  <c:v>-1.22%</c:v>
                </c:pt>
                <c:pt idx="851">
                  <c:v>0.04%</c:v>
                </c:pt>
                <c:pt idx="852">
                  <c:v>-0.48%</c:v>
                </c:pt>
                <c:pt idx="853">
                  <c:v>-0.34%</c:v>
                </c:pt>
                <c:pt idx="854">
                  <c:v>-1.00%</c:v>
                </c:pt>
                <c:pt idx="855">
                  <c:v>-1.72%</c:v>
                </c:pt>
                <c:pt idx="856">
                  <c:v>-0.41%</c:v>
                </c:pt>
                <c:pt idx="857">
                  <c:v>-1.43%</c:v>
                </c:pt>
                <c:pt idx="858">
                  <c:v>-1.21%</c:v>
                </c:pt>
                <c:pt idx="859">
                  <c:v>3.26%</c:v>
                </c:pt>
                <c:pt idx="860">
                  <c:v>2.78%</c:v>
                </c:pt>
                <c:pt idx="861">
                  <c:v>2.73%</c:v>
                </c:pt>
                <c:pt idx="862">
                  <c:v>-0.31%</c:v>
                </c:pt>
                <c:pt idx="863">
                  <c:v>-1.21%</c:v>
                </c:pt>
                <c:pt idx="864">
                  <c:v>0.66%</c:v>
                </c:pt>
                <c:pt idx="865">
                  <c:v>-1.13%</c:v>
                </c:pt>
                <c:pt idx="866">
                  <c:v>-0.28%</c:v>
                </c:pt>
                <c:pt idx="867">
                  <c:v>-1.02%</c:v>
                </c:pt>
                <c:pt idx="868">
                  <c:v>1.05%</c:v>
                </c:pt>
                <c:pt idx="869">
                  <c:v>-0.08%</c:v>
                </c:pt>
                <c:pt idx="870">
                  <c:v>0.40%</c:v>
                </c:pt>
                <c:pt idx="871">
                  <c:v>-0.65%</c:v>
                </c:pt>
                <c:pt idx="872">
                  <c:v>-0.19%</c:v>
                </c:pt>
                <c:pt idx="873">
                  <c:v>-2.02%</c:v>
                </c:pt>
                <c:pt idx="874">
                  <c:v>-0.08%</c:v>
                </c:pt>
                <c:pt idx="875">
                  <c:v>-0.32%</c:v>
                </c:pt>
                <c:pt idx="876">
                  <c:v>0.51%</c:v>
                </c:pt>
                <c:pt idx="877">
                  <c:v>-0.50%</c:v>
                </c:pt>
                <c:pt idx="878">
                  <c:v>-1.09%</c:v>
                </c:pt>
                <c:pt idx="879">
                  <c:v>0.12%</c:v>
                </c:pt>
                <c:pt idx="880">
                  <c:v>1.69%</c:v>
                </c:pt>
                <c:pt idx="881">
                  <c:v>-0.13%</c:v>
                </c:pt>
                <c:pt idx="882">
                  <c:v>2.06%</c:v>
                </c:pt>
                <c:pt idx="883">
                  <c:v>-2.80%</c:v>
                </c:pt>
                <c:pt idx="884">
                  <c:v>-0.95%</c:v>
                </c:pt>
                <c:pt idx="885">
                  <c:v>-0.27%</c:v>
                </c:pt>
                <c:pt idx="886">
                  <c:v>-1.48%</c:v>
                </c:pt>
                <c:pt idx="887">
                  <c:v>-3.07%</c:v>
                </c:pt>
                <c:pt idx="888">
                  <c:v>0.09%</c:v>
                </c:pt>
                <c:pt idx="889">
                  <c:v>-1.09%</c:v>
                </c:pt>
                <c:pt idx="890">
                  <c:v>-0.88%</c:v>
                </c:pt>
                <c:pt idx="891">
                  <c:v>-0.13%</c:v>
                </c:pt>
                <c:pt idx="892">
                  <c:v>-0.21%</c:v>
                </c:pt>
                <c:pt idx="893">
                  <c:v>-0.67%</c:v>
                </c:pt>
                <c:pt idx="894">
                  <c:v>0.74%</c:v>
                </c:pt>
                <c:pt idx="895">
                  <c:v>-0.86%</c:v>
                </c:pt>
                <c:pt idx="896">
                  <c:v>1.32%</c:v>
                </c:pt>
                <c:pt idx="897">
                  <c:v>1.42%</c:v>
                </c:pt>
                <c:pt idx="898">
                  <c:v>-1.76%</c:v>
                </c:pt>
                <c:pt idx="899">
                  <c:v>-0.96%</c:v>
                </c:pt>
                <c:pt idx="900">
                  <c:v>1.08%</c:v>
                </c:pt>
                <c:pt idx="901">
                  <c:v>-1.41%</c:v>
                </c:pt>
                <c:pt idx="902">
                  <c:v>-0.62%</c:v>
                </c:pt>
                <c:pt idx="903">
                  <c:v>0.21%</c:v>
                </c:pt>
                <c:pt idx="904">
                  <c:v>1.17%</c:v>
                </c:pt>
                <c:pt idx="905">
                  <c:v>1.37%</c:v>
                </c:pt>
                <c:pt idx="906">
                  <c:v>-0.13%</c:v>
                </c:pt>
                <c:pt idx="907">
                  <c:v>0.65%</c:v>
                </c:pt>
                <c:pt idx="908">
                  <c:v>0.41%</c:v>
                </c:pt>
                <c:pt idx="909">
                  <c:v>1.88%</c:v>
                </c:pt>
                <c:pt idx="910">
                  <c:v>0.02%</c:v>
                </c:pt>
                <c:pt idx="911">
                  <c:v>-0.12%</c:v>
                </c:pt>
                <c:pt idx="912">
                  <c:v>-0.19%</c:v>
                </c:pt>
                <c:pt idx="913">
                  <c:v>-1.43%</c:v>
                </c:pt>
                <c:pt idx="914">
                  <c:v>-1.44%</c:v>
                </c:pt>
                <c:pt idx="915">
                  <c:v>-3.01%</c:v>
                </c:pt>
                <c:pt idx="916">
                  <c:v>1.70%</c:v>
                </c:pt>
                <c:pt idx="917">
                  <c:v>2.26%</c:v>
                </c:pt>
                <c:pt idx="918">
                  <c:v>-1.92%</c:v>
                </c:pt>
                <c:pt idx="919">
                  <c:v>1.00%</c:v>
                </c:pt>
                <c:pt idx="920">
                  <c:v>0.49%</c:v>
                </c:pt>
                <c:pt idx="921">
                  <c:v>-0.19%</c:v>
                </c:pt>
                <c:pt idx="922">
                  <c:v>0.74%</c:v>
                </c:pt>
                <c:pt idx="923">
                  <c:v>-0.08%</c:v>
                </c:pt>
                <c:pt idx="924">
                  <c:v>3.04%</c:v>
                </c:pt>
                <c:pt idx="925">
                  <c:v>1.06%</c:v>
                </c:pt>
                <c:pt idx="926">
                  <c:v>-0.86%</c:v>
                </c:pt>
                <c:pt idx="927">
                  <c:v>-1.20%</c:v>
                </c:pt>
                <c:pt idx="928">
                  <c:v>1.60%</c:v>
                </c:pt>
                <c:pt idx="929">
                  <c:v>-0.27%</c:v>
                </c:pt>
                <c:pt idx="930">
                  <c:v>-0.21%</c:v>
                </c:pt>
                <c:pt idx="931">
                  <c:v>0.20%</c:v>
                </c:pt>
                <c:pt idx="932">
                  <c:v>0.11%</c:v>
                </c:pt>
                <c:pt idx="933">
                  <c:v>1.35%</c:v>
                </c:pt>
                <c:pt idx="934">
                  <c:v>-1.04%</c:v>
                </c:pt>
                <c:pt idx="935">
                  <c:v>-2.57%</c:v>
                </c:pt>
                <c:pt idx="936">
                  <c:v>-0.60%</c:v>
                </c:pt>
                <c:pt idx="937">
                  <c:v>-0.87%</c:v>
                </c:pt>
                <c:pt idx="938">
                  <c:v>-0.69%</c:v>
                </c:pt>
                <c:pt idx="939">
                  <c:v>-1.85%</c:v>
                </c:pt>
                <c:pt idx="940">
                  <c:v>-1.03%</c:v>
                </c:pt>
                <c:pt idx="941">
                  <c:v>-1.61%</c:v>
                </c:pt>
                <c:pt idx="942">
                  <c:v>1.12%</c:v>
                </c:pt>
                <c:pt idx="943">
                  <c:v>-1.20%</c:v>
                </c:pt>
                <c:pt idx="944">
                  <c:v>-0.22%</c:v>
                </c:pt>
                <c:pt idx="945">
                  <c:v>1.67%</c:v>
                </c:pt>
                <c:pt idx="946">
                  <c:v>-0.35%</c:v>
                </c:pt>
                <c:pt idx="947">
                  <c:v>0.46%</c:v>
                </c:pt>
                <c:pt idx="948">
                  <c:v>1.18%</c:v>
                </c:pt>
                <c:pt idx="949">
                  <c:v>0.69%</c:v>
                </c:pt>
                <c:pt idx="950">
                  <c:v>-0.63%</c:v>
                </c:pt>
                <c:pt idx="951">
                  <c:v>-1.15%</c:v>
                </c:pt>
                <c:pt idx="952">
                  <c:v>1.50%</c:v>
                </c:pt>
                <c:pt idx="953">
                  <c:v>0.25%</c:v>
                </c:pt>
                <c:pt idx="954">
                  <c:v>-0.78%</c:v>
                </c:pt>
                <c:pt idx="955">
                  <c:v>-0.36%</c:v>
                </c:pt>
                <c:pt idx="956">
                  <c:v>-0.02%</c:v>
                </c:pt>
                <c:pt idx="957">
                  <c:v>-1.98%</c:v>
                </c:pt>
                <c:pt idx="958">
                  <c:v>0.58%</c:v>
                </c:pt>
                <c:pt idx="959">
                  <c:v>1.22%</c:v>
                </c:pt>
                <c:pt idx="960">
                  <c:v>-0.71%</c:v>
                </c:pt>
                <c:pt idx="961">
                  <c:v>-0.92%</c:v>
                </c:pt>
                <c:pt idx="962">
                  <c:v>-0.43%</c:v>
                </c:pt>
                <c:pt idx="963">
                  <c:v>-0.19%</c:v>
                </c:pt>
                <c:pt idx="964">
                  <c:v>2.32%</c:v>
                </c:pt>
                <c:pt idx="965">
                  <c:v>1.00%</c:v>
                </c:pt>
                <c:pt idx="966">
                  <c:v>0.24%</c:v>
                </c:pt>
                <c:pt idx="967">
                  <c:v>-0.66%</c:v>
                </c:pt>
                <c:pt idx="968">
                  <c:v>0.12%</c:v>
                </c:pt>
                <c:pt idx="969">
                  <c:v>-0.17%</c:v>
                </c:pt>
                <c:pt idx="970">
                  <c:v>-1.28%</c:v>
                </c:pt>
                <c:pt idx="971">
                  <c:v>-0.45%</c:v>
                </c:pt>
                <c:pt idx="972">
                  <c:v>0.54%</c:v>
                </c:pt>
                <c:pt idx="973">
                  <c:v>-1.18%</c:v>
                </c:pt>
                <c:pt idx="974">
                  <c:v>-1.46%</c:v>
                </c:pt>
                <c:pt idx="975">
                  <c:v>-0.14%</c:v>
                </c:pt>
                <c:pt idx="976">
                  <c:v>-0.42%</c:v>
                </c:pt>
                <c:pt idx="977">
                  <c:v>-1.92%</c:v>
                </c:pt>
                <c:pt idx="978">
                  <c:v>1.38%</c:v>
                </c:pt>
                <c:pt idx="979">
                  <c:v>1.37%</c:v>
                </c:pt>
                <c:pt idx="980">
                  <c:v>2.40%</c:v>
                </c:pt>
                <c:pt idx="981">
                  <c:v>-0.48%</c:v>
                </c:pt>
                <c:pt idx="982">
                  <c:v>0.68%</c:v>
                </c:pt>
                <c:pt idx="983">
                  <c:v>1.43%</c:v>
                </c:pt>
                <c:pt idx="984">
                  <c:v>0.65%</c:v>
                </c:pt>
                <c:pt idx="985">
                  <c:v>1.34%</c:v>
                </c:pt>
                <c:pt idx="986">
                  <c:v>0.22%</c:v>
                </c:pt>
                <c:pt idx="987">
                  <c:v>-0.52%</c:v>
                </c:pt>
                <c:pt idx="988">
                  <c:v>0.57%</c:v>
                </c:pt>
                <c:pt idx="989">
                  <c:v>0.59%</c:v>
                </c:pt>
                <c:pt idx="990">
                  <c:v>0.81%</c:v>
                </c:pt>
                <c:pt idx="991">
                  <c:v>1.27%</c:v>
                </c:pt>
                <c:pt idx="992">
                  <c:v>0.22%</c:v>
                </c:pt>
                <c:pt idx="993">
                  <c:v>-0.21%</c:v>
                </c:pt>
                <c:pt idx="994">
                  <c:v>1.37%</c:v>
                </c:pt>
                <c:pt idx="995">
                  <c:v>-0.13%</c:v>
                </c:pt>
                <c:pt idx="996">
                  <c:v>-0.89%</c:v>
                </c:pt>
                <c:pt idx="997">
                  <c:v>1.11%</c:v>
                </c:pt>
                <c:pt idx="998">
                  <c:v>-2.38%</c:v>
                </c:pt>
                <c:pt idx="999">
                  <c:v>1.31%</c:v>
                </c:pt>
                <c:pt idx="1000">
                  <c:v>0.99%</c:v>
                </c:pt>
                <c:pt idx="1001">
                  <c:v>0.04%</c:v>
                </c:pt>
                <c:pt idx="1002">
                  <c:v>1.33%</c:v>
                </c:pt>
                <c:pt idx="1003">
                  <c:v>-0.42%</c:v>
                </c:pt>
                <c:pt idx="1004">
                  <c:v>0.38%</c:v>
                </c:pt>
                <c:pt idx="1005">
                  <c:v>-1.59%</c:v>
                </c:pt>
                <c:pt idx="1006">
                  <c:v>-1.36%</c:v>
                </c:pt>
                <c:pt idx="1007">
                  <c:v>0.54%</c:v>
                </c:pt>
                <c:pt idx="1008">
                  <c:v>-0.43%</c:v>
                </c:pt>
                <c:pt idx="1009">
                  <c:v>-1.26%</c:v>
                </c:pt>
                <c:pt idx="1010">
                  <c:v>1.09%</c:v>
                </c:pt>
                <c:pt idx="1011">
                  <c:v>-0.06%</c:v>
                </c:pt>
                <c:pt idx="1012">
                  <c:v>-0.72%</c:v>
                </c:pt>
                <c:pt idx="1013">
                  <c:v>-0.15%</c:v>
                </c:pt>
                <c:pt idx="1014">
                  <c:v>1.74%</c:v>
                </c:pt>
                <c:pt idx="1015">
                  <c:v>1.26%</c:v>
                </c:pt>
                <c:pt idx="1016">
                  <c:v>0.09%</c:v>
                </c:pt>
                <c:pt idx="1017">
                  <c:v>0.77%</c:v>
                </c:pt>
                <c:pt idx="1018">
                  <c:v>-0.62%</c:v>
                </c:pt>
                <c:pt idx="1019">
                  <c:v>2.08%</c:v>
                </c:pt>
                <c:pt idx="1020">
                  <c:v>1.52%</c:v>
                </c:pt>
                <c:pt idx="1021">
                  <c:v>-0.37%</c:v>
                </c:pt>
                <c:pt idx="1022">
                  <c:v>0.26%</c:v>
                </c:pt>
                <c:pt idx="1023">
                  <c:v>1.08%</c:v>
                </c:pt>
                <c:pt idx="1024">
                  <c:v>1.13%</c:v>
                </c:pt>
                <c:pt idx="1025">
                  <c:v>1.18%</c:v>
                </c:pt>
                <c:pt idx="1026">
                  <c:v>0.81%</c:v>
                </c:pt>
                <c:pt idx="1027">
                  <c:v>0.43%</c:v>
                </c:pt>
                <c:pt idx="1028">
                  <c:v>-1.77%</c:v>
                </c:pt>
                <c:pt idx="1029">
                  <c:v>1.69%</c:v>
                </c:pt>
                <c:pt idx="1030">
                  <c:v>-0.35%</c:v>
                </c:pt>
                <c:pt idx="1031">
                  <c:v>0.31%</c:v>
                </c:pt>
                <c:pt idx="1032">
                  <c:v>0.00%</c:v>
                </c:pt>
                <c:pt idx="1033">
                  <c:v>1.23%</c:v>
                </c:pt>
                <c:pt idx="1034">
                  <c:v>-0.44%</c:v>
                </c:pt>
                <c:pt idx="1035">
                  <c:v>-1.28%</c:v>
                </c:pt>
                <c:pt idx="1036">
                  <c:v>1.70%</c:v>
                </c:pt>
                <c:pt idx="1037">
                  <c:v>0.83%</c:v>
                </c:pt>
                <c:pt idx="1038">
                  <c:v>1.79%</c:v>
                </c:pt>
                <c:pt idx="1039">
                  <c:v>-0.02%</c:v>
                </c:pt>
                <c:pt idx="1040">
                  <c:v>0.42%</c:v>
                </c:pt>
                <c:pt idx="1041">
                  <c:v>1.06%</c:v>
                </c:pt>
                <c:pt idx="1042">
                  <c:v>-1.12%</c:v>
                </c:pt>
                <c:pt idx="1043">
                  <c:v>-1.72%</c:v>
                </c:pt>
                <c:pt idx="1044">
                  <c:v>-0.90%</c:v>
                </c:pt>
                <c:pt idx="1045">
                  <c:v>-0.69%</c:v>
                </c:pt>
                <c:pt idx="1046">
                  <c:v>2.06%</c:v>
                </c:pt>
                <c:pt idx="1047">
                  <c:v>2.95%</c:v>
                </c:pt>
                <c:pt idx="1048">
                  <c:v>-0.20%</c:v>
                </c:pt>
                <c:pt idx="1049">
                  <c:v>0.14%</c:v>
                </c:pt>
                <c:pt idx="1050">
                  <c:v>-0.33%</c:v>
                </c:pt>
                <c:pt idx="1051">
                  <c:v>-0.24%</c:v>
                </c:pt>
                <c:pt idx="1052">
                  <c:v>0.42%</c:v>
                </c:pt>
                <c:pt idx="1053">
                  <c:v>0.42%</c:v>
                </c:pt>
                <c:pt idx="1054">
                  <c:v>-0.36%</c:v>
                </c:pt>
                <c:pt idx="1055">
                  <c:v>-0.09%</c:v>
                </c:pt>
                <c:pt idx="1056">
                  <c:v>-0.65%</c:v>
                </c:pt>
                <c:pt idx="1057">
                  <c:v>-0.79%</c:v>
                </c:pt>
                <c:pt idx="1058">
                  <c:v>-0.42%</c:v>
                </c:pt>
                <c:pt idx="1059">
                  <c:v>0.82%</c:v>
                </c:pt>
                <c:pt idx="1060">
                  <c:v>0.59%</c:v>
                </c:pt>
                <c:pt idx="1061">
                  <c:v>-0.56%</c:v>
                </c:pt>
                <c:pt idx="1062">
                  <c:v>1.14%</c:v>
                </c:pt>
                <c:pt idx="1063">
                  <c:v>0.10%</c:v>
                </c:pt>
                <c:pt idx="1064">
                  <c:v>1.12%</c:v>
                </c:pt>
                <c:pt idx="1065">
                  <c:v>-0.18%</c:v>
                </c:pt>
                <c:pt idx="1066">
                  <c:v>2.08%</c:v>
                </c:pt>
                <c:pt idx="1067">
                  <c:v>1.62%</c:v>
                </c:pt>
                <c:pt idx="1068">
                  <c:v>0.86%</c:v>
                </c:pt>
                <c:pt idx="1069">
                  <c:v>1.67%</c:v>
                </c:pt>
                <c:pt idx="1070">
                  <c:v>-0.70%</c:v>
                </c:pt>
                <c:pt idx="1071">
                  <c:v>2.01%</c:v>
                </c:pt>
                <c:pt idx="1072">
                  <c:v>-1.35%</c:v>
                </c:pt>
                <c:pt idx="1073">
                  <c:v>0.13%</c:v>
                </c:pt>
                <c:pt idx="1074">
                  <c:v>-0.66%</c:v>
                </c:pt>
                <c:pt idx="1075">
                  <c:v>-2.13%</c:v>
                </c:pt>
                <c:pt idx="1076">
                  <c:v>-1.43%</c:v>
                </c:pt>
                <c:pt idx="1077">
                  <c:v>-0.46%</c:v>
                </c:pt>
                <c:pt idx="1078">
                  <c:v>0.59%</c:v>
                </c:pt>
                <c:pt idx="1079">
                  <c:v>-0.38%</c:v>
                </c:pt>
                <c:pt idx="1080">
                  <c:v>1.10%</c:v>
                </c:pt>
                <c:pt idx="1081">
                  <c:v>-0.34%</c:v>
                </c:pt>
                <c:pt idx="1082">
                  <c:v>-1.01%</c:v>
                </c:pt>
                <c:pt idx="1083">
                  <c:v>1.58%</c:v>
                </c:pt>
                <c:pt idx="1084">
                  <c:v>1.40%</c:v>
                </c:pt>
                <c:pt idx="1085">
                  <c:v>-0.24%</c:v>
                </c:pt>
                <c:pt idx="1086">
                  <c:v>-1.79%</c:v>
                </c:pt>
                <c:pt idx="1087">
                  <c:v>-1.20%</c:v>
                </c:pt>
                <c:pt idx="1088">
                  <c:v>-0.55%</c:v>
                </c:pt>
                <c:pt idx="1089">
                  <c:v>0.12%</c:v>
                </c:pt>
                <c:pt idx="1090">
                  <c:v>1.39%</c:v>
                </c:pt>
                <c:pt idx="1091">
                  <c:v>0.12%</c:v>
                </c:pt>
                <c:pt idx="1092">
                  <c:v>0.37%</c:v>
                </c:pt>
                <c:pt idx="1093">
                  <c:v>0.52%</c:v>
                </c:pt>
                <c:pt idx="1094">
                  <c:v>-1.30%</c:v>
                </c:pt>
                <c:pt idx="1095">
                  <c:v>1.31%</c:v>
                </c:pt>
                <c:pt idx="1096">
                  <c:v>1.76%</c:v>
                </c:pt>
                <c:pt idx="1097">
                  <c:v>0.63%</c:v>
                </c:pt>
                <c:pt idx="1098">
                  <c:v>1.79%</c:v>
                </c:pt>
                <c:pt idx="1099">
                  <c:v>-0.25%</c:v>
                </c:pt>
                <c:pt idx="1100">
                  <c:v>0.04%</c:v>
                </c:pt>
                <c:pt idx="1101">
                  <c:v>1.59%</c:v>
                </c:pt>
                <c:pt idx="1102">
                  <c:v>-0.16%</c:v>
                </c:pt>
                <c:pt idx="1103">
                  <c:v>-0.66%</c:v>
                </c:pt>
                <c:pt idx="1104">
                  <c:v>2.06%</c:v>
                </c:pt>
                <c:pt idx="1105">
                  <c:v>-0.14%</c:v>
                </c:pt>
                <c:pt idx="1106">
                  <c:v>-0.88%</c:v>
                </c:pt>
                <c:pt idx="1107">
                  <c:v>0.02%</c:v>
                </c:pt>
                <c:pt idx="1108">
                  <c:v>-2.39%</c:v>
                </c:pt>
                <c:pt idx="1109">
                  <c:v>1.22%</c:v>
                </c:pt>
                <c:pt idx="1110">
                  <c:v>1.56%</c:v>
                </c:pt>
                <c:pt idx="1111">
                  <c:v>-1.37%</c:v>
                </c:pt>
                <c:pt idx="1112">
                  <c:v>-0.73%</c:v>
                </c:pt>
                <c:pt idx="1113">
                  <c:v>2.14%</c:v>
                </c:pt>
                <c:pt idx="1114">
                  <c:v>1.13%</c:v>
                </c:pt>
                <c:pt idx="1115">
                  <c:v>-0.34%</c:v>
                </c:pt>
                <c:pt idx="1116">
                  <c:v>-0.15%</c:v>
                </c:pt>
                <c:pt idx="1117">
                  <c:v>0.49%</c:v>
                </c:pt>
                <c:pt idx="1118">
                  <c:v>1.65%</c:v>
                </c:pt>
                <c:pt idx="1119">
                  <c:v>0.91%</c:v>
                </c:pt>
                <c:pt idx="1120">
                  <c:v>0.68%</c:v>
                </c:pt>
                <c:pt idx="1121">
                  <c:v>-0.20%</c:v>
                </c:pt>
                <c:pt idx="1122">
                  <c:v>1.79%</c:v>
                </c:pt>
                <c:pt idx="1123">
                  <c:v>0.70%</c:v>
                </c:pt>
                <c:pt idx="1124">
                  <c:v>-1.21%</c:v>
                </c:pt>
                <c:pt idx="1125">
                  <c:v>-0.41%</c:v>
                </c:pt>
                <c:pt idx="1126">
                  <c:v>2.08%</c:v>
                </c:pt>
                <c:pt idx="1127">
                  <c:v>-2.02%</c:v>
                </c:pt>
                <c:pt idx="1128">
                  <c:v>-1.16%</c:v>
                </c:pt>
                <c:pt idx="1129">
                  <c:v>0.66%</c:v>
                </c:pt>
                <c:pt idx="1130">
                  <c:v>-0.12%</c:v>
                </c:pt>
                <c:pt idx="1131">
                  <c:v>-1.25%</c:v>
                </c:pt>
                <c:pt idx="1132">
                  <c:v>-3.94%</c:v>
                </c:pt>
                <c:pt idx="1133">
                  <c:v>-0.34%</c:v>
                </c:pt>
                <c:pt idx="1134">
                  <c:v>1.37%</c:v>
                </c:pt>
                <c:pt idx="1135">
                  <c:v>-1.10%</c:v>
                </c:pt>
                <c:pt idx="1136">
                  <c:v>-1.26%</c:v>
                </c:pt>
                <c:pt idx="1137">
                  <c:v>0.91%</c:v>
                </c:pt>
                <c:pt idx="1138">
                  <c:v>1.63%</c:v>
                </c:pt>
                <c:pt idx="1139">
                  <c:v>-0.96%</c:v>
                </c:pt>
                <c:pt idx="1140">
                  <c:v>-0.36%</c:v>
                </c:pt>
                <c:pt idx="1141">
                  <c:v>-1.69%</c:v>
                </c:pt>
                <c:pt idx="1142">
                  <c:v>0.03%</c:v>
                </c:pt>
                <c:pt idx="1143">
                  <c:v>-0.81%</c:v>
                </c:pt>
                <c:pt idx="1144">
                  <c:v>-0.16%</c:v>
                </c:pt>
                <c:pt idx="1145">
                  <c:v>-2.74%</c:v>
                </c:pt>
                <c:pt idx="1146">
                  <c:v>1.08%</c:v>
                </c:pt>
                <c:pt idx="1147">
                  <c:v>-2.06%</c:v>
                </c:pt>
                <c:pt idx="1148">
                  <c:v>-1.49%</c:v>
                </c:pt>
                <c:pt idx="1149">
                  <c:v>-0.24%</c:v>
                </c:pt>
                <c:pt idx="1150">
                  <c:v>-2.25%</c:v>
                </c:pt>
                <c:pt idx="1151">
                  <c:v>-1.80%</c:v>
                </c:pt>
                <c:pt idx="1152">
                  <c:v>-1.03%</c:v>
                </c:pt>
                <c:pt idx="1153">
                  <c:v>-2.05%</c:v>
                </c:pt>
                <c:pt idx="1154">
                  <c:v>-0.77%</c:v>
                </c:pt>
                <c:pt idx="1155">
                  <c:v>-0.08%</c:v>
                </c:pt>
                <c:pt idx="1156">
                  <c:v>1.97%</c:v>
                </c:pt>
                <c:pt idx="1157">
                  <c:v>1.02%</c:v>
                </c:pt>
                <c:pt idx="1158">
                  <c:v>-2.75%</c:v>
                </c:pt>
                <c:pt idx="1159">
                  <c:v>-0.20%</c:v>
                </c:pt>
                <c:pt idx="1160">
                  <c:v>-0.94%</c:v>
                </c:pt>
                <c:pt idx="1161">
                  <c:v>0.55%</c:v>
                </c:pt>
                <c:pt idx="1162">
                  <c:v>-0.35%</c:v>
                </c:pt>
                <c:pt idx="1163">
                  <c:v>0.43%</c:v>
                </c:pt>
                <c:pt idx="1164">
                  <c:v>0.77%</c:v>
                </c:pt>
                <c:pt idx="1165">
                  <c:v>-0.41%</c:v>
                </c:pt>
                <c:pt idx="1166">
                  <c:v>-1.84%</c:v>
                </c:pt>
                <c:pt idx="1167">
                  <c:v>-0.43%</c:v>
                </c:pt>
                <c:pt idx="1168">
                  <c:v>0.74%</c:v>
                </c:pt>
                <c:pt idx="1169">
                  <c:v>0.68%</c:v>
                </c:pt>
                <c:pt idx="1170">
                  <c:v>-0.18%</c:v>
                </c:pt>
                <c:pt idx="1171">
                  <c:v>0.79%</c:v>
                </c:pt>
                <c:pt idx="1172">
                  <c:v>-0.07%</c:v>
                </c:pt>
                <c:pt idx="1173">
                  <c:v>-1.43%</c:v>
                </c:pt>
                <c:pt idx="1174">
                  <c:v>0.23%</c:v>
                </c:pt>
                <c:pt idx="1175">
                  <c:v>0.98%</c:v>
                </c:pt>
                <c:pt idx="1176">
                  <c:v>1.52%</c:v>
                </c:pt>
                <c:pt idx="1177">
                  <c:v>-0.63%</c:v>
                </c:pt>
                <c:pt idx="1178">
                  <c:v>0.18%</c:v>
                </c:pt>
                <c:pt idx="1179">
                  <c:v>-0.24%</c:v>
                </c:pt>
                <c:pt idx="1180">
                  <c:v>-1.49%</c:v>
                </c:pt>
                <c:pt idx="1181">
                  <c:v>0.40%</c:v>
                </c:pt>
                <c:pt idx="1182">
                  <c:v>-1.02%</c:v>
                </c:pt>
                <c:pt idx="1183">
                  <c:v>0.11%</c:v>
                </c:pt>
                <c:pt idx="1184">
                  <c:v>-0.72%</c:v>
                </c:pt>
                <c:pt idx="1185">
                  <c:v>-0.64%</c:v>
                </c:pt>
                <c:pt idx="1186">
                  <c:v>-0.03%</c:v>
                </c:pt>
                <c:pt idx="1187">
                  <c:v>0.13%</c:v>
                </c:pt>
                <c:pt idx="1188">
                  <c:v>0.60%</c:v>
                </c:pt>
                <c:pt idx="1189">
                  <c:v>-0.43%</c:v>
                </c:pt>
                <c:pt idx="1190">
                  <c:v>-0.28%</c:v>
                </c:pt>
                <c:pt idx="1191">
                  <c:v>0.45%</c:v>
                </c:pt>
                <c:pt idx="1192">
                  <c:v>-0.44%</c:v>
                </c:pt>
                <c:pt idx="1193">
                  <c:v>0.06%</c:v>
                </c:pt>
                <c:pt idx="1194">
                  <c:v>-0.62%</c:v>
                </c:pt>
                <c:pt idx="1195">
                  <c:v>-0.02%</c:v>
                </c:pt>
                <c:pt idx="1196">
                  <c:v>0.97%</c:v>
                </c:pt>
                <c:pt idx="1197">
                  <c:v>0.96%</c:v>
                </c:pt>
                <c:pt idx="1198">
                  <c:v>0.96%</c:v>
                </c:pt>
                <c:pt idx="1199">
                  <c:v>1.41%</c:v>
                </c:pt>
                <c:pt idx="1200">
                  <c:v>0.21%</c:v>
                </c:pt>
                <c:pt idx="1201">
                  <c:v>1.16%</c:v>
                </c:pt>
                <c:pt idx="1202">
                  <c:v>-0.33%</c:v>
                </c:pt>
                <c:pt idx="1203">
                  <c:v>1.18%</c:v>
                </c:pt>
                <c:pt idx="1204">
                  <c:v>0.89%</c:v>
                </c:pt>
                <c:pt idx="1205">
                  <c:v>1.92%</c:v>
                </c:pt>
                <c:pt idx="1206">
                  <c:v>0.98%</c:v>
                </c:pt>
                <c:pt idx="1207">
                  <c:v>0.80%</c:v>
                </c:pt>
                <c:pt idx="1208">
                  <c:v>0.39%</c:v>
                </c:pt>
                <c:pt idx="1209">
                  <c:v>-0.53%</c:v>
                </c:pt>
                <c:pt idx="1210">
                  <c:v>-0.70%</c:v>
                </c:pt>
                <c:pt idx="1211">
                  <c:v>1.00%</c:v>
                </c:pt>
                <c:pt idx="1212">
                  <c:v>-1.42%</c:v>
                </c:pt>
                <c:pt idx="1213">
                  <c:v>1.81%</c:v>
                </c:pt>
                <c:pt idx="1214">
                  <c:v>0.27%</c:v>
                </c:pt>
                <c:pt idx="1215">
                  <c:v>0.73%</c:v>
                </c:pt>
                <c:pt idx="1216">
                  <c:v>1.14%</c:v>
                </c:pt>
                <c:pt idx="1217">
                  <c:v>0.32%</c:v>
                </c:pt>
                <c:pt idx="1218">
                  <c:v>-0.06%</c:v>
                </c:pt>
                <c:pt idx="1219">
                  <c:v>-2.40%</c:v>
                </c:pt>
                <c:pt idx="1220">
                  <c:v>0.44%</c:v>
                </c:pt>
                <c:pt idx="1221">
                  <c:v>0.67%</c:v>
                </c:pt>
                <c:pt idx="1222">
                  <c:v>-1.63%</c:v>
                </c:pt>
                <c:pt idx="1223">
                  <c:v>0.25%</c:v>
                </c:pt>
                <c:pt idx="1224">
                  <c:v>-0.08%</c:v>
                </c:pt>
                <c:pt idx="1225">
                  <c:v>1.22%</c:v>
                </c:pt>
                <c:pt idx="1226">
                  <c:v>-1.90%</c:v>
                </c:pt>
                <c:pt idx="1227">
                  <c:v>-0.59%</c:v>
                </c:pt>
                <c:pt idx="1228">
                  <c:v>-0.19%</c:v>
                </c:pt>
                <c:pt idx="1229">
                  <c:v>-0.94%</c:v>
                </c:pt>
                <c:pt idx="1230">
                  <c:v>0.25%</c:v>
                </c:pt>
                <c:pt idx="1231">
                  <c:v>-2.30%</c:v>
                </c:pt>
                <c:pt idx="1232">
                  <c:v>-2.54%</c:v>
                </c:pt>
                <c:pt idx="1233">
                  <c:v>0.01%</c:v>
                </c:pt>
                <c:pt idx="1234">
                  <c:v>0.66%</c:v>
                </c:pt>
                <c:pt idx="1235">
                  <c:v>-0.90%</c:v>
                </c:pt>
                <c:pt idx="1236">
                  <c:v>0.45%</c:v>
                </c:pt>
                <c:pt idx="1237">
                  <c:v>0.38%</c:v>
                </c:pt>
                <c:pt idx="1238">
                  <c:v>0.69%</c:v>
                </c:pt>
                <c:pt idx="1239">
                  <c:v>0.12%</c:v>
                </c:pt>
                <c:pt idx="1240">
                  <c:v>-1.90%</c:v>
                </c:pt>
                <c:pt idx="1241">
                  <c:v>0.04%</c:v>
                </c:pt>
                <c:pt idx="1242">
                  <c:v>0.18%</c:v>
                </c:pt>
                <c:pt idx="1243">
                  <c:v>1.74%</c:v>
                </c:pt>
                <c:pt idx="1244">
                  <c:v>-1.66%</c:v>
                </c:pt>
                <c:pt idx="1245">
                  <c:v>2.63%</c:v>
                </c:pt>
                <c:pt idx="1246">
                  <c:v>-0.06%</c:v>
                </c:pt>
                <c:pt idx="1247">
                  <c:v>-1.17%</c:v>
                </c:pt>
                <c:pt idx="1248">
                  <c:v>-0.29%</c:v>
                </c:pt>
                <c:pt idx="1249">
                  <c:v>1.30%</c:v>
                </c:pt>
                <c:pt idx="1250">
                  <c:v>0.09%</c:v>
                </c:pt>
                <c:pt idx="1251">
                  <c:v>-0.82%</c:v>
                </c:pt>
                <c:pt idx="1252">
                  <c:v>0.82%</c:v>
                </c:pt>
                <c:pt idx="1253">
                  <c:v>1.15%</c:v>
                </c:pt>
                <c:pt idx="1254">
                  <c:v>0.04%</c:v>
                </c:pt>
                <c:pt idx="1255">
                  <c:v>1.97%</c:v>
                </c:pt>
                <c:pt idx="1256">
                  <c:v>2.43%</c:v>
                </c:pt>
                <c:pt idx="1257">
                  <c:v>-2.71%</c:v>
                </c:pt>
                <c:pt idx="1258">
                  <c:v>0.07%</c:v>
                </c:pt>
                <c:pt idx="1259">
                  <c:v>2.14%</c:v>
                </c:pt>
                <c:pt idx="1260">
                  <c:v>0.60%</c:v>
                </c:pt>
                <c:pt idx="1261">
                  <c:v>1.72%</c:v>
                </c:pt>
                <c:pt idx="1262">
                  <c:v>0.68%</c:v>
                </c:pt>
                <c:pt idx="1263">
                  <c:v>-1.60%</c:v>
                </c:pt>
                <c:pt idx="1264">
                  <c:v>-0.68%</c:v>
                </c:pt>
                <c:pt idx="1265">
                  <c:v>0.03%</c:v>
                </c:pt>
                <c:pt idx="1266">
                  <c:v>1.55%</c:v>
                </c:pt>
                <c:pt idx="1267">
                  <c:v>-0.04%</c:v>
                </c:pt>
                <c:pt idx="1268">
                  <c:v>-0.51%</c:v>
                </c:pt>
                <c:pt idx="1269">
                  <c:v>-0.58%</c:v>
                </c:pt>
                <c:pt idx="1270">
                  <c:v>0.25%</c:v>
                </c:pt>
                <c:pt idx="1271">
                  <c:v>0.27%</c:v>
                </c:pt>
                <c:pt idx="1272">
                  <c:v>2.64%</c:v>
                </c:pt>
                <c:pt idx="1273">
                  <c:v>-0.12%</c:v>
                </c:pt>
                <c:pt idx="1274">
                  <c:v>-1.37%</c:v>
                </c:pt>
                <c:pt idx="1275">
                  <c:v>0.74%</c:v>
                </c:pt>
                <c:pt idx="1276">
                  <c:v>0.34%</c:v>
                </c:pt>
                <c:pt idx="1277">
                  <c:v>0.23%</c:v>
                </c:pt>
                <c:pt idx="1278">
                  <c:v>-0.77%</c:v>
                </c:pt>
                <c:pt idx="1279">
                  <c:v>0.57%</c:v>
                </c:pt>
                <c:pt idx="1280">
                  <c:v>-0.51%</c:v>
                </c:pt>
                <c:pt idx="1281">
                  <c:v>-0.58%</c:v>
                </c:pt>
                <c:pt idx="1282">
                  <c:v>-0.63%</c:v>
                </c:pt>
                <c:pt idx="1283">
                  <c:v>1.15%</c:v>
                </c:pt>
                <c:pt idx="1284">
                  <c:v>-1.59%</c:v>
                </c:pt>
                <c:pt idx="1285">
                  <c:v>-0.07%</c:v>
                </c:pt>
                <c:pt idx="1286">
                  <c:v>-0.26%</c:v>
                </c:pt>
                <c:pt idx="1287">
                  <c:v>0.88%</c:v>
                </c:pt>
                <c:pt idx="1288">
                  <c:v>-0.17%</c:v>
                </c:pt>
                <c:pt idx="1289">
                  <c:v>1.07%</c:v>
                </c:pt>
                <c:pt idx="1290">
                  <c:v>-0.83%</c:v>
                </c:pt>
                <c:pt idx="1291">
                  <c:v>0.53%</c:v>
                </c:pt>
                <c:pt idx="1292">
                  <c:v>0.35%</c:v>
                </c:pt>
                <c:pt idx="1293">
                  <c:v>0.13%</c:v>
                </c:pt>
                <c:pt idx="1294">
                  <c:v>1.81%</c:v>
                </c:pt>
                <c:pt idx="1295">
                  <c:v>0.64%</c:v>
                </c:pt>
                <c:pt idx="1296">
                  <c:v>0.34%</c:v>
                </c:pt>
                <c:pt idx="1297">
                  <c:v>1.28%</c:v>
                </c:pt>
                <c:pt idx="1298">
                  <c:v>0.47%</c:v>
                </c:pt>
                <c:pt idx="1299">
                  <c:v>-0.25%</c:v>
                </c:pt>
                <c:pt idx="1300">
                  <c:v>1.13%</c:v>
                </c:pt>
                <c:pt idx="1301">
                  <c:v>2.57%</c:v>
                </c:pt>
                <c:pt idx="1302">
                  <c:v>-0.60%</c:v>
                </c:pt>
                <c:pt idx="1303">
                  <c:v>0.77%</c:v>
                </c:pt>
                <c:pt idx="1304">
                  <c:v>0.19%</c:v>
                </c:pt>
                <c:pt idx="1305">
                  <c:v>0.14%</c:v>
                </c:pt>
                <c:pt idx="1306">
                  <c:v>-2.10%</c:v>
                </c:pt>
                <c:pt idx="1307">
                  <c:v>-0.69%</c:v>
                </c:pt>
                <c:pt idx="1308">
                  <c:v>-0.87%</c:v>
                </c:pt>
                <c:pt idx="1309">
                  <c:v>1.66%</c:v>
                </c:pt>
                <c:pt idx="1310">
                  <c:v>-1.23%</c:v>
                </c:pt>
                <c:pt idx="1311">
                  <c:v>1.54%</c:v>
                </c:pt>
                <c:pt idx="1312">
                  <c:v>-1.04%</c:v>
                </c:pt>
                <c:pt idx="1313">
                  <c:v>-0.16%</c:v>
                </c:pt>
                <c:pt idx="1314">
                  <c:v>-0.42%</c:v>
                </c:pt>
                <c:pt idx="1315">
                  <c:v>-0.59%</c:v>
                </c:pt>
                <c:pt idx="1316">
                  <c:v>-1.73%</c:v>
                </c:pt>
                <c:pt idx="1317">
                  <c:v>1.61%</c:v>
                </c:pt>
                <c:pt idx="1318">
                  <c:v>1.31%</c:v>
                </c:pt>
                <c:pt idx="1319">
                  <c:v>1.40%</c:v>
                </c:pt>
                <c:pt idx="1320">
                  <c:v>1.13%</c:v>
                </c:pt>
                <c:pt idx="1321">
                  <c:v>1.07%</c:v>
                </c:pt>
                <c:pt idx="1322">
                  <c:v>1.44%</c:v>
                </c:pt>
                <c:pt idx="1323">
                  <c:v>-0.83%</c:v>
                </c:pt>
                <c:pt idx="1324">
                  <c:v>0.68%</c:v>
                </c:pt>
                <c:pt idx="1325">
                  <c:v>1.68%</c:v>
                </c:pt>
                <c:pt idx="1326">
                  <c:v>0.43%</c:v>
                </c:pt>
                <c:pt idx="1327">
                  <c:v>-0.17%</c:v>
                </c:pt>
                <c:pt idx="1328">
                  <c:v>-0.96%</c:v>
                </c:pt>
                <c:pt idx="1329">
                  <c:v>-0.26%</c:v>
                </c:pt>
                <c:pt idx="1330">
                  <c:v>-0.49%</c:v>
                </c:pt>
                <c:pt idx="1331">
                  <c:v>-3.35%</c:v>
                </c:pt>
                <c:pt idx="1332">
                  <c:v>0.57%</c:v>
                </c:pt>
                <c:pt idx="1333">
                  <c:v>1.77%</c:v>
                </c:pt>
                <c:pt idx="1334">
                  <c:v>0.75%</c:v>
                </c:pt>
                <c:pt idx="1335">
                  <c:v>0.24%</c:v>
                </c:pt>
                <c:pt idx="1336">
                  <c:v>-0.79%</c:v>
                </c:pt>
                <c:pt idx="1337">
                  <c:v>-0.23%</c:v>
                </c:pt>
                <c:pt idx="1338">
                  <c:v>1.63%</c:v>
                </c:pt>
                <c:pt idx="1339">
                  <c:v>-1.51%</c:v>
                </c:pt>
                <c:pt idx="1340">
                  <c:v>2.60%</c:v>
                </c:pt>
                <c:pt idx="1341">
                  <c:v>-1.67%</c:v>
                </c:pt>
                <c:pt idx="1342">
                  <c:v>1.01%</c:v>
                </c:pt>
                <c:pt idx="1343">
                  <c:v>-0.72%</c:v>
                </c:pt>
                <c:pt idx="1344">
                  <c:v>-0.47%</c:v>
                </c:pt>
                <c:pt idx="1345">
                  <c:v>-2.41%</c:v>
                </c:pt>
                <c:pt idx="1346">
                  <c:v>1.11%</c:v>
                </c:pt>
                <c:pt idx="1347">
                  <c:v>0.52%</c:v>
                </c:pt>
                <c:pt idx="1348">
                  <c:v>1.26%</c:v>
                </c:pt>
                <c:pt idx="1349">
                  <c:v>-0.53%</c:v>
                </c:pt>
                <c:pt idx="1350">
                  <c:v>1.55%</c:v>
                </c:pt>
                <c:pt idx="1351">
                  <c:v>0.25%</c:v>
                </c:pt>
                <c:pt idx="1352">
                  <c:v>-0.16%</c:v>
                </c:pt>
                <c:pt idx="1353">
                  <c:v>-0.53%</c:v>
                </c:pt>
                <c:pt idx="1354">
                  <c:v>1.44%</c:v>
                </c:pt>
                <c:pt idx="1355">
                  <c:v>0.45%</c:v>
                </c:pt>
                <c:pt idx="1356">
                  <c:v>0.52%</c:v>
                </c:pt>
                <c:pt idx="1357">
                  <c:v>-1.64%</c:v>
                </c:pt>
                <c:pt idx="1358">
                  <c:v>-0.03%</c:v>
                </c:pt>
                <c:pt idx="1359">
                  <c:v>-1.10%</c:v>
                </c:pt>
                <c:pt idx="1360">
                  <c:v>-0.88%</c:v>
                </c:pt>
                <c:pt idx="1361">
                  <c:v>-2.07%</c:v>
                </c:pt>
                <c:pt idx="1362">
                  <c:v>0.71%</c:v>
                </c:pt>
                <c:pt idx="1363">
                  <c:v>-0.09%</c:v>
                </c:pt>
                <c:pt idx="1364">
                  <c:v>0.04%</c:v>
                </c:pt>
                <c:pt idx="1365">
                  <c:v>-1.08%</c:v>
                </c:pt>
                <c:pt idx="1366">
                  <c:v>0.25%</c:v>
                </c:pt>
                <c:pt idx="1367">
                  <c:v>-1.09%</c:v>
                </c:pt>
                <c:pt idx="1368">
                  <c:v>-0.06%</c:v>
                </c:pt>
                <c:pt idx="1369">
                  <c:v>0.75%</c:v>
                </c:pt>
                <c:pt idx="1370">
                  <c:v>0.46%</c:v>
                </c:pt>
                <c:pt idx="1371">
                  <c:v>0.71%</c:v>
                </c:pt>
                <c:pt idx="1372">
                  <c:v>-0.73%</c:v>
                </c:pt>
                <c:pt idx="1373">
                  <c:v>-2.17%</c:v>
                </c:pt>
                <c:pt idx="1374">
                  <c:v>0.35%</c:v>
                </c:pt>
                <c:pt idx="1375">
                  <c:v>-1.17%</c:v>
                </c:pt>
                <c:pt idx="1376">
                  <c:v>-0.33%</c:v>
                </c:pt>
                <c:pt idx="1377">
                  <c:v>-1.30%</c:v>
                </c:pt>
                <c:pt idx="1378">
                  <c:v>-0.23%</c:v>
                </c:pt>
                <c:pt idx="1379">
                  <c:v>0.79%</c:v>
                </c:pt>
                <c:pt idx="1380">
                  <c:v>-0.34%</c:v>
                </c:pt>
                <c:pt idx="1381">
                  <c:v>-1.35%</c:v>
                </c:pt>
                <c:pt idx="1382">
                  <c:v>0.20%</c:v>
                </c:pt>
                <c:pt idx="1383">
                  <c:v>0.34%</c:v>
                </c:pt>
                <c:pt idx="1384">
                  <c:v>0.06%</c:v>
                </c:pt>
                <c:pt idx="1385">
                  <c:v>0.36%</c:v>
                </c:pt>
                <c:pt idx="1386">
                  <c:v>1.44%</c:v>
                </c:pt>
                <c:pt idx="1387">
                  <c:v>1.92%</c:v>
                </c:pt>
                <c:pt idx="1388">
                  <c:v>0.84%</c:v>
                </c:pt>
                <c:pt idx="1389">
                  <c:v>-0.36%</c:v>
                </c:pt>
                <c:pt idx="1390">
                  <c:v>0.45%</c:v>
                </c:pt>
                <c:pt idx="1391">
                  <c:v>-1.54%</c:v>
                </c:pt>
                <c:pt idx="1392">
                  <c:v>0.05%</c:v>
                </c:pt>
                <c:pt idx="1393">
                  <c:v>2.15%</c:v>
                </c:pt>
                <c:pt idx="1394">
                  <c:v>-0.02%</c:v>
                </c:pt>
                <c:pt idx="1395">
                  <c:v>0.02%</c:v>
                </c:pt>
                <c:pt idx="1396">
                  <c:v>-0.85%</c:v>
                </c:pt>
                <c:pt idx="1397">
                  <c:v>1.30%</c:v>
                </c:pt>
                <c:pt idx="1398">
                  <c:v>-0.29%</c:v>
                </c:pt>
                <c:pt idx="1399">
                  <c:v>0.38%</c:v>
                </c:pt>
                <c:pt idx="1400">
                  <c:v>-0.36%</c:v>
                </c:pt>
                <c:pt idx="1401">
                  <c:v>-1.34%</c:v>
                </c:pt>
                <c:pt idx="1402">
                  <c:v>-0.17%</c:v>
                </c:pt>
                <c:pt idx="1403">
                  <c:v>-1.11%</c:v>
                </c:pt>
                <c:pt idx="1404">
                  <c:v>-0.73%</c:v>
                </c:pt>
                <c:pt idx="1405">
                  <c:v>-0.61%</c:v>
                </c:pt>
                <c:pt idx="1406">
                  <c:v>1.99%</c:v>
                </c:pt>
                <c:pt idx="1407">
                  <c:v>0.77%</c:v>
                </c:pt>
                <c:pt idx="1408">
                  <c:v>0.39%</c:v>
                </c:pt>
                <c:pt idx="1409">
                  <c:v>-0.68%</c:v>
                </c:pt>
                <c:pt idx="1410">
                  <c:v>0.73%</c:v>
                </c:pt>
                <c:pt idx="1411">
                  <c:v>-0.12%</c:v>
                </c:pt>
                <c:pt idx="1412">
                  <c:v>1.42%</c:v>
                </c:pt>
                <c:pt idx="1413">
                  <c:v>-0.21%</c:v>
                </c:pt>
                <c:pt idx="1414">
                  <c:v>1.99%</c:v>
                </c:pt>
                <c:pt idx="1415">
                  <c:v>-0.23%</c:v>
                </c:pt>
                <c:pt idx="1416">
                  <c:v>0.14%</c:v>
                </c:pt>
                <c:pt idx="1417">
                  <c:v>-0.49%</c:v>
                </c:pt>
                <c:pt idx="1418">
                  <c:v>0.01%</c:v>
                </c:pt>
                <c:pt idx="1419">
                  <c:v>-1.08%</c:v>
                </c:pt>
                <c:pt idx="1420">
                  <c:v>-1.27%</c:v>
                </c:pt>
                <c:pt idx="1421">
                  <c:v>-1.85%</c:v>
                </c:pt>
                <c:pt idx="1422">
                  <c:v>-0.92%</c:v>
                </c:pt>
                <c:pt idx="1423">
                  <c:v>-1.04%</c:v>
                </c:pt>
                <c:pt idx="1424">
                  <c:v>0.36%</c:v>
                </c:pt>
                <c:pt idx="1425">
                  <c:v>-0.70%</c:v>
                </c:pt>
                <c:pt idx="1426">
                  <c:v>-0.14%</c:v>
                </c:pt>
                <c:pt idx="1427">
                  <c:v>1.52%</c:v>
                </c:pt>
                <c:pt idx="1428">
                  <c:v>0.71%</c:v>
                </c:pt>
                <c:pt idx="1429">
                  <c:v>-1.74%</c:v>
                </c:pt>
                <c:pt idx="1430">
                  <c:v>0.50%</c:v>
                </c:pt>
                <c:pt idx="1431">
                  <c:v>0.72%</c:v>
                </c:pt>
                <c:pt idx="1432">
                  <c:v>-0.13%</c:v>
                </c:pt>
                <c:pt idx="1433">
                  <c:v>-1.04%</c:v>
                </c:pt>
                <c:pt idx="1434">
                  <c:v>0.45%</c:v>
                </c:pt>
                <c:pt idx="1435">
                  <c:v>-0.25%</c:v>
                </c:pt>
                <c:pt idx="1436">
                  <c:v>0.34%</c:v>
                </c:pt>
                <c:pt idx="1437">
                  <c:v>0.69%</c:v>
                </c:pt>
                <c:pt idx="1438">
                  <c:v>0.51%</c:v>
                </c:pt>
                <c:pt idx="1439">
                  <c:v>-0.52%</c:v>
                </c:pt>
                <c:pt idx="1440">
                  <c:v>-1.79%</c:v>
                </c:pt>
                <c:pt idx="1441">
                  <c:v>0.14%</c:v>
                </c:pt>
                <c:pt idx="1442">
                  <c:v>-0.10%</c:v>
                </c:pt>
                <c:pt idx="1443">
                  <c:v>-0.15%</c:v>
                </c:pt>
                <c:pt idx="1444">
                  <c:v>0.40%</c:v>
                </c:pt>
                <c:pt idx="1445">
                  <c:v>0.64%</c:v>
                </c:pt>
                <c:pt idx="1446">
                  <c:v>-1.19%</c:v>
                </c:pt>
                <c:pt idx="1447">
                  <c:v>0.99%</c:v>
                </c:pt>
                <c:pt idx="1448">
                  <c:v>0.43%</c:v>
                </c:pt>
                <c:pt idx="1449">
                  <c:v>0.22%</c:v>
                </c:pt>
                <c:pt idx="1450">
                  <c:v>0.11%</c:v>
                </c:pt>
                <c:pt idx="1451">
                  <c:v>2.52%</c:v>
                </c:pt>
                <c:pt idx="1452">
                  <c:v>0.55%</c:v>
                </c:pt>
                <c:pt idx="1453">
                  <c:v>-0.06%</c:v>
                </c:pt>
                <c:pt idx="1454">
                  <c:v>-1.77%</c:v>
                </c:pt>
                <c:pt idx="1455">
                  <c:v>-0.27%</c:v>
                </c:pt>
                <c:pt idx="1456">
                  <c:v>0.59%</c:v>
                </c:pt>
                <c:pt idx="1457">
                  <c:v>-1.40%</c:v>
                </c:pt>
                <c:pt idx="1458">
                  <c:v>-0.13%</c:v>
                </c:pt>
                <c:pt idx="1459">
                  <c:v>0.20%</c:v>
                </c:pt>
                <c:pt idx="1460">
                  <c:v>0.93%</c:v>
                </c:pt>
                <c:pt idx="1461">
                  <c:v>-1.67%</c:v>
                </c:pt>
                <c:pt idx="1462">
                  <c:v>-0.17%</c:v>
                </c:pt>
                <c:pt idx="1463">
                  <c:v>-0.23%</c:v>
                </c:pt>
                <c:pt idx="1464">
                  <c:v>0.04%</c:v>
                </c:pt>
                <c:pt idx="1465">
                  <c:v>0.51%</c:v>
                </c:pt>
                <c:pt idx="1466">
                  <c:v>1.03%</c:v>
                </c:pt>
                <c:pt idx="1467">
                  <c:v>1.28%</c:v>
                </c:pt>
                <c:pt idx="1468">
                  <c:v>2.98%</c:v>
                </c:pt>
                <c:pt idx="1469">
                  <c:v>0.29%</c:v>
                </c:pt>
                <c:pt idx="1470">
                  <c:v>0.55%</c:v>
                </c:pt>
                <c:pt idx="1471">
                  <c:v>-0.11%</c:v>
                </c:pt>
                <c:pt idx="1472">
                  <c:v>-0.05%</c:v>
                </c:pt>
                <c:pt idx="1473">
                  <c:v>-0.99%</c:v>
                </c:pt>
                <c:pt idx="1474">
                  <c:v>-0.17%</c:v>
                </c:pt>
                <c:pt idx="1475">
                  <c:v>-0.70%</c:v>
                </c:pt>
                <c:pt idx="1476">
                  <c:v>-1.41%</c:v>
                </c:pt>
                <c:pt idx="1477">
                  <c:v>0.21%</c:v>
                </c:pt>
                <c:pt idx="1478">
                  <c:v>-0.60%</c:v>
                </c:pt>
                <c:pt idx="1479">
                  <c:v>0.27%</c:v>
                </c:pt>
                <c:pt idx="1480">
                  <c:v>-0.29%</c:v>
                </c:pt>
                <c:pt idx="1481">
                  <c:v>0.61%</c:v>
                </c:pt>
                <c:pt idx="1482">
                  <c:v>1.67%</c:v>
                </c:pt>
                <c:pt idx="1483">
                  <c:v>0.63%</c:v>
                </c:pt>
                <c:pt idx="1484">
                  <c:v>-0.37%</c:v>
                </c:pt>
                <c:pt idx="1485">
                  <c:v>-0.38%</c:v>
                </c:pt>
                <c:pt idx="1486">
                  <c:v>0.28%</c:v>
                </c:pt>
                <c:pt idx="1487">
                  <c:v>-0.44%</c:v>
                </c:pt>
                <c:pt idx="1488">
                  <c:v>-0.36%</c:v>
                </c:pt>
                <c:pt idx="1489">
                  <c:v>1.33%</c:v>
                </c:pt>
                <c:pt idx="1490">
                  <c:v>0.36%</c:v>
                </c:pt>
                <c:pt idx="1491">
                  <c:v>-0.50%</c:v>
                </c:pt>
                <c:pt idx="1492">
                  <c:v>0.25%</c:v>
                </c:pt>
                <c:pt idx="1493">
                  <c:v>-0.10%</c:v>
                </c:pt>
                <c:pt idx="1494">
                  <c:v>-0.54%</c:v>
                </c:pt>
                <c:pt idx="1495">
                  <c:v>0.32%</c:v>
                </c:pt>
                <c:pt idx="1496">
                  <c:v>-0.42%</c:v>
                </c:pt>
                <c:pt idx="1497">
                  <c:v>-0.64%</c:v>
                </c:pt>
                <c:pt idx="1498">
                  <c:v>0.85%</c:v>
                </c:pt>
                <c:pt idx="1499">
                  <c:v>-0.73%</c:v>
                </c:pt>
                <c:pt idx="1500">
                  <c:v>1.61%</c:v>
                </c:pt>
                <c:pt idx="1501">
                  <c:v>-1.37%</c:v>
                </c:pt>
                <c:pt idx="1502">
                  <c:v>0.56%</c:v>
                </c:pt>
                <c:pt idx="1503">
                  <c:v>0.48%</c:v>
                </c:pt>
                <c:pt idx="1504">
                  <c:v>0.44%</c:v>
                </c:pt>
                <c:pt idx="1505">
                  <c:v>0.37%</c:v>
                </c:pt>
                <c:pt idx="1506">
                  <c:v>1.06%</c:v>
                </c:pt>
                <c:pt idx="1507">
                  <c:v>-0.26%</c:v>
                </c:pt>
                <c:pt idx="1508">
                  <c:v>-0.39%</c:v>
                </c:pt>
                <c:pt idx="1509">
                  <c:v>-0.34%</c:v>
                </c:pt>
                <c:pt idx="1510">
                  <c:v>2.29%</c:v>
                </c:pt>
                <c:pt idx="1511">
                  <c:v>-1.14%</c:v>
                </c:pt>
                <c:pt idx="1512">
                  <c:v>1.26%</c:v>
                </c:pt>
                <c:pt idx="1513">
                  <c:v>-0.91%</c:v>
                </c:pt>
                <c:pt idx="1514">
                  <c:v>0.64%</c:v>
                </c:pt>
                <c:pt idx="1515">
                  <c:v>1.29%</c:v>
                </c:pt>
                <c:pt idx="1516">
                  <c:v>-1.35%</c:v>
                </c:pt>
                <c:pt idx="1517">
                  <c:v>-0.97%</c:v>
                </c:pt>
                <c:pt idx="1518">
                  <c:v>1.02%</c:v>
                </c:pt>
                <c:pt idx="1519">
                  <c:v>1.40%</c:v>
                </c:pt>
                <c:pt idx="1520">
                  <c:v>-0.63%</c:v>
                </c:pt>
                <c:pt idx="1521">
                  <c:v>2.02%</c:v>
                </c:pt>
                <c:pt idx="1522">
                  <c:v>-0.27%</c:v>
                </c:pt>
                <c:pt idx="1523">
                  <c:v>0.47%</c:v>
                </c:pt>
                <c:pt idx="1524">
                  <c:v>1.48%</c:v>
                </c:pt>
                <c:pt idx="1525">
                  <c:v>-0.80%</c:v>
                </c:pt>
                <c:pt idx="1526">
                  <c:v>1.92%</c:v>
                </c:pt>
                <c:pt idx="1527">
                  <c:v>-0.81%</c:v>
                </c:pt>
                <c:pt idx="1528">
                  <c:v>-0.07%</c:v>
                </c:pt>
                <c:pt idx="1529">
                  <c:v>-0.40%</c:v>
                </c:pt>
                <c:pt idx="1530">
                  <c:v>2.67%</c:v>
                </c:pt>
                <c:pt idx="1531">
                  <c:v>0.07%</c:v>
                </c:pt>
                <c:pt idx="1532">
                  <c:v>1.02%</c:v>
                </c:pt>
                <c:pt idx="1533">
                  <c:v>1.37%</c:v>
                </c:pt>
                <c:pt idx="1534">
                  <c:v>-0.45%</c:v>
                </c:pt>
                <c:pt idx="1535">
                  <c:v>1.06%</c:v>
                </c:pt>
                <c:pt idx="1536">
                  <c:v>-0.32%</c:v>
                </c:pt>
                <c:pt idx="1537">
                  <c:v>-1.92%</c:v>
                </c:pt>
                <c:pt idx="1538">
                  <c:v>-0.38%</c:v>
                </c:pt>
                <c:pt idx="1539">
                  <c:v>0.09%</c:v>
                </c:pt>
                <c:pt idx="1540">
                  <c:v>-2.50%</c:v>
                </c:pt>
                <c:pt idx="1541">
                  <c:v>-1.31%</c:v>
                </c:pt>
                <c:pt idx="1542">
                  <c:v>-0.05%</c:v>
                </c:pt>
                <c:pt idx="1543">
                  <c:v>0.52%</c:v>
                </c:pt>
                <c:pt idx="1544">
                  <c:v>0.75%</c:v>
                </c:pt>
                <c:pt idx="1545">
                  <c:v>0.01%</c:v>
                </c:pt>
                <c:pt idx="1546">
                  <c:v>-0.71%</c:v>
                </c:pt>
                <c:pt idx="1547">
                  <c:v>0.69%</c:v>
                </c:pt>
                <c:pt idx="1548">
                  <c:v>-1.51%</c:v>
                </c:pt>
                <c:pt idx="1549">
                  <c:v>0.84%</c:v>
                </c:pt>
                <c:pt idx="1550">
                  <c:v>-1.69%</c:v>
                </c:pt>
                <c:pt idx="1551">
                  <c:v>1.07%</c:v>
                </c:pt>
                <c:pt idx="1552">
                  <c:v>-0.99%</c:v>
                </c:pt>
                <c:pt idx="1553">
                  <c:v>1.80%</c:v>
                </c:pt>
                <c:pt idx="1554">
                  <c:v>-0.45%</c:v>
                </c:pt>
                <c:pt idx="1555">
                  <c:v>-0.67%</c:v>
                </c:pt>
                <c:pt idx="1556">
                  <c:v>-1.12%</c:v>
                </c:pt>
                <c:pt idx="1557">
                  <c:v>0.69%</c:v>
                </c:pt>
                <c:pt idx="1558">
                  <c:v>-1.33%</c:v>
                </c:pt>
                <c:pt idx="1559">
                  <c:v>-0.26%</c:v>
                </c:pt>
                <c:pt idx="1560">
                  <c:v>0.52%</c:v>
                </c:pt>
                <c:pt idx="1561">
                  <c:v>-0.97%</c:v>
                </c:pt>
                <c:pt idx="1562">
                  <c:v>-1.00%</c:v>
                </c:pt>
                <c:pt idx="1563">
                  <c:v>-0.54%</c:v>
                </c:pt>
                <c:pt idx="1564">
                  <c:v>-1.50%</c:v>
                </c:pt>
                <c:pt idx="1565">
                  <c:v>-0.78%</c:v>
                </c:pt>
                <c:pt idx="1566">
                  <c:v>0.02%</c:v>
                </c:pt>
                <c:pt idx="1567">
                  <c:v>-1.73%</c:v>
                </c:pt>
                <c:pt idx="1568">
                  <c:v>0.04%</c:v>
                </c:pt>
                <c:pt idx="1569">
                  <c:v>0.12%</c:v>
                </c:pt>
                <c:pt idx="1570">
                  <c:v>0.25%</c:v>
                </c:pt>
                <c:pt idx="1571">
                  <c:v>0.03%</c:v>
                </c:pt>
                <c:pt idx="1572">
                  <c:v>-2.63%</c:v>
                </c:pt>
                <c:pt idx="1573">
                  <c:v>-0.99%</c:v>
                </c:pt>
                <c:pt idx="1574">
                  <c:v>0.39%</c:v>
                </c:pt>
                <c:pt idx="1575">
                  <c:v>-0.15%</c:v>
                </c:pt>
                <c:pt idx="1576">
                  <c:v>-1.25%</c:v>
                </c:pt>
                <c:pt idx="1577">
                  <c:v>1.82%</c:v>
                </c:pt>
                <c:pt idx="1578">
                  <c:v>1.44%</c:v>
                </c:pt>
                <c:pt idx="1579">
                  <c:v>-1.52%</c:v>
                </c:pt>
                <c:pt idx="1580">
                  <c:v>-0.14%</c:v>
                </c:pt>
                <c:pt idx="1581">
                  <c:v>0.64%</c:v>
                </c:pt>
                <c:pt idx="1582">
                  <c:v>1.87%</c:v>
                </c:pt>
                <c:pt idx="1583">
                  <c:v>-2.38%</c:v>
                </c:pt>
                <c:pt idx="1584">
                  <c:v>0.76%</c:v>
                </c:pt>
                <c:pt idx="1585">
                  <c:v>-0.40%</c:v>
                </c:pt>
                <c:pt idx="1586">
                  <c:v>0.22%</c:v>
                </c:pt>
                <c:pt idx="1587">
                  <c:v>-0.30%</c:v>
                </c:pt>
                <c:pt idx="1588">
                  <c:v>1.92%</c:v>
                </c:pt>
                <c:pt idx="1589">
                  <c:v>2.24%</c:v>
                </c:pt>
                <c:pt idx="1590">
                  <c:v>-0.28%</c:v>
                </c:pt>
                <c:pt idx="1591">
                  <c:v>-1.02%</c:v>
                </c:pt>
                <c:pt idx="1592">
                  <c:v>2.93%</c:v>
                </c:pt>
                <c:pt idx="1593">
                  <c:v>0.52%</c:v>
                </c:pt>
                <c:pt idx="1594">
                  <c:v>-1.18%</c:v>
                </c:pt>
                <c:pt idx="1595">
                  <c:v>1.31%</c:v>
                </c:pt>
                <c:pt idx="1596">
                  <c:v>-0.20%</c:v>
                </c:pt>
                <c:pt idx="1597">
                  <c:v>-0.34%</c:v>
                </c:pt>
                <c:pt idx="1598">
                  <c:v>1.23%</c:v>
                </c:pt>
                <c:pt idx="1599">
                  <c:v>-1.92%</c:v>
                </c:pt>
                <c:pt idx="1600">
                  <c:v>1.10%</c:v>
                </c:pt>
                <c:pt idx="1601">
                  <c:v>0.24%</c:v>
                </c:pt>
                <c:pt idx="1602">
                  <c:v>0.44%</c:v>
                </c:pt>
                <c:pt idx="1603">
                  <c:v>0.25%</c:v>
                </c:pt>
                <c:pt idx="1604">
                  <c:v>-1.85%</c:v>
                </c:pt>
                <c:pt idx="1605">
                  <c:v>-0.84%</c:v>
                </c:pt>
                <c:pt idx="1606">
                  <c:v>0.46%</c:v>
                </c:pt>
                <c:pt idx="1607">
                  <c:v>0.62%</c:v>
                </c:pt>
                <c:pt idx="1608">
                  <c:v>-0.04%</c:v>
                </c:pt>
                <c:pt idx="1609">
                  <c:v>-1.85%</c:v>
                </c:pt>
                <c:pt idx="1610">
                  <c:v>-0.27%</c:v>
                </c:pt>
                <c:pt idx="1611">
                  <c:v>-0.87%</c:v>
                </c:pt>
                <c:pt idx="1612">
                  <c:v>-0.84%</c:v>
                </c:pt>
                <c:pt idx="1613">
                  <c:v>0.58%</c:v>
                </c:pt>
                <c:pt idx="1614">
                  <c:v>0.38%</c:v>
                </c:pt>
                <c:pt idx="1615">
                  <c:v>-1.68%</c:v>
                </c:pt>
                <c:pt idx="1616">
                  <c:v>-0.12%</c:v>
                </c:pt>
                <c:pt idx="1617">
                  <c:v>0.68%</c:v>
                </c:pt>
                <c:pt idx="1618">
                  <c:v>0.25%</c:v>
                </c:pt>
                <c:pt idx="1619">
                  <c:v>-0.16%</c:v>
                </c:pt>
                <c:pt idx="1620">
                  <c:v>0.05%</c:v>
                </c:pt>
                <c:pt idx="1621">
                  <c:v>-1.31%</c:v>
                </c:pt>
                <c:pt idx="1622">
                  <c:v>2.17%</c:v>
                </c:pt>
                <c:pt idx="1623">
                  <c:v>0.18%</c:v>
                </c:pt>
                <c:pt idx="1624">
                  <c:v>-0.95%</c:v>
                </c:pt>
                <c:pt idx="1625">
                  <c:v>-2.06%</c:v>
                </c:pt>
                <c:pt idx="1626">
                  <c:v>-1.97%</c:v>
                </c:pt>
                <c:pt idx="1627">
                  <c:v>-0.68%</c:v>
                </c:pt>
                <c:pt idx="1628">
                  <c:v>1.21%</c:v>
                </c:pt>
                <c:pt idx="1629">
                  <c:v>-0.62%</c:v>
                </c:pt>
                <c:pt idx="1630">
                  <c:v>-0.27%</c:v>
                </c:pt>
                <c:pt idx="1631">
                  <c:v>-1.12%</c:v>
                </c:pt>
                <c:pt idx="1632">
                  <c:v>1.72%</c:v>
                </c:pt>
                <c:pt idx="1633">
                  <c:v>2.58%</c:v>
                </c:pt>
                <c:pt idx="1634">
                  <c:v>-3.07%</c:v>
                </c:pt>
                <c:pt idx="1635">
                  <c:v>-0.39%</c:v>
                </c:pt>
                <c:pt idx="1636">
                  <c:v>0.59%</c:v>
                </c:pt>
                <c:pt idx="1637">
                  <c:v>0.59%</c:v>
                </c:pt>
                <c:pt idx="1638">
                  <c:v>-0.55%</c:v>
                </c:pt>
                <c:pt idx="1639">
                  <c:v>-0.51%</c:v>
                </c:pt>
                <c:pt idx="1640">
                  <c:v>0.80%</c:v>
                </c:pt>
                <c:pt idx="1641">
                  <c:v>1.75%</c:v>
                </c:pt>
                <c:pt idx="1642">
                  <c:v>-1.99%</c:v>
                </c:pt>
                <c:pt idx="1643">
                  <c:v>-0.76%</c:v>
                </c:pt>
                <c:pt idx="1644">
                  <c:v>0.55%</c:v>
                </c:pt>
                <c:pt idx="1645">
                  <c:v>-1.13%</c:v>
                </c:pt>
                <c:pt idx="1646">
                  <c:v>-0.59%</c:v>
                </c:pt>
                <c:pt idx="1647">
                  <c:v>1.53%</c:v>
                </c:pt>
                <c:pt idx="1648">
                  <c:v>0.35%</c:v>
                </c:pt>
                <c:pt idx="1649">
                  <c:v>-0.57%</c:v>
                </c:pt>
                <c:pt idx="1650">
                  <c:v>0.57%</c:v>
                </c:pt>
                <c:pt idx="1651">
                  <c:v>-1.51%</c:v>
                </c:pt>
                <c:pt idx="1652">
                  <c:v>0.22%</c:v>
                </c:pt>
                <c:pt idx="1653">
                  <c:v>0.55%</c:v>
                </c:pt>
                <c:pt idx="1654">
                  <c:v>1.40%</c:v>
                </c:pt>
                <c:pt idx="1655">
                  <c:v>0.76%</c:v>
                </c:pt>
                <c:pt idx="1656">
                  <c:v>0.19%</c:v>
                </c:pt>
                <c:pt idx="1657">
                  <c:v>-0.19%</c:v>
                </c:pt>
                <c:pt idx="1658">
                  <c:v>-0.25%</c:v>
                </c:pt>
                <c:pt idx="1659">
                  <c:v>1.42%</c:v>
                </c:pt>
                <c:pt idx="1660">
                  <c:v>1.44%</c:v>
                </c:pt>
                <c:pt idx="1661">
                  <c:v>0.65%</c:v>
                </c:pt>
                <c:pt idx="1662">
                  <c:v>0.08%</c:v>
                </c:pt>
                <c:pt idx="1663">
                  <c:v>-0.94%</c:v>
                </c:pt>
                <c:pt idx="1664">
                  <c:v>-1.50%</c:v>
                </c:pt>
                <c:pt idx="1665">
                  <c:v>-0.48%</c:v>
                </c:pt>
                <c:pt idx="1666">
                  <c:v>0.92%</c:v>
                </c:pt>
                <c:pt idx="1667">
                  <c:v>0.22%</c:v>
                </c:pt>
                <c:pt idx="1668">
                  <c:v>1.48%</c:v>
                </c:pt>
                <c:pt idx="1669">
                  <c:v>-0.18%</c:v>
                </c:pt>
                <c:pt idx="1670">
                  <c:v>-1.81%</c:v>
                </c:pt>
                <c:pt idx="1671">
                  <c:v>-0.75%</c:v>
                </c:pt>
                <c:pt idx="1672">
                  <c:v>0.98%</c:v>
                </c:pt>
                <c:pt idx="1673">
                  <c:v>0.31%</c:v>
                </c:pt>
                <c:pt idx="1674">
                  <c:v>0.17%</c:v>
                </c:pt>
                <c:pt idx="1675">
                  <c:v>-0.02%</c:v>
                </c:pt>
                <c:pt idx="1676">
                  <c:v>-0.54%</c:v>
                </c:pt>
                <c:pt idx="1677">
                  <c:v>0.76%</c:v>
                </c:pt>
                <c:pt idx="1678">
                  <c:v>-0.56%</c:v>
                </c:pt>
                <c:pt idx="1679">
                  <c:v>0.48%</c:v>
                </c:pt>
                <c:pt idx="1680">
                  <c:v>0.06%</c:v>
                </c:pt>
                <c:pt idx="1681">
                  <c:v>-1.79%</c:v>
                </c:pt>
                <c:pt idx="1682">
                  <c:v>1.78%</c:v>
                </c:pt>
                <c:pt idx="1683">
                  <c:v>-0.25%</c:v>
                </c:pt>
                <c:pt idx="1684">
                  <c:v>0.99%</c:v>
                </c:pt>
                <c:pt idx="1685">
                  <c:v>0.70%</c:v>
                </c:pt>
                <c:pt idx="1686">
                  <c:v>0.01%</c:v>
                </c:pt>
                <c:pt idx="1687">
                  <c:v>-0.49%</c:v>
                </c:pt>
                <c:pt idx="1688">
                  <c:v>0.26%</c:v>
                </c:pt>
                <c:pt idx="1689">
                  <c:v>-0.57%</c:v>
                </c:pt>
                <c:pt idx="1690">
                  <c:v>-0.91%</c:v>
                </c:pt>
                <c:pt idx="1691">
                  <c:v>-0.54%</c:v>
                </c:pt>
                <c:pt idx="1692">
                  <c:v>-1.86%</c:v>
                </c:pt>
                <c:pt idx="1693">
                  <c:v>-1.11%</c:v>
                </c:pt>
                <c:pt idx="1694">
                  <c:v>-0.13%</c:v>
                </c:pt>
                <c:pt idx="1695">
                  <c:v>0.67%</c:v>
                </c:pt>
                <c:pt idx="1696">
                  <c:v>-2.26%</c:v>
                </c:pt>
                <c:pt idx="1697">
                  <c:v>0.58%</c:v>
                </c:pt>
                <c:pt idx="1698">
                  <c:v>1.54%</c:v>
                </c:pt>
                <c:pt idx="1699">
                  <c:v>1.03%</c:v>
                </c:pt>
                <c:pt idx="1700">
                  <c:v>1.57%</c:v>
                </c:pt>
                <c:pt idx="1701">
                  <c:v>-1.33%</c:v>
                </c:pt>
                <c:pt idx="1702">
                  <c:v>-1.06%</c:v>
                </c:pt>
                <c:pt idx="1703">
                  <c:v>-1.56%</c:v>
                </c:pt>
                <c:pt idx="1704">
                  <c:v>1.58%</c:v>
                </c:pt>
                <c:pt idx="1705">
                  <c:v>2.51%</c:v>
                </c:pt>
                <c:pt idx="1706">
                  <c:v>-1.79%</c:v>
                </c:pt>
                <c:pt idx="1707">
                  <c:v>-0.15%</c:v>
                </c:pt>
                <c:pt idx="1708">
                  <c:v>-1.48%</c:v>
                </c:pt>
                <c:pt idx="1709">
                  <c:v>-2.09%</c:v>
                </c:pt>
                <c:pt idx="1710">
                  <c:v>-1.05%</c:v>
                </c:pt>
                <c:pt idx="1711">
                  <c:v>1.71%</c:v>
                </c:pt>
                <c:pt idx="1712">
                  <c:v>-0.53%</c:v>
                </c:pt>
                <c:pt idx="1713">
                  <c:v>0.94%</c:v>
                </c:pt>
                <c:pt idx="1714">
                  <c:v>0.78%</c:v>
                </c:pt>
                <c:pt idx="1715">
                  <c:v>-0.91%</c:v>
                </c:pt>
                <c:pt idx="1716">
                  <c:v>1.55%</c:v>
                </c:pt>
                <c:pt idx="1717">
                  <c:v>-1.20%</c:v>
                </c:pt>
                <c:pt idx="1718">
                  <c:v>-0.55%</c:v>
                </c:pt>
                <c:pt idx="1719">
                  <c:v>0.54%</c:v>
                </c:pt>
                <c:pt idx="1720">
                  <c:v>-0.31%</c:v>
                </c:pt>
                <c:pt idx="1721">
                  <c:v>-0.25%</c:v>
                </c:pt>
                <c:pt idx="1722">
                  <c:v>0.95%</c:v>
                </c:pt>
                <c:pt idx="1723">
                  <c:v>1.34%</c:v>
                </c:pt>
                <c:pt idx="1724">
                  <c:v>-2.01%</c:v>
                </c:pt>
                <c:pt idx="1725">
                  <c:v>0.07%</c:v>
                </c:pt>
                <c:pt idx="1726">
                  <c:v>1.47%</c:v>
                </c:pt>
                <c:pt idx="1727">
                  <c:v>1.83%</c:v>
                </c:pt>
                <c:pt idx="1728">
                  <c:v>-2.82%</c:v>
                </c:pt>
                <c:pt idx="1729">
                  <c:v>-0.84%</c:v>
                </c:pt>
                <c:pt idx="1730">
                  <c:v>0.13%</c:v>
                </c:pt>
                <c:pt idx="1731">
                  <c:v>-0.44%</c:v>
                </c:pt>
                <c:pt idx="1732">
                  <c:v>0.85%</c:v>
                </c:pt>
                <c:pt idx="1733">
                  <c:v>0.58%</c:v>
                </c:pt>
                <c:pt idx="1734">
                  <c:v>0.65%</c:v>
                </c:pt>
                <c:pt idx="1735">
                  <c:v>-0.24%</c:v>
                </c:pt>
                <c:pt idx="1736">
                  <c:v>-0.17%</c:v>
                </c:pt>
                <c:pt idx="1737">
                  <c:v>1.09%</c:v>
                </c:pt>
                <c:pt idx="1738">
                  <c:v>0.64%</c:v>
                </c:pt>
                <c:pt idx="1739">
                  <c:v>0.41%</c:v>
                </c:pt>
                <c:pt idx="1740">
                  <c:v>0.16%</c:v>
                </c:pt>
                <c:pt idx="1741">
                  <c:v>-0.83%</c:v>
                </c:pt>
                <c:pt idx="1742">
                  <c:v>-0.82%</c:v>
                </c:pt>
                <c:pt idx="1743">
                  <c:v>0.18%</c:v>
                </c:pt>
                <c:pt idx="1744">
                  <c:v>1.21%</c:v>
                </c:pt>
                <c:pt idx="1745">
                  <c:v>-1.11%</c:v>
                </c:pt>
                <c:pt idx="1746">
                  <c:v>0.41%</c:v>
                </c:pt>
                <c:pt idx="1747">
                  <c:v>0.49%</c:v>
                </c:pt>
                <c:pt idx="1748">
                  <c:v>-0.26%</c:v>
                </c:pt>
                <c:pt idx="1749">
                  <c:v>-0.10%</c:v>
                </c:pt>
                <c:pt idx="1750">
                  <c:v>0.76%</c:v>
                </c:pt>
                <c:pt idx="1751">
                  <c:v>-0.85%</c:v>
                </c:pt>
                <c:pt idx="1752">
                  <c:v>1.61%</c:v>
                </c:pt>
                <c:pt idx="1753">
                  <c:v>-1.94%</c:v>
                </c:pt>
                <c:pt idx="1754">
                  <c:v>0.78%</c:v>
                </c:pt>
                <c:pt idx="1755">
                  <c:v>0.82%</c:v>
                </c:pt>
                <c:pt idx="1756">
                  <c:v>1.60%</c:v>
                </c:pt>
                <c:pt idx="1757">
                  <c:v>-2.28%</c:v>
                </c:pt>
                <c:pt idx="1758">
                  <c:v>-1.17%</c:v>
                </c:pt>
                <c:pt idx="1759">
                  <c:v>1.26%</c:v>
                </c:pt>
                <c:pt idx="1760">
                  <c:v>-0.85%</c:v>
                </c:pt>
                <c:pt idx="1761">
                  <c:v>0.00%</c:v>
                </c:pt>
                <c:pt idx="1762">
                  <c:v>1.25%</c:v>
                </c:pt>
                <c:pt idx="1763">
                  <c:v>-1.17%</c:v>
                </c:pt>
                <c:pt idx="1764">
                  <c:v>-1.15%</c:v>
                </c:pt>
                <c:pt idx="1765">
                  <c:v>-1.08%</c:v>
                </c:pt>
                <c:pt idx="1766">
                  <c:v>-0.01%</c:v>
                </c:pt>
                <c:pt idx="1767">
                  <c:v>-0.81%</c:v>
                </c:pt>
                <c:pt idx="1768">
                  <c:v>0.10%</c:v>
                </c:pt>
                <c:pt idx="1769">
                  <c:v>-0.09%</c:v>
                </c:pt>
                <c:pt idx="1770">
                  <c:v>0.60%</c:v>
                </c:pt>
                <c:pt idx="1771">
                  <c:v>-0.71%</c:v>
                </c:pt>
                <c:pt idx="1772">
                  <c:v>0.66%</c:v>
                </c:pt>
                <c:pt idx="1773">
                  <c:v>1.00%</c:v>
                </c:pt>
                <c:pt idx="1774">
                  <c:v>1.04%</c:v>
                </c:pt>
                <c:pt idx="1775">
                  <c:v>0.53%</c:v>
                </c:pt>
                <c:pt idx="1776">
                  <c:v>-0.45%</c:v>
                </c:pt>
                <c:pt idx="1777">
                  <c:v>0.15%</c:v>
                </c:pt>
                <c:pt idx="1778">
                  <c:v>-1.55%</c:v>
                </c:pt>
                <c:pt idx="1779">
                  <c:v>0.38%</c:v>
                </c:pt>
                <c:pt idx="1780">
                  <c:v>1.06%</c:v>
                </c:pt>
                <c:pt idx="1781">
                  <c:v>-0.71%</c:v>
                </c:pt>
                <c:pt idx="1782">
                  <c:v>1.61%</c:v>
                </c:pt>
                <c:pt idx="1783">
                  <c:v>0.98%</c:v>
                </c:pt>
                <c:pt idx="1784">
                  <c:v>2.26%</c:v>
                </c:pt>
                <c:pt idx="1785">
                  <c:v>-1.24%</c:v>
                </c:pt>
                <c:pt idx="1786">
                  <c:v>0.12%</c:v>
                </c:pt>
                <c:pt idx="1787">
                  <c:v>-0.72%</c:v>
                </c:pt>
                <c:pt idx="1788">
                  <c:v>-0.43%</c:v>
                </c:pt>
                <c:pt idx="1789">
                  <c:v>0.91%</c:v>
                </c:pt>
                <c:pt idx="1790">
                  <c:v>1.34%</c:v>
                </c:pt>
                <c:pt idx="1791">
                  <c:v>0.01%</c:v>
                </c:pt>
                <c:pt idx="1792">
                  <c:v>-0.35%</c:v>
                </c:pt>
                <c:pt idx="1793">
                  <c:v>-1.20%</c:v>
                </c:pt>
                <c:pt idx="1794">
                  <c:v>-0.02%</c:v>
                </c:pt>
                <c:pt idx="1795">
                  <c:v>0.35%</c:v>
                </c:pt>
                <c:pt idx="1796">
                  <c:v>0.75%</c:v>
                </c:pt>
                <c:pt idx="1797">
                  <c:v>1.10%</c:v>
                </c:pt>
                <c:pt idx="1798">
                  <c:v>-0.60%</c:v>
                </c:pt>
                <c:pt idx="1799">
                  <c:v>-0.73%</c:v>
                </c:pt>
                <c:pt idx="1800">
                  <c:v>1.54%</c:v>
                </c:pt>
                <c:pt idx="1801">
                  <c:v>0.34%</c:v>
                </c:pt>
                <c:pt idx="1802">
                  <c:v>-1.91%</c:v>
                </c:pt>
                <c:pt idx="1803">
                  <c:v>1.85%</c:v>
                </c:pt>
                <c:pt idx="1804">
                  <c:v>-0.74%</c:v>
                </c:pt>
                <c:pt idx="1805">
                  <c:v>0.96%</c:v>
                </c:pt>
                <c:pt idx="1806">
                  <c:v>-0.34%</c:v>
                </c:pt>
                <c:pt idx="1807">
                  <c:v>0.10%</c:v>
                </c:pt>
                <c:pt idx="1808">
                  <c:v>1.93%</c:v>
                </c:pt>
                <c:pt idx="1809">
                  <c:v>-2.03%</c:v>
                </c:pt>
                <c:pt idx="1810">
                  <c:v>-0.33%</c:v>
                </c:pt>
                <c:pt idx="1811">
                  <c:v>-0.79%</c:v>
                </c:pt>
                <c:pt idx="1812">
                  <c:v>-0.28%</c:v>
                </c:pt>
                <c:pt idx="1813">
                  <c:v>-0.32%</c:v>
                </c:pt>
                <c:pt idx="1814">
                  <c:v>1.08%</c:v>
                </c:pt>
                <c:pt idx="1815">
                  <c:v>0.52%</c:v>
                </c:pt>
                <c:pt idx="1816">
                  <c:v>-0.50%</c:v>
                </c:pt>
                <c:pt idx="1817">
                  <c:v>1.74%</c:v>
                </c:pt>
                <c:pt idx="1818">
                  <c:v>0.99%</c:v>
                </c:pt>
                <c:pt idx="1819">
                  <c:v>-0.96%</c:v>
                </c:pt>
                <c:pt idx="1820">
                  <c:v>-0.39%</c:v>
                </c:pt>
                <c:pt idx="1821">
                  <c:v>-0.73%</c:v>
                </c:pt>
                <c:pt idx="1822">
                  <c:v>0.28%</c:v>
                </c:pt>
                <c:pt idx="1823">
                  <c:v>-0.40%</c:v>
                </c:pt>
                <c:pt idx="1824">
                  <c:v>0.88%</c:v>
                </c:pt>
                <c:pt idx="1825">
                  <c:v>0.00%</c:v>
                </c:pt>
                <c:pt idx="1827">
                  <c:v>📊 CHART INSTRUCTIONS: Select columns A-E (rows 2 onwards) → Insert → Scatter Chart. Each company's returns plotted against KSE-100 returns. Slope of trendline = Beta.</c:v>
                </c:pt>
              </c:strCache>
            </c:strRef>
          </c:xVal>
          <c:yVal>
            <c:numRef>
              <c:f>'Scatter Data'!$B$2:$B$1830</c:f>
              <c:numCache>
                <c:formatCode>0.00%</c:formatCode>
                <c:ptCount val="1829"/>
                <c:pt idx="0" formatCode="General">
                  <c:v>0</c:v>
                </c:pt>
                <c:pt idx="1">
                  <c:v>-1.7142857142857792E-3</c:v>
                </c:pt>
                <c:pt idx="2">
                  <c:v>-2.0749856897538071E-3</c:v>
                </c:pt>
                <c:pt idx="3">
                  <c:v>-1.2189001218899226E-3</c:v>
                </c:pt>
                <c:pt idx="4">
                  <c:v>1.0050251256281242E-2</c:v>
                </c:pt>
                <c:pt idx="5">
                  <c:v>-1.4214641080311915E-3</c:v>
                </c:pt>
                <c:pt idx="6">
                  <c:v>-2.0427046263345228E-2</c:v>
                </c:pt>
                <c:pt idx="7">
                  <c:v>4.9407832594638296E-3</c:v>
                </c:pt>
                <c:pt idx="8">
                  <c:v>-3.3981635456582955E-3</c:v>
                </c:pt>
                <c:pt idx="9">
                  <c:v>-2.6842716192687502E-3</c:v>
                </c:pt>
                <c:pt idx="10">
                  <c:v>1.8913217429256631E-3</c:v>
                </c:pt>
                <c:pt idx="11">
                  <c:v>3.5576853263632408E-3</c:v>
                </c:pt>
                <c:pt idx="12">
                  <c:v>1.6423093618868546E-2</c:v>
                </c:pt>
                <c:pt idx="13">
                  <c:v>9.3956865257313199E-3</c:v>
                </c:pt>
                <c:pt idx="14">
                  <c:v>1.903955997461464E-3</c:v>
                </c:pt>
                <c:pt idx="15">
                  <c:v>-9.9239864864866609E-3</c:v>
                </c:pt>
                <c:pt idx="16">
                  <c:v>-1.3791142389990744E-2</c:v>
                </c:pt>
                <c:pt idx="17">
                  <c:v>3.7482880415195723E-3</c:v>
                </c:pt>
                <c:pt idx="18">
                  <c:v>1.8527827648114992E-2</c:v>
                </c:pt>
                <c:pt idx="19">
                  <c:v>8.4608333920874364E-4</c:v>
                </c:pt>
                <c:pt idx="20">
                  <c:v>-1.1271574498062458E-3</c:v>
                </c:pt>
                <c:pt idx="21">
                  <c:v>7.6874250652373471E-3</c:v>
                </c:pt>
                <c:pt idx="22">
                  <c:v>-1.9806830907054762E-2</c:v>
                </c:pt>
                <c:pt idx="23">
                  <c:v>-4.0699750089255374E-3</c:v>
                </c:pt>
                <c:pt idx="24">
                  <c:v>7.1694866647548042E-3</c:v>
                </c:pt>
                <c:pt idx="25">
                  <c:v>1.2386104783599155E-2</c:v>
                </c:pt>
                <c:pt idx="26">
                  <c:v>-3.0234847419491409E-3</c:v>
                </c:pt>
                <c:pt idx="27">
                  <c:v>5.5716200014106817E-3</c:v>
                </c:pt>
                <c:pt idx="28">
                  <c:v>3.7172113900967954E-3</c:v>
                </c:pt>
                <c:pt idx="29">
                  <c:v>1.1180211026483084E-2</c:v>
                </c:pt>
                <c:pt idx="30">
                  <c:v>-1.5133715707276606E-2</c:v>
                </c:pt>
                <c:pt idx="31">
                  <c:v>8.2093741229300275E-3</c:v>
                </c:pt>
                <c:pt idx="32">
                  <c:v>-2.0669496833460914E-2</c:v>
                </c:pt>
                <c:pt idx="33">
                  <c:v>-3.5957930642410478E-2</c:v>
                </c:pt>
                <c:pt idx="34">
                  <c:v>-8.1085065605189036E-3</c:v>
                </c:pt>
                <c:pt idx="35">
                  <c:v>-1.2410820451843161E-2</c:v>
                </c:pt>
                <c:pt idx="36">
                  <c:v>1.2491534351719657E-2</c:v>
                </c:pt>
                <c:pt idx="37">
                  <c:v>9.5131921218877813E-3</c:v>
                </c:pt>
                <c:pt idx="38">
                  <c:v>-1.6564823676654641E-2</c:v>
                </c:pt>
                <c:pt idx="39">
                  <c:v>1.2052702500374195E-2</c:v>
                </c:pt>
                <c:pt idx="40">
                  <c:v>-1.3610474147496141E-2</c:v>
                </c:pt>
                <c:pt idx="41">
                  <c:v>-8.2489688788890312E-4</c:v>
                </c:pt>
                <c:pt idx="42">
                  <c:v>-3.7526268387871506E-3</c:v>
                </c:pt>
                <c:pt idx="43">
                  <c:v>1.8833810456531563E-3</c:v>
                </c:pt>
                <c:pt idx="44">
                  <c:v>1.1655011655011526E-2</c:v>
                </c:pt>
                <c:pt idx="45">
                  <c:v>9.1422625241565202E-3</c:v>
                </c:pt>
                <c:pt idx="46">
                  <c:v>5.2294321278631472E-3</c:v>
                </c:pt>
                <c:pt idx="47">
                  <c:v>9.305392731535831E-3</c:v>
                </c:pt>
                <c:pt idx="48">
                  <c:v>6.8965517241378485E-3</c:v>
                </c:pt>
                <c:pt idx="49">
                  <c:v>-8.3633741888968754E-3</c:v>
                </c:pt>
                <c:pt idx="50">
                  <c:v>-9.5972080849207018E-3</c:v>
                </c:pt>
                <c:pt idx="51">
                  <c:v>-6.1664953751284935E-3</c:v>
                </c:pt>
                <c:pt idx="52">
                  <c:v>7.2388831437436713E-3</c:v>
                </c:pt>
                <c:pt idx="53">
                  <c:v>-3.153417424464702E-3</c:v>
                </c:pt>
                <c:pt idx="54">
                  <c:v>3.2663871110130194E-2</c:v>
                </c:pt>
                <c:pt idx="55">
                  <c:v>-1.1042245494051516E-2</c:v>
                </c:pt>
                <c:pt idx="56">
                  <c:v>-1.4911396052441963E-2</c:v>
                </c:pt>
                <c:pt idx="57">
                  <c:v>1.0968921389396709E-2</c:v>
                </c:pt>
                <c:pt idx="58">
                  <c:v>2.0036166365280363E-2</c:v>
                </c:pt>
                <c:pt idx="59">
                  <c:v>7.3039285207772021E-3</c:v>
                </c:pt>
                <c:pt idx="60">
                  <c:v>1.1897219288982736E-2</c:v>
                </c:pt>
                <c:pt idx="61">
                  <c:v>2.0105746486712022E-2</c:v>
                </c:pt>
                <c:pt idx="62">
                  <c:v>-1.022983018481932E-3</c:v>
                </c:pt>
                <c:pt idx="63">
                  <c:v>-1.9388312397596967E-2</c:v>
                </c:pt>
                <c:pt idx="64">
                  <c:v>-7.0314675577832844E-3</c:v>
                </c:pt>
                <c:pt idx="65">
                  <c:v>1.3531515109023395E-2</c:v>
                </c:pt>
                <c:pt idx="66">
                  <c:v>-1.9714997232982805E-2</c:v>
                </c:pt>
                <c:pt idx="67">
                  <c:v>7.7623315221216017E-4</c:v>
                </c:pt>
                <c:pt idx="68">
                  <c:v>3.8076434917502502E-3</c:v>
                </c:pt>
                <c:pt idx="69">
                  <c:v>-4.0039336892387012E-3</c:v>
                </c:pt>
                <c:pt idx="70">
                  <c:v>1.0296917977290416E-2</c:v>
                </c:pt>
                <c:pt idx="71">
                  <c:v>8.3769633507852614E-3</c:v>
                </c:pt>
                <c:pt idx="72">
                  <c:v>3.2537210107303684E-2</c:v>
                </c:pt>
                <c:pt idx="73">
                  <c:v>8.8501508548440699E-3</c:v>
                </c:pt>
                <c:pt idx="74">
                  <c:v>-8.1079284907290411E-3</c:v>
                </c:pt>
                <c:pt idx="75">
                  <c:v>-7.4371859296483329E-3</c:v>
                </c:pt>
                <c:pt idx="76">
                  <c:v>-1.1205616308896967E-2</c:v>
                </c:pt>
                <c:pt idx="77">
                  <c:v>1.3517203713817712E-2</c:v>
                </c:pt>
                <c:pt idx="78">
                  <c:v>-7.5441196281827057E-3</c:v>
                </c:pt>
                <c:pt idx="79">
                  <c:v>-6.787023211618998E-4</c:v>
                </c:pt>
                <c:pt idx="80">
                  <c:v>1.0730779679434827E-2</c:v>
                </c:pt>
                <c:pt idx="81">
                  <c:v>-9.7433140706893479E-3</c:v>
                </c:pt>
                <c:pt idx="82">
                  <c:v>-3.7321028703264664E-3</c:v>
                </c:pt>
                <c:pt idx="83">
                  <c:v>-2.5200926304318135E-2</c:v>
                </c:pt>
                <c:pt idx="84">
                  <c:v>-1.4673001676914437E-2</c:v>
                </c:pt>
                <c:pt idx="85">
                  <c:v>-7.5875762303220925E-3</c:v>
                </c:pt>
                <c:pt idx="86">
                  <c:v>6.0735977134692594E-3</c:v>
                </c:pt>
                <c:pt idx="87">
                  <c:v>1.6903409090909056E-2</c:v>
                </c:pt>
                <c:pt idx="88">
                  <c:v>6.9842156725736162E-5</c:v>
                </c:pt>
                <c:pt idx="89">
                  <c:v>3.9108876318178802E-3</c:v>
                </c:pt>
                <c:pt idx="90">
                  <c:v>2.6434782608695338E-3</c:v>
                </c:pt>
                <c:pt idx="91">
                  <c:v>1.5333379587872115E-2</c:v>
                </c:pt>
                <c:pt idx="92">
                  <c:v>1.2710127101270912E-2</c:v>
                </c:pt>
                <c:pt idx="93">
                  <c:v>4.1160593792173667E-3</c:v>
                </c:pt>
                <c:pt idx="94">
                  <c:v>-1.3708756131980323E-2</c:v>
                </c:pt>
                <c:pt idx="95">
                  <c:v>1.2877290999522969E-2</c:v>
                </c:pt>
                <c:pt idx="96">
                  <c:v>5.5832100094175465E-3</c:v>
                </c:pt>
                <c:pt idx="97">
                  <c:v>1.7325573616964369E-2</c:v>
                </c:pt>
                <c:pt idx="98">
                  <c:v>-1.3150973172021456E-4</c:v>
                </c:pt>
                <c:pt idx="99">
                  <c:v>2.7423385505721345E-2</c:v>
                </c:pt>
                <c:pt idx="100">
                  <c:v>-4.6725980925557816E-3</c:v>
                </c:pt>
                <c:pt idx="101">
                  <c:v>2.2379421221864888E-2</c:v>
                </c:pt>
                <c:pt idx="102">
                  <c:v>1.9499308089067952E-3</c:v>
                </c:pt>
                <c:pt idx="103">
                  <c:v>-6.8428652143888722E-3</c:v>
                </c:pt>
                <c:pt idx="104">
                  <c:v>-1.5360303413400623E-2</c:v>
                </c:pt>
                <c:pt idx="105">
                  <c:v>-1.7333247737048867E-3</c:v>
                </c:pt>
                <c:pt idx="106">
                  <c:v>2.0000000000000087E-2</c:v>
                </c:pt>
                <c:pt idx="107">
                  <c:v>1.1663829518945805E-2</c:v>
                </c:pt>
                <c:pt idx="108">
                  <c:v>9.8466907640532477E-3</c:v>
                </c:pt>
                <c:pt idx="109">
                  <c:v>-3.2584547025425827E-2</c:v>
                </c:pt>
                <c:pt idx="110">
                  <c:v>1.0142893595304948E-2</c:v>
                </c:pt>
                <c:pt idx="111">
                  <c:v>8.0202083991159478E-3</c:v>
                </c:pt>
                <c:pt idx="112">
                  <c:v>-7.2672597418869597E-3</c:v>
                </c:pt>
                <c:pt idx="113">
                  <c:v>-8.3932853717027158E-3</c:v>
                </c:pt>
                <c:pt idx="114">
                  <c:v>2.5456628269580629E-4</c:v>
                </c:pt>
                <c:pt idx="115">
                  <c:v>2.4241267417446095E-2</c:v>
                </c:pt>
                <c:pt idx="116">
                  <c:v>-1.4287489129084254E-2</c:v>
                </c:pt>
                <c:pt idx="117">
                  <c:v>-5.6087723720696665E-3</c:v>
                </c:pt>
                <c:pt idx="118">
                  <c:v>1.9139362443754422E-2</c:v>
                </c:pt>
                <c:pt idx="119">
                  <c:v>-5.8454076239039723E-3</c:v>
                </c:pt>
                <c:pt idx="120">
                  <c:v>-4.6913116907487335E-3</c:v>
                </c:pt>
                <c:pt idx="121">
                  <c:v>1.633986928104518E-3</c:v>
                </c:pt>
                <c:pt idx="122">
                  <c:v>-1.6877901869745249E-2</c:v>
                </c:pt>
                <c:pt idx="123">
                  <c:v>3.3824749505392887E-3</c:v>
                </c:pt>
                <c:pt idx="124">
                  <c:v>-1.647373107747108E-2</c:v>
                </c:pt>
                <c:pt idx="125">
                  <c:v>1.2610748237728883E-2</c:v>
                </c:pt>
                <c:pt idx="126">
                  <c:v>3.1932558436571047E-4</c:v>
                </c:pt>
                <c:pt idx="127">
                  <c:v>3.1986209538402546E-2</c:v>
                </c:pt>
                <c:pt idx="128">
                  <c:v>4.2068794852759646E-3</c:v>
                </c:pt>
                <c:pt idx="129">
                  <c:v>1.928289797930012E-2</c:v>
                </c:pt>
                <c:pt idx="130">
                  <c:v>-1.7769718948322744E-2</c:v>
                </c:pt>
                <c:pt idx="131">
                  <c:v>-1.3537628453633554E-3</c:v>
                </c:pt>
                <c:pt idx="132">
                  <c:v>4.7445930125085359E-3</c:v>
                </c:pt>
                <c:pt idx="133">
                  <c:v>2.4530847540782535E-2</c:v>
                </c:pt>
                <c:pt idx="134">
                  <c:v>-2.298575362145339E-2</c:v>
                </c:pt>
                <c:pt idx="135">
                  <c:v>1.409141036637674E-2</c:v>
                </c:pt>
                <c:pt idx="136">
                  <c:v>8.4581923634604716E-3</c:v>
                </c:pt>
                <c:pt idx="137">
                  <c:v>2.1567217828900209E-2</c:v>
                </c:pt>
                <c:pt idx="138">
                  <c:v>1.0204081632652948E-2</c:v>
                </c:pt>
                <c:pt idx="139">
                  <c:v>1.0449320794148776E-3</c:v>
                </c:pt>
                <c:pt idx="140">
                  <c:v>-6.9009510554395598E-3</c:v>
                </c:pt>
                <c:pt idx="141">
                  <c:v>-1.6992700729926986E-2</c:v>
                </c:pt>
                <c:pt idx="142">
                  <c:v>3.0295829868123496E-3</c:v>
                </c:pt>
                <c:pt idx="143">
                  <c:v>-2.3097423748888739E-3</c:v>
                </c:pt>
                <c:pt idx="144">
                  <c:v>2.8315327080612501E-2</c:v>
                </c:pt>
                <c:pt idx="145">
                  <c:v>-8.1971944813253334E-3</c:v>
                </c:pt>
                <c:pt idx="146">
                  <c:v>4.7727140445840942E-3</c:v>
                </c:pt>
                <c:pt idx="147">
                  <c:v>-2.1433122863928566E-2</c:v>
                </c:pt>
                <c:pt idx="148">
                  <c:v>-5.1500621559225981E-3</c:v>
                </c:pt>
                <c:pt idx="149">
                  <c:v>3.9271688682613153E-3</c:v>
                </c:pt>
                <c:pt idx="150">
                  <c:v>1.1735419630156412E-2</c:v>
                </c:pt>
                <c:pt idx="151">
                  <c:v>2.0386643233743517E-2</c:v>
                </c:pt>
                <c:pt idx="152">
                  <c:v>-2.870593638765149E-4</c:v>
                </c:pt>
                <c:pt idx="153">
                  <c:v>-1.5161086544535613E-2</c:v>
                </c:pt>
                <c:pt idx="154">
                  <c:v>6.6476179369058625E-3</c:v>
                </c:pt>
                <c:pt idx="155">
                  <c:v>7.472629322829126E-3</c:v>
                </c:pt>
                <c:pt idx="156">
                  <c:v>7.1297148114075962E-3</c:v>
                </c:pt>
                <c:pt idx="157">
                  <c:v>-9.3628682347567157E-3</c:v>
                </c:pt>
                <c:pt idx="158">
                  <c:v>1.6021207929921628E-2</c:v>
                </c:pt>
                <c:pt idx="159">
                  <c:v>1.5314804310832774E-3</c:v>
                </c:pt>
                <c:pt idx="160">
                  <c:v>1.0024352947839443E-2</c:v>
                </c:pt>
                <c:pt idx="161">
                  <c:v>1.7999327127957876E-2</c:v>
                </c:pt>
                <c:pt idx="162">
                  <c:v>8.757917928945055E-3</c:v>
                </c:pt>
                <c:pt idx="163">
                  <c:v>4.2590368024462222E-3</c:v>
                </c:pt>
                <c:pt idx="164">
                  <c:v>3.0176163549369354E-2</c:v>
                </c:pt>
                <c:pt idx="165">
                  <c:v>3.6945162822609838E-3</c:v>
                </c:pt>
                <c:pt idx="166">
                  <c:v>-3.7860861334595305E-3</c:v>
                </c:pt>
                <c:pt idx="167">
                  <c:v>1.8474531538665757E-3</c:v>
                </c:pt>
                <c:pt idx="168">
                  <c:v>2.0864067439409797E-2</c:v>
                </c:pt>
                <c:pt idx="169">
                  <c:v>1.9611890999174002E-3</c:v>
                </c:pt>
                <c:pt idx="170">
                  <c:v>7.5203461419594527E-3</c:v>
                </c:pt>
                <c:pt idx="171">
                  <c:v>1.6922290388548068E-2</c:v>
                </c:pt>
                <c:pt idx="172">
                  <c:v>-6.8372630838066722E-3</c:v>
                </c:pt>
                <c:pt idx="173">
                  <c:v>-2.3588964819033283E-2</c:v>
                </c:pt>
                <c:pt idx="174">
                  <c:v>4.4584996630204453E-3</c:v>
                </c:pt>
                <c:pt idx="175">
                  <c:v>3.5096774193548739E-3</c:v>
                </c:pt>
                <c:pt idx="176">
                  <c:v>-8.1263179550481526E-3</c:v>
                </c:pt>
                <c:pt idx="177">
                  <c:v>1.2393051594503577E-2</c:v>
                </c:pt>
                <c:pt idx="178">
                  <c:v>8.7584511370619716E-3</c:v>
                </c:pt>
                <c:pt idx="179">
                  <c:v>-1.3455191673013341E-2</c:v>
                </c:pt>
                <c:pt idx="180">
                  <c:v>7.46268656716412E-3</c:v>
                </c:pt>
                <c:pt idx="181">
                  <c:v>-2.4010217113665331E-3</c:v>
                </c:pt>
                <c:pt idx="182">
                  <c:v>-2.0227365833674665E-2</c:v>
                </c:pt>
                <c:pt idx="183">
                  <c:v>6.5854805832853752E-3</c:v>
                </c:pt>
                <c:pt idx="184">
                  <c:v>-3.1154265538191117E-4</c:v>
                </c:pt>
                <c:pt idx="185">
                  <c:v>-9.972471822573041E-3</c:v>
                </c:pt>
                <c:pt idx="186">
                  <c:v>7.5546928282881152E-3</c:v>
                </c:pt>
                <c:pt idx="187">
                  <c:v>7.0814891955219223E-3</c:v>
                </c:pt>
                <c:pt idx="188">
                  <c:v>-7.7038415800631255E-3</c:v>
                </c:pt>
                <c:pt idx="189">
                  <c:v>5.8878699458108788E-3</c:v>
                </c:pt>
                <c:pt idx="190">
                  <c:v>1.4348614348614253E-2</c:v>
                </c:pt>
                <c:pt idx="191">
                  <c:v>-9.5495863548156704E-3</c:v>
                </c:pt>
                <c:pt idx="192">
                  <c:v>5.6200051559680509E-3</c:v>
                </c:pt>
                <c:pt idx="193">
                  <c:v>3.58900738310201E-4</c:v>
                </c:pt>
                <c:pt idx="194">
                  <c:v>3.172569319870841E-2</c:v>
                </c:pt>
                <c:pt idx="195">
                  <c:v>-2.5534028812717411E-2</c:v>
                </c:pt>
                <c:pt idx="196">
                  <c:v>9.9918433931484914E-3</c:v>
                </c:pt>
                <c:pt idx="197">
                  <c:v>-3.937007874015754E-3</c:v>
                </c:pt>
                <c:pt idx="198">
                  <c:v>-1.0641532380663218E-3</c:v>
                </c:pt>
                <c:pt idx="199">
                  <c:v>2.668289960939477E-2</c:v>
                </c:pt>
                <c:pt idx="200">
                  <c:v>1.9763822323247426E-4</c:v>
                </c:pt>
                <c:pt idx="201">
                  <c:v>3.1368868250753315E-2</c:v>
                </c:pt>
                <c:pt idx="202">
                  <c:v>-5.8434715968962488E-3</c:v>
                </c:pt>
                <c:pt idx="203">
                  <c:v>5.2033147041818462E-3</c:v>
                </c:pt>
                <c:pt idx="204">
                  <c:v>-6.5184049079753895E-3</c:v>
                </c:pt>
                <c:pt idx="205">
                  <c:v>-9.2145889617907973E-3</c:v>
                </c:pt>
                <c:pt idx="206">
                  <c:v>1.1686224862443838E-3</c:v>
                </c:pt>
                <c:pt idx="207">
                  <c:v>-3.599046738971884E-3</c:v>
                </c:pt>
                <c:pt idx="208">
                  <c:v>3.1239322497192677E-3</c:v>
                </c:pt>
                <c:pt idx="209">
                  <c:v>-2.8855043550192101E-2</c:v>
                </c:pt>
                <c:pt idx="210">
                  <c:v>2.8058923739853664E-2</c:v>
                </c:pt>
                <c:pt idx="211">
                  <c:v>-1.9982454430256193E-3</c:v>
                </c:pt>
                <c:pt idx="212">
                  <c:v>2.4466474581237439E-2</c:v>
                </c:pt>
                <c:pt idx="213">
                  <c:v>-1.3633330155400962E-2</c:v>
                </c:pt>
                <c:pt idx="214">
                  <c:v>4.3978349120434232E-3</c:v>
                </c:pt>
                <c:pt idx="215">
                  <c:v>4.4170716450945377E-2</c:v>
                </c:pt>
                <c:pt idx="216">
                  <c:v>-1.1750610570941353E-2</c:v>
                </c:pt>
                <c:pt idx="217">
                  <c:v>-2.0423388976965381E-2</c:v>
                </c:pt>
                <c:pt idx="218">
                  <c:v>-7.2353389185072833E-3</c:v>
                </c:pt>
                <c:pt idx="219">
                  <c:v>6.8565400843882181E-3</c:v>
                </c:pt>
                <c:pt idx="220">
                  <c:v>9.9528548978522948E-3</c:v>
                </c:pt>
                <c:pt idx="221">
                  <c:v>1.8200678989060661E-2</c:v>
                </c:pt>
                <c:pt idx="222">
                  <c:v>-3.2416411966286404E-3</c:v>
                </c:pt>
                <c:pt idx="223">
                  <c:v>-2.1929009477792225E-2</c:v>
                </c:pt>
                <c:pt idx="224">
                  <c:v>-5.7001710051302343E-3</c:v>
                </c:pt>
                <c:pt idx="225">
                  <c:v>1.7532963883049951E-2</c:v>
                </c:pt>
                <c:pt idx="226">
                  <c:v>6.7608807925254597E-3</c:v>
                </c:pt>
                <c:pt idx="227">
                  <c:v>-2.6815277713006576E-2</c:v>
                </c:pt>
                <c:pt idx="228">
                  <c:v>-1.4376078205865985E-4</c:v>
                </c:pt>
                <c:pt idx="229">
                  <c:v>1.9698058950395329E-2</c:v>
                </c:pt>
                <c:pt idx="230">
                  <c:v>2.9751833051325498E-2</c:v>
                </c:pt>
                <c:pt idx="231">
                  <c:v>8.1245150394814968E-3</c:v>
                </c:pt>
                <c:pt idx="232">
                  <c:v>4.5728256440439666E-3</c:v>
                </c:pt>
                <c:pt idx="233">
                  <c:v>-1.6855958175590449E-2</c:v>
                </c:pt>
                <c:pt idx="234">
                  <c:v>-1.1368845695424911E-2</c:v>
                </c:pt>
                <c:pt idx="235">
                  <c:v>9.737549846981729E-4</c:v>
                </c:pt>
                <c:pt idx="236">
                  <c:v>7.2728957242784694E-3</c:v>
                </c:pt>
                <c:pt idx="237">
                  <c:v>8.3701250919793659E-3</c:v>
                </c:pt>
                <c:pt idx="238">
                  <c:v>-6.2938976557511423E-3</c:v>
                </c:pt>
                <c:pt idx="239">
                  <c:v>-1.5650816963466114E-2</c:v>
                </c:pt>
                <c:pt idx="240">
                  <c:v>-1.044435119130885E-2</c:v>
                </c:pt>
                <c:pt idx="241">
                  <c:v>-1.5737643123026921E-2</c:v>
                </c:pt>
                <c:pt idx="242">
                  <c:v>9.2393125568481348E-3</c:v>
                </c:pt>
                <c:pt idx="243">
                  <c:v>-3.1733232141163067E-2</c:v>
                </c:pt>
                <c:pt idx="244">
                  <c:v>-4.3109782981433182E-3</c:v>
                </c:pt>
                <c:pt idx="245">
                  <c:v>6.5436654366544285E-3</c:v>
                </c:pt>
                <c:pt idx="246">
                  <c:v>2.1409717469938389E-2</c:v>
                </c:pt>
                <c:pt idx="247">
                  <c:v>1.3399693721286425E-3</c:v>
                </c:pt>
                <c:pt idx="248">
                  <c:v>1.4194226725291526E-2</c:v>
                </c:pt>
                <c:pt idx="249">
                  <c:v>-5.2306677347910731E-3</c:v>
                </c:pt>
                <c:pt idx="250">
                  <c:v>-9.9952629085740662E-3</c:v>
                </c:pt>
                <c:pt idx="251">
                  <c:v>-9.0434949040624664E-3</c:v>
                </c:pt>
                <c:pt idx="252">
                  <c:v>2.1487204249155081E-2</c:v>
                </c:pt>
                <c:pt idx="253">
                  <c:v>1.4086504372488724E-2</c:v>
                </c:pt>
                <c:pt idx="254">
                  <c:v>7.0852561413322626E-3</c:v>
                </c:pt>
                <c:pt idx="255">
                  <c:v>4.6470724369358903E-2</c:v>
                </c:pt>
                <c:pt idx="256">
                  <c:v>-1.3269052147375443E-4</c:v>
                </c:pt>
                <c:pt idx="257">
                  <c:v>8.935680792709946E-3</c:v>
                </c:pt>
                <c:pt idx="258">
                  <c:v>4.559803577692003E-3</c:v>
                </c:pt>
                <c:pt idx="259">
                  <c:v>-2.749650837988807E-3</c:v>
                </c:pt>
                <c:pt idx="260">
                  <c:v>3.2430303295549023E-2</c:v>
                </c:pt>
                <c:pt idx="261">
                  <c:v>2.1195421788893599E-2</c:v>
                </c:pt>
                <c:pt idx="262">
                  <c:v>-1.9095060190950579E-2</c:v>
                </c:pt>
                <c:pt idx="263">
                  <c:v>-5.2052475666526368E-3</c:v>
                </c:pt>
                <c:pt idx="264">
                  <c:v>6.253456417237414E-3</c:v>
                </c:pt>
                <c:pt idx="265">
                  <c:v>1.1160903018517016E-2</c:v>
                </c:pt>
                <c:pt idx="266">
                  <c:v>-1.8354377456309117E-2</c:v>
                </c:pt>
                <c:pt idx="267">
                  <c:v>-3.0963840027258323E-2</c:v>
                </c:pt>
                <c:pt idx="268">
                  <c:v>-2.6107594936708851E-2</c:v>
                </c:pt>
                <c:pt idx="269">
                  <c:v>-6.7695640400760758E-4</c:v>
                </c:pt>
                <c:pt idx="270">
                  <c:v>-1.0838639750711697E-3</c:v>
                </c:pt>
                <c:pt idx="271">
                  <c:v>5.1087300510872799E-3</c:v>
                </c:pt>
                <c:pt idx="272">
                  <c:v>-1.0345448002878658E-2</c:v>
                </c:pt>
                <c:pt idx="273">
                  <c:v>-1.6680301790746366E-2</c:v>
                </c:pt>
                <c:pt idx="274">
                  <c:v>-2.7686618904552721E-2</c:v>
                </c:pt>
                <c:pt idx="275">
                  <c:v>4.8488305761550761E-3</c:v>
                </c:pt>
                <c:pt idx="276">
                  <c:v>5.4404390197748398E-3</c:v>
                </c:pt>
                <c:pt idx="277">
                  <c:v>1.4115654260574978E-2</c:v>
                </c:pt>
                <c:pt idx="278">
                  <c:v>1.1274532547673209E-2</c:v>
                </c:pt>
                <c:pt idx="279">
                  <c:v>-2.3398788768582276E-3</c:v>
                </c:pt>
                <c:pt idx="280">
                  <c:v>1.8992871924580473E-2</c:v>
                </c:pt>
                <c:pt idx="281">
                  <c:v>-1.5344345157505344E-3</c:v>
                </c:pt>
                <c:pt idx="282">
                  <c:v>-8.8591574760441497E-3</c:v>
                </c:pt>
                <c:pt idx="283">
                  <c:v>-6.8861729295877005E-3</c:v>
                </c:pt>
                <c:pt idx="284">
                  <c:v>-7.8064012490242779E-3</c:v>
                </c:pt>
                <c:pt idx="285">
                  <c:v>-2.9712593141111621E-2</c:v>
                </c:pt>
                <c:pt idx="286">
                  <c:v>2.5280228953016987E-3</c:v>
                </c:pt>
                <c:pt idx="287">
                  <c:v>3.7586830335902179E-3</c:v>
                </c:pt>
                <c:pt idx="288">
                  <c:v>-4.6926103237427555E-3</c:v>
                </c:pt>
                <c:pt idx="289">
                  <c:v>-9.5723402228783273E-3</c:v>
                </c:pt>
                <c:pt idx="290">
                  <c:v>5.4334759821127827E-3</c:v>
                </c:pt>
                <c:pt idx="291">
                  <c:v>2.4151123864179874E-2</c:v>
                </c:pt>
                <c:pt idx="292">
                  <c:v>8.4053233714689152E-4</c:v>
                </c:pt>
                <c:pt idx="293">
                  <c:v>-6.7186114869594834E-3</c:v>
                </c:pt>
                <c:pt idx="294">
                  <c:v>-7.8913993141997204E-3</c:v>
                </c:pt>
                <c:pt idx="295">
                  <c:v>-6.6284740305863729E-4</c:v>
                </c:pt>
                <c:pt idx="296">
                  <c:v>-1.7198085943052048E-2</c:v>
                </c:pt>
                <c:pt idx="297">
                  <c:v>-1.3979946008483997E-3</c:v>
                </c:pt>
                <c:pt idx="298">
                  <c:v>1.1585807385951275E-3</c:v>
                </c:pt>
                <c:pt idx="299">
                  <c:v>2.5893244611601356E-2</c:v>
                </c:pt>
                <c:pt idx="300">
                  <c:v>1.3395375070502081E-2</c:v>
                </c:pt>
                <c:pt idx="301">
                  <c:v>1.4609711979963717E-2</c:v>
                </c:pt>
                <c:pt idx="302">
                  <c:v>-9.5538489669043866E-3</c:v>
                </c:pt>
                <c:pt idx="303">
                  <c:v>9.5998523099645201E-3</c:v>
                </c:pt>
                <c:pt idx="304">
                  <c:v>-1.545142857142855E-2</c:v>
                </c:pt>
                <c:pt idx="305">
                  <c:v>4.6431722152574639E-3</c:v>
                </c:pt>
                <c:pt idx="306">
                  <c:v>6.1006609049313355E-3</c:v>
                </c:pt>
                <c:pt idx="307">
                  <c:v>-1.0289861729983045E-2</c:v>
                </c:pt>
                <c:pt idx="308">
                  <c:v>2.8034346716175544E-2</c:v>
                </c:pt>
                <c:pt idx="309">
                  <c:v>8.1719264978102942E-3</c:v>
                </c:pt>
                <c:pt idx="310">
                  <c:v>-2.6063591580833056E-2</c:v>
                </c:pt>
                <c:pt idx="311">
                  <c:v>8.0007356998345099E-3</c:v>
                </c:pt>
                <c:pt idx="312">
                  <c:v>-5.3371042788066215E-3</c:v>
                </c:pt>
                <c:pt idx="313">
                  <c:v>3.2102728731939087E-4</c:v>
                </c:pt>
                <c:pt idx="314">
                  <c:v>6.7852558224829902E-3</c:v>
                </c:pt>
                <c:pt idx="315">
                  <c:v>5.7377049180328751E-3</c:v>
                </c:pt>
                <c:pt idx="316">
                  <c:v>-2.793624920764292E-2</c:v>
                </c:pt>
                <c:pt idx="317">
                  <c:v>-1.5743630350738252E-2</c:v>
                </c:pt>
                <c:pt idx="318">
                  <c:v>1.1026454024892263E-2</c:v>
                </c:pt>
                <c:pt idx="319">
                  <c:v>1.8348623853211087E-2</c:v>
                </c:pt>
                <c:pt idx="320">
                  <c:v>2.665931237359814E-2</c:v>
                </c:pt>
                <c:pt idx="321">
                  <c:v>2.5340257879656145E-2</c:v>
                </c:pt>
                <c:pt idx="322">
                  <c:v>-2.8163479172124778E-2</c:v>
                </c:pt>
                <c:pt idx="323">
                  <c:v>1.0962843150469505E-2</c:v>
                </c:pt>
                <c:pt idx="324">
                  <c:v>-2.6221056841918038E-2</c:v>
                </c:pt>
                <c:pt idx="325">
                  <c:v>2.2637031627949337E-2</c:v>
                </c:pt>
                <c:pt idx="326">
                  <c:v>3.8380863123131776E-3</c:v>
                </c:pt>
                <c:pt idx="327">
                  <c:v>-1.5471480016005059E-2</c:v>
                </c:pt>
                <c:pt idx="328">
                  <c:v>2.8177918265974305E-2</c:v>
                </c:pt>
                <c:pt idx="329">
                  <c:v>9.2230664499977789E-3</c:v>
                </c:pt>
                <c:pt idx="330">
                  <c:v>-2.5893206841028717E-2</c:v>
                </c:pt>
                <c:pt idx="331">
                  <c:v>4.3781272337383385E-3</c:v>
                </c:pt>
                <c:pt idx="332">
                  <c:v>-9.8300862912551364E-3</c:v>
                </c:pt>
                <c:pt idx="333">
                  <c:v>1.8867076950720429E-3</c:v>
                </c:pt>
                <c:pt idx="334">
                  <c:v>-6.1426713894991913E-3</c:v>
                </c:pt>
                <c:pt idx="335">
                  <c:v>1.9353965532797942E-2</c:v>
                </c:pt>
                <c:pt idx="336">
                  <c:v>-1.9384819650365107E-2</c:v>
                </c:pt>
                <c:pt idx="337">
                  <c:v>4.6937762332446651E-3</c:v>
                </c:pt>
                <c:pt idx="338">
                  <c:v>2.5470553883473281E-2</c:v>
                </c:pt>
                <c:pt idx="339">
                  <c:v>-1.1126686525319748E-2</c:v>
                </c:pt>
                <c:pt idx="340">
                  <c:v>3.2338088065916085E-3</c:v>
                </c:pt>
                <c:pt idx="341">
                  <c:v>3.0909171192651948E-3</c:v>
                </c:pt>
                <c:pt idx="342">
                  <c:v>-9.244178368622593E-3</c:v>
                </c:pt>
                <c:pt idx="343">
                  <c:v>9.2859999111387717E-3</c:v>
                </c:pt>
                <c:pt idx="344">
                  <c:v>1.6728297235428574E-3</c:v>
                </c:pt>
                <c:pt idx="345">
                  <c:v>-1.2745011866045555E-2</c:v>
                </c:pt>
                <c:pt idx="346">
                  <c:v>2.4750712250712261E-2</c:v>
                </c:pt>
                <c:pt idx="347">
                  <c:v>1.1251086012163352E-2</c:v>
                </c:pt>
                <c:pt idx="348">
                  <c:v>-1.9760298981914151E-3</c:v>
                </c:pt>
                <c:pt idx="349">
                  <c:v>-8.5223604355873887E-3</c:v>
                </c:pt>
                <c:pt idx="350">
                  <c:v>-1.0549164315172593E-2</c:v>
                </c:pt>
                <c:pt idx="351">
                  <c:v>1.7374517374517409E-2</c:v>
                </c:pt>
                <c:pt idx="352">
                  <c:v>-1.6819044333275244E-3</c:v>
                </c:pt>
                <c:pt idx="353">
                  <c:v>6.6525551859691213E-3</c:v>
                </c:pt>
                <c:pt idx="354">
                  <c:v>-2.2314723426168745E-3</c:v>
                </c:pt>
                <c:pt idx="355">
                  <c:v>8.8598339856350364E-3</c:v>
                </c:pt>
                <c:pt idx="356">
                  <c:v>-1.2789359253100694E-3</c:v>
                </c:pt>
                <c:pt idx="357">
                  <c:v>1.0884876424638165E-2</c:v>
                </c:pt>
                <c:pt idx="358">
                  <c:v>-2.195760493201511E-3</c:v>
                </c:pt>
                <c:pt idx="359">
                  <c:v>1.1807024968260652E-2</c:v>
                </c:pt>
                <c:pt idx="360">
                  <c:v>9.6198084403362038E-3</c:v>
                </c:pt>
                <c:pt idx="361">
                  <c:v>-1.2842288412940629E-3</c:v>
                </c:pt>
                <c:pt idx="362">
                  <c:v>-1.1614401858304344E-2</c:v>
                </c:pt>
                <c:pt idx="363">
                  <c:v>-1.2716132281349678E-2</c:v>
                </c:pt>
                <c:pt idx="364">
                  <c:v>-9.946865037194488E-3</c:v>
                </c:pt>
                <c:pt idx="365">
                  <c:v>-1.330986217852387E-2</c:v>
                </c:pt>
                <c:pt idx="366">
                  <c:v>1.2314520691005543E-2</c:v>
                </c:pt>
                <c:pt idx="367">
                  <c:v>-3.4387895460790958E-4</c:v>
                </c:pt>
                <c:pt idx="368">
                  <c:v>2.2101823185414458E-2</c:v>
                </c:pt>
                <c:pt idx="369">
                  <c:v>3.1888935633151087E-2</c:v>
                </c:pt>
                <c:pt idx="370">
                  <c:v>6.5231572080885758E-4</c:v>
                </c:pt>
                <c:pt idx="371">
                  <c:v>-2.1145697522816156E-2</c:v>
                </c:pt>
                <c:pt idx="372">
                  <c:v>-4.9531737773152867E-3</c:v>
                </c:pt>
                <c:pt idx="373">
                  <c:v>-7.1111854764500926E-4</c:v>
                </c:pt>
                <c:pt idx="374">
                  <c:v>-2.0344091422830529E-2</c:v>
                </c:pt>
                <c:pt idx="375">
                  <c:v>-3.1192582147587479E-3</c:v>
                </c:pt>
                <c:pt idx="376">
                  <c:v>4.2863266180882984E-3</c:v>
                </c:pt>
                <c:pt idx="377">
                  <c:v>-6.0606060606061283E-3</c:v>
                </c:pt>
                <c:pt idx="378">
                  <c:v>-1.0348677430436262E-2</c:v>
                </c:pt>
                <c:pt idx="379">
                  <c:v>-1.0196554866143074E-2</c:v>
                </c:pt>
                <c:pt idx="380">
                  <c:v>2.5118358758548086E-2</c:v>
                </c:pt>
                <c:pt idx="381">
                  <c:v>-1.9243104554200925E-3</c:v>
                </c:pt>
                <c:pt idx="382">
                  <c:v>-1.1182519280205713E-2</c:v>
                </c:pt>
                <c:pt idx="383">
                  <c:v>-4.8528965726418157E-3</c:v>
                </c:pt>
                <c:pt idx="384">
                  <c:v>1.3541167762441825E-2</c:v>
                </c:pt>
                <c:pt idx="385">
                  <c:v>-9.1502706418076958E-3</c:v>
                </c:pt>
                <c:pt idx="386">
                  <c:v>6.980273141122849E-3</c:v>
                </c:pt>
                <c:pt idx="387">
                  <c:v>1.0419357616464377E-2</c:v>
                </c:pt>
                <c:pt idx="388">
                  <c:v>1.0695415033236708E-2</c:v>
                </c:pt>
                <c:pt idx="389">
                  <c:v>1.9731017327880632E-2</c:v>
                </c:pt>
                <c:pt idx="390">
                  <c:v>-7.3179807334518964E-3</c:v>
                </c:pt>
                <c:pt idx="391">
                  <c:v>1.5993336109954199E-2</c:v>
                </c:pt>
                <c:pt idx="392">
                  <c:v>-1.0658358612773609E-2</c:v>
                </c:pt>
                <c:pt idx="393">
                  <c:v>-5.1794149332891355E-3</c:v>
                </c:pt>
                <c:pt idx="394">
                  <c:v>1.6910325294681172E-2</c:v>
                </c:pt>
                <c:pt idx="395">
                  <c:v>1.1714110178169097E-2</c:v>
                </c:pt>
                <c:pt idx="396">
                  <c:v>3.2387352738760578E-4</c:v>
                </c:pt>
                <c:pt idx="397">
                  <c:v>-1.6188433364361165E-2</c:v>
                </c:pt>
                <c:pt idx="398">
                  <c:v>8.1039944053642628E-3</c:v>
                </c:pt>
                <c:pt idx="399">
                  <c:v>-8.4061046274381875E-3</c:v>
                </c:pt>
                <c:pt idx="400">
                  <c:v>-1.2510288065843589E-2</c:v>
                </c:pt>
                <c:pt idx="401">
                  <c:v>-8.6681113518920338E-3</c:v>
                </c:pt>
                <c:pt idx="402">
                  <c:v>3.741382209517466E-3</c:v>
                </c:pt>
                <c:pt idx="403">
                  <c:v>-2.906562801021903E-2</c:v>
                </c:pt>
                <c:pt idx="404">
                  <c:v>5.305611870767328E-3</c:v>
                </c:pt>
                <c:pt idx="405">
                  <c:v>2.7460739723675722E-3</c:v>
                </c:pt>
                <c:pt idx="406">
                  <c:v>-7.7877620881471685E-3</c:v>
                </c:pt>
                <c:pt idx="407">
                  <c:v>1.4662756598240494E-2</c:v>
                </c:pt>
                <c:pt idx="408">
                  <c:v>8.7980278816728718E-3</c:v>
                </c:pt>
                <c:pt idx="409">
                  <c:v>-8.0893195702548461E-3</c:v>
                </c:pt>
                <c:pt idx="410">
                  <c:v>-8.9623242577412127E-3</c:v>
                </c:pt>
                <c:pt idx="411">
                  <c:v>9.943425338590748E-3</c:v>
                </c:pt>
                <c:pt idx="412">
                  <c:v>-2.0667119334578071E-2</c:v>
                </c:pt>
                <c:pt idx="413">
                  <c:v>-4.2899857000477061E-3</c:v>
                </c:pt>
                <c:pt idx="414">
                  <c:v>-8.4428583862825209E-3</c:v>
                </c:pt>
                <c:pt idx="415">
                  <c:v>1.2728230337078301E-3</c:v>
                </c:pt>
                <c:pt idx="416">
                  <c:v>3.2437645202297335E-3</c:v>
                </c:pt>
                <c:pt idx="417">
                  <c:v>8.3016559618996687E-4</c:v>
                </c:pt>
                <c:pt idx="418">
                  <c:v>1.6065659652492827E-2</c:v>
                </c:pt>
                <c:pt idx="419">
                  <c:v>3.4802784222737917E-3</c:v>
                </c:pt>
                <c:pt idx="420">
                  <c:v>-4.0676514664954701E-3</c:v>
                </c:pt>
                <c:pt idx="421">
                  <c:v>-1.6466036113499501E-2</c:v>
                </c:pt>
                <c:pt idx="422">
                  <c:v>1.031603794203779E-2</c:v>
                </c:pt>
                <c:pt idx="423">
                  <c:v>7.658027949638776E-3</c:v>
                </c:pt>
                <c:pt idx="424">
                  <c:v>2.0437956204379524E-2</c:v>
                </c:pt>
                <c:pt idx="425">
                  <c:v>-1.0056383068248702E-2</c:v>
                </c:pt>
                <c:pt idx="426">
                  <c:v>6.8006970714496785E-4</c:v>
                </c:pt>
                <c:pt idx="427">
                  <c:v>-5.0970564499003756E-4</c:v>
                </c:pt>
                <c:pt idx="428">
                  <c:v>-8.9243976031621252E-4</c:v>
                </c:pt>
                <c:pt idx="429">
                  <c:v>4.6788600595497082E-4</c:v>
                </c:pt>
                <c:pt idx="430">
                  <c:v>-2.3425874750223286E-2</c:v>
                </c:pt>
                <c:pt idx="431">
                  <c:v>1.1754462342185534E-2</c:v>
                </c:pt>
                <c:pt idx="432">
                  <c:v>9.3373493975903079E-3</c:v>
                </c:pt>
                <c:pt idx="433">
                  <c:v>1.5986699066376776E-2</c:v>
                </c:pt>
                <c:pt idx="434">
                  <c:v>3.1512252433702669E-2</c:v>
                </c:pt>
                <c:pt idx="435">
                  <c:v>-4.108530285156487E-3</c:v>
                </c:pt>
                <c:pt idx="436">
                  <c:v>-2.0423168041819683E-4</c:v>
                </c:pt>
                <c:pt idx="437">
                  <c:v>4.9025615884289793E-4</c:v>
                </c:pt>
                <c:pt idx="438">
                  <c:v>2.7195883866225755E-2</c:v>
                </c:pt>
                <c:pt idx="439">
                  <c:v>-2.3653349234744651E-2</c:v>
                </c:pt>
                <c:pt idx="440">
                  <c:v>7.0439739413681521E-3</c:v>
                </c:pt>
                <c:pt idx="441">
                  <c:v>-2.0054178627744342E-2</c:v>
                </c:pt>
                <c:pt idx="442">
                  <c:v>-3.5482939307670068E-2</c:v>
                </c:pt>
                <c:pt idx="443">
                  <c:v>-2.7676776318603751E-2</c:v>
                </c:pt>
                <c:pt idx="444">
                  <c:v>-1.8829740431148267E-2</c:v>
                </c:pt>
                <c:pt idx="445">
                  <c:v>1.5110752398887884E-2</c:v>
                </c:pt>
                <c:pt idx="446">
                  <c:v>-1.1705464022262368E-2</c:v>
                </c:pt>
                <c:pt idx="447">
                  <c:v>-2.8157683024939459E-3</c:v>
                </c:pt>
                <c:pt idx="448">
                  <c:v>-1.5821791941194929E-2</c:v>
                </c:pt>
                <c:pt idx="449">
                  <c:v>8.7895072410965405E-3</c:v>
                </c:pt>
                <c:pt idx="450">
                  <c:v>-1.4942891968759886E-2</c:v>
                </c:pt>
                <c:pt idx="451">
                  <c:v>1.8560953253895562E-2</c:v>
                </c:pt>
                <c:pt idx="452">
                  <c:v>-1.345331833520814E-2</c:v>
                </c:pt>
                <c:pt idx="453">
                  <c:v>-1.0261789656116026E-2</c:v>
                </c:pt>
                <c:pt idx="454">
                  <c:v>2.0275563338094916E-3</c:v>
                </c:pt>
                <c:pt idx="455">
                  <c:v>6.4382616693499557E-4</c:v>
                </c:pt>
                <c:pt idx="456">
                  <c:v>2.0083643549795506E-2</c:v>
                </c:pt>
                <c:pt idx="457">
                  <c:v>1.9823391602090362E-3</c:v>
                </c:pt>
                <c:pt idx="458">
                  <c:v>-1.6456834532374086E-2</c:v>
                </c:pt>
                <c:pt idx="459">
                  <c:v>-7.4517692237359209E-3</c:v>
                </c:pt>
                <c:pt idx="460">
                  <c:v>-7.5998341854359797E-3</c:v>
                </c:pt>
                <c:pt idx="461">
                  <c:v>1.0349948946440127E-2</c:v>
                </c:pt>
                <c:pt idx="462">
                  <c:v>5.6502365749459774E-3</c:v>
                </c:pt>
                <c:pt idx="463">
                  <c:v>-1.3246848163712408E-3</c:v>
                </c:pt>
                <c:pt idx="464">
                  <c:v>1.2349631798014989E-2</c:v>
                </c:pt>
                <c:pt idx="465">
                  <c:v>-7.0031175168301235E-3</c:v>
                </c:pt>
                <c:pt idx="466">
                  <c:v>-1.5470015470015624E-3</c:v>
                </c:pt>
                <c:pt idx="467">
                  <c:v>2.825373678454268E-3</c:v>
                </c:pt>
                <c:pt idx="468">
                  <c:v>2.1494137962373851E-2</c:v>
                </c:pt>
                <c:pt idx="469">
                  <c:v>-1.0676631522753711E-3</c:v>
                </c:pt>
                <c:pt idx="470">
                  <c:v>-4.5424181696727241E-3</c:v>
                </c:pt>
                <c:pt idx="471">
                  <c:v>-1.4181541627521976E-2</c:v>
                </c:pt>
                <c:pt idx="472">
                  <c:v>9.8475222363404759E-3</c:v>
                </c:pt>
                <c:pt idx="473">
                  <c:v>-7.8641082101289714E-3</c:v>
                </c:pt>
                <c:pt idx="474">
                  <c:v>5.1182172298215216E-3</c:v>
                </c:pt>
                <c:pt idx="475">
                  <c:v>-2.6046595466630622E-2</c:v>
                </c:pt>
                <c:pt idx="476">
                  <c:v>1.4759635404617581E-2</c:v>
                </c:pt>
                <c:pt idx="477">
                  <c:v>-1.8146999817618047E-2</c:v>
                </c:pt>
                <c:pt idx="478">
                  <c:v>-1.0448592922819726E-2</c:v>
                </c:pt>
                <c:pt idx="479">
                  <c:v>1.5017128912665956E-2</c:v>
                </c:pt>
                <c:pt idx="480">
                  <c:v>-1.8216283693189689E-2</c:v>
                </c:pt>
                <c:pt idx="481">
                  <c:v>-7.5347303979277883E-4</c:v>
                </c:pt>
                <c:pt idx="482">
                  <c:v>1.3195720816249641E-3</c:v>
                </c:pt>
                <c:pt idx="483">
                  <c:v>-1.3507789334964958E-2</c:v>
                </c:pt>
                <c:pt idx="484">
                  <c:v>1.8940839694656483E-2</c:v>
                </c:pt>
                <c:pt idx="485">
                  <c:v>2.1070375052675939E-2</c:v>
                </c:pt>
                <c:pt idx="486">
                  <c:v>-2.7009675792176762E-2</c:v>
                </c:pt>
                <c:pt idx="487">
                  <c:v>-1.9747384296352144E-2</c:v>
                </c:pt>
                <c:pt idx="488">
                  <c:v>1.1490937064281871E-2</c:v>
                </c:pt>
                <c:pt idx="489">
                  <c:v>-1.7729822226447332E-2</c:v>
                </c:pt>
                <c:pt idx="490">
                  <c:v>-5.0810549237842312E-3</c:v>
                </c:pt>
                <c:pt idx="491">
                  <c:v>2.1400778210116621E-3</c:v>
                </c:pt>
                <c:pt idx="492">
                  <c:v>9.90099009901E-3</c:v>
                </c:pt>
                <c:pt idx="493">
                  <c:v>-2.7873894655902173E-3</c:v>
                </c:pt>
                <c:pt idx="494">
                  <c:v>1.6385542168674864E-3</c:v>
                </c:pt>
                <c:pt idx="495">
                  <c:v>-1.0440723633564356E-2</c:v>
                </c:pt>
                <c:pt idx="496">
                  <c:v>1.8233091846161328E-2</c:v>
                </c:pt>
                <c:pt idx="497">
                  <c:v>-6.5418775666124356E-3</c:v>
                </c:pt>
                <c:pt idx="498">
                  <c:v>4.9987983657774192E-3</c:v>
                </c:pt>
                <c:pt idx="499">
                  <c:v>-6.7435075804677244E-3</c:v>
                </c:pt>
                <c:pt idx="500">
                  <c:v>1.7815870570108076E-3</c:v>
                </c:pt>
                <c:pt idx="501">
                  <c:v>-2.0187454938717419E-3</c:v>
                </c:pt>
                <c:pt idx="502">
                  <c:v>-1.9265038770890802E-3</c:v>
                </c:pt>
                <c:pt idx="503">
                  <c:v>-1.3752835014235364E-2</c:v>
                </c:pt>
                <c:pt idx="504">
                  <c:v>1.1351404246990866E-2</c:v>
                </c:pt>
                <c:pt idx="505">
                  <c:v>1.9932268988872785E-2</c:v>
                </c:pt>
                <c:pt idx="506">
                  <c:v>3.6998387249786604E-3</c:v>
                </c:pt>
                <c:pt idx="507">
                  <c:v>1.0444234404536901E-2</c:v>
                </c:pt>
                <c:pt idx="508">
                  <c:v>1.1926476778448209E-2</c:v>
                </c:pt>
                <c:pt idx="509">
                  <c:v>1.3218709558143766E-2</c:v>
                </c:pt>
                <c:pt idx="510">
                  <c:v>4.5160113128364619E-3</c:v>
                </c:pt>
                <c:pt idx="511">
                  <c:v>3.2241950865082398E-3</c:v>
                </c:pt>
                <c:pt idx="512">
                  <c:v>1.2312149194278468E-2</c:v>
                </c:pt>
                <c:pt idx="513">
                  <c:v>1.2520121624038686E-3</c:v>
                </c:pt>
                <c:pt idx="514">
                  <c:v>-1.3174347981421886E-2</c:v>
                </c:pt>
                <c:pt idx="515">
                  <c:v>6.7882517988869843E-4</c:v>
                </c:pt>
                <c:pt idx="516">
                  <c:v>-2.5868306801736608E-2</c:v>
                </c:pt>
                <c:pt idx="517">
                  <c:v>2.3212627669444265E-4</c:v>
                </c:pt>
                <c:pt idx="518">
                  <c:v>6.0338825713623185E-3</c:v>
                </c:pt>
                <c:pt idx="519">
                  <c:v>1.7439446366782012E-2</c:v>
                </c:pt>
                <c:pt idx="520">
                  <c:v>2.4486464426608265E-3</c:v>
                </c:pt>
                <c:pt idx="521">
                  <c:v>1.3163251458813936E-2</c:v>
                </c:pt>
                <c:pt idx="522">
                  <c:v>3.1252790427726407E-4</c:v>
                </c:pt>
                <c:pt idx="523">
                  <c:v>-1.3880830171836703E-2</c:v>
                </c:pt>
                <c:pt idx="524">
                  <c:v>-1.9235991671947134E-2</c:v>
                </c:pt>
                <c:pt idx="525">
                  <c:v>-1.3106280862061025E-2</c:v>
                </c:pt>
                <c:pt idx="526">
                  <c:v>-1.861117605798452E-2</c:v>
                </c:pt>
                <c:pt idx="527">
                  <c:v>9.1008719683613494E-3</c:v>
                </c:pt>
                <c:pt idx="528">
                  <c:v>-2.5970346586080429E-3</c:v>
                </c:pt>
                <c:pt idx="529">
                  <c:v>8.2374662689959251E-3</c:v>
                </c:pt>
                <c:pt idx="530">
                  <c:v>1.3616941353241866E-3</c:v>
                </c:pt>
                <c:pt idx="531">
                  <c:v>1.4770702428959982E-2</c:v>
                </c:pt>
                <c:pt idx="532">
                  <c:v>1.501779030543875E-2</c:v>
                </c:pt>
                <c:pt idx="533">
                  <c:v>-8.6497314030775097E-3</c:v>
                </c:pt>
                <c:pt idx="534">
                  <c:v>-3.4900808229242786E-3</c:v>
                </c:pt>
                <c:pt idx="535">
                  <c:v>-7.0506912442396368E-3</c:v>
                </c:pt>
                <c:pt idx="536">
                  <c:v>-2.2137652573444147E-2</c:v>
                </c:pt>
                <c:pt idx="537">
                  <c:v>9.6820123398197473E-3</c:v>
                </c:pt>
                <c:pt idx="538">
                  <c:v>1.6781047287769076E-2</c:v>
                </c:pt>
                <c:pt idx="539">
                  <c:v>2.3114973880084772E-4</c:v>
                </c:pt>
                <c:pt idx="540">
                  <c:v>-6.5169162506934037E-3</c:v>
                </c:pt>
                <c:pt idx="541">
                  <c:v>1.5445452430797962E-2</c:v>
                </c:pt>
                <c:pt idx="542">
                  <c:v>-3.2207816007696892E-2</c:v>
                </c:pt>
                <c:pt idx="543">
                  <c:v>2.7930316227987285E-3</c:v>
                </c:pt>
                <c:pt idx="544">
                  <c:v>2.3131756597270484E-3</c:v>
                </c:pt>
                <c:pt idx="545">
                  <c:v>-7.6299924642049951E-3</c:v>
                </c:pt>
                <c:pt idx="546">
                  <c:v>1.96013289036546E-2</c:v>
                </c:pt>
                <c:pt idx="547">
                  <c:v>1.3778336358981425E-2</c:v>
                </c:pt>
                <c:pt idx="548">
                  <c:v>-3.30593691170393E-3</c:v>
                </c:pt>
                <c:pt idx="549">
                  <c:v>-8.7529368406503766E-4</c:v>
                </c:pt>
                <c:pt idx="550">
                  <c:v>-5.0719291774252778E-3</c:v>
                </c:pt>
                <c:pt idx="551">
                  <c:v>-6.7661507090555567E-3</c:v>
                </c:pt>
                <c:pt idx="552">
                  <c:v>-1.782381485628963E-2</c:v>
                </c:pt>
                <c:pt idx="553">
                  <c:v>1.9477434679334889E-2</c:v>
                </c:pt>
                <c:pt idx="554">
                  <c:v>1.4538676607642147E-2</c:v>
                </c:pt>
                <c:pt idx="555">
                  <c:v>1.1390777144956779E-2</c:v>
                </c:pt>
                <c:pt idx="556">
                  <c:v>-1.4850136239781934E-2</c:v>
                </c:pt>
                <c:pt idx="557">
                  <c:v>2.9133821970220776E-2</c:v>
                </c:pt>
                <c:pt idx="558">
                  <c:v>2.7771556550951797E-2</c:v>
                </c:pt>
                <c:pt idx="559">
                  <c:v>2.9200261494879754E-3</c:v>
                </c:pt>
                <c:pt idx="560">
                  <c:v>-1.2211020337215375E-2</c:v>
                </c:pt>
                <c:pt idx="561">
                  <c:v>-1.1702080858739151E-2</c:v>
                </c:pt>
                <c:pt idx="562">
                  <c:v>6.1428889383485221E-3</c:v>
                </c:pt>
                <c:pt idx="563">
                  <c:v>-1.2343494226430085E-2</c:v>
                </c:pt>
                <c:pt idx="564">
                  <c:v>-1.3438451890342742E-4</c:v>
                </c:pt>
                <c:pt idx="565">
                  <c:v>1.5366695040544682E-2</c:v>
                </c:pt>
                <c:pt idx="566">
                  <c:v>-2.0561242499117529E-2</c:v>
                </c:pt>
                <c:pt idx="567">
                  <c:v>2.8110640598252138E-2</c:v>
                </c:pt>
                <c:pt idx="568">
                  <c:v>2.2040136710191924E-2</c:v>
                </c:pt>
                <c:pt idx="569">
                  <c:v>-1.680600214362267E-2</c:v>
                </c:pt>
                <c:pt idx="570">
                  <c:v>-1.9273535952557517E-2</c:v>
                </c:pt>
                <c:pt idx="571">
                  <c:v>-3.6459028055666406E-3</c:v>
                </c:pt>
                <c:pt idx="572">
                  <c:v>-1.3967602302646237E-2</c:v>
                </c:pt>
                <c:pt idx="573">
                  <c:v>-3.3037653874005168E-3</c:v>
                </c:pt>
                <c:pt idx="574">
                  <c:v>-3.5462925123734293E-2</c:v>
                </c:pt>
                <c:pt idx="575">
                  <c:v>-2.8716693343375636E-3</c:v>
                </c:pt>
                <c:pt idx="576">
                  <c:v>2.5305698503375596E-2</c:v>
                </c:pt>
                <c:pt idx="577">
                  <c:v>-1.5149422111709684E-2</c:v>
                </c:pt>
                <c:pt idx="578">
                  <c:v>-3.4598840471292739E-3</c:v>
                </c:pt>
                <c:pt idx="579">
                  <c:v>-2.0315285727690646E-2</c:v>
                </c:pt>
                <c:pt idx="580">
                  <c:v>9.1470715004070523E-3</c:v>
                </c:pt>
                <c:pt idx="581">
                  <c:v>-2.7999240698557489E-3</c:v>
                </c:pt>
                <c:pt idx="582">
                  <c:v>2.7221243991814584E-2</c:v>
                </c:pt>
                <c:pt idx="583">
                  <c:v>3.1503358813991513E-3</c:v>
                </c:pt>
                <c:pt idx="584">
                  <c:v>-4.8030296032881914E-3</c:v>
                </c:pt>
                <c:pt idx="585">
                  <c:v>7.9354030349435209E-3</c:v>
                </c:pt>
                <c:pt idx="586">
                  <c:v>-6.721915285451103E-3</c:v>
                </c:pt>
                <c:pt idx="587">
                  <c:v>-1.8216371558357314E-2</c:v>
                </c:pt>
                <c:pt idx="588">
                  <c:v>4.4851517869788421E-3</c:v>
                </c:pt>
                <c:pt idx="589">
                  <c:v>-2.1150592216581531E-3</c:v>
                </c:pt>
                <c:pt idx="590">
                  <c:v>2.6376524892845477E-3</c:v>
                </c:pt>
                <c:pt idx="591">
                  <c:v>5.4963123032836358E-3</c:v>
                </c:pt>
                <c:pt idx="592">
                  <c:v>-6.7277144458979523E-3</c:v>
                </c:pt>
                <c:pt idx="593">
                  <c:v>6.161806208842908E-3</c:v>
                </c:pt>
                <c:pt idx="594">
                  <c:v>2.4402786218503104E-2</c:v>
                </c:pt>
                <c:pt idx="595">
                  <c:v>-1.5059553689590577E-2</c:v>
                </c:pt>
                <c:pt idx="596">
                  <c:v>2.4417365519158511E-2</c:v>
                </c:pt>
                <c:pt idx="597">
                  <c:v>-3.0755314337404197E-3</c:v>
                </c:pt>
                <c:pt idx="598">
                  <c:v>-1.0298521005353334E-2</c:v>
                </c:pt>
                <c:pt idx="599">
                  <c:v>3.3967453586981416E-2</c:v>
                </c:pt>
                <c:pt idx="600">
                  <c:v>2.4827097003014818E-3</c:v>
                </c:pt>
                <c:pt idx="601">
                  <c:v>1.9281797275782706E-2</c:v>
                </c:pt>
                <c:pt idx="602">
                  <c:v>1.1671294689343968E-2</c:v>
                </c:pt>
                <c:pt idx="603">
                  <c:v>-2.298751983531323E-2</c:v>
                </c:pt>
                <c:pt idx="604">
                  <c:v>1.9753303191255372E-3</c:v>
                </c:pt>
                <c:pt idx="605">
                  <c:v>-6.9657408218698124E-3</c:v>
                </c:pt>
                <c:pt idx="606">
                  <c:v>-1.8264437287686886E-2</c:v>
                </c:pt>
                <c:pt idx="607">
                  <c:v>-2.4221453287197298E-2</c:v>
                </c:pt>
                <c:pt idx="608">
                  <c:v>1.7039697890761931E-3</c:v>
                </c:pt>
                <c:pt idx="609">
                  <c:v>8.5053560755828372E-3</c:v>
                </c:pt>
                <c:pt idx="610">
                  <c:v>5.7439824945294989E-3</c:v>
                </c:pt>
                <c:pt idx="611">
                  <c:v>-3.8981053394978407E-3</c:v>
                </c:pt>
                <c:pt idx="612">
                  <c:v>-1.0784492173279963E-2</c:v>
                </c:pt>
                <c:pt idx="613">
                  <c:v>-1.3340080040480139E-2</c:v>
                </c:pt>
                <c:pt idx="614">
                  <c:v>-7.3663107837195789E-3</c:v>
                </c:pt>
                <c:pt idx="615">
                  <c:v>-1.3996524353012962E-2</c:v>
                </c:pt>
                <c:pt idx="616">
                  <c:v>-2.524651074167585E-3</c:v>
                </c:pt>
                <c:pt idx="617">
                  <c:v>0</c:v>
                </c:pt>
                <c:pt idx="618">
                  <c:v>-1.2082139446036299E-2</c:v>
                </c:pt>
                <c:pt idx="619">
                  <c:v>-2.9003722144341584E-3</c:v>
                </c:pt>
                <c:pt idx="620">
                  <c:v>-1.02293110971058E-2</c:v>
                </c:pt>
                <c:pt idx="621">
                  <c:v>2.4490595611290837E-4</c:v>
                </c:pt>
                <c:pt idx="622">
                  <c:v>7.345379756133392E-3</c:v>
                </c:pt>
                <c:pt idx="623">
                  <c:v>2.8195031840940357E-3</c:v>
                </c:pt>
                <c:pt idx="624">
                  <c:v>6.835038053226025E-3</c:v>
                </c:pt>
                <c:pt idx="625">
                  <c:v>-2.2580645161290314E-2</c:v>
                </c:pt>
                <c:pt idx="626">
                  <c:v>-4.9258657209004485E-3</c:v>
                </c:pt>
                <c:pt idx="627">
                  <c:v>4.1582099896044925E-3</c:v>
                </c:pt>
                <c:pt idx="628">
                  <c:v>9.2186344589598457E-3</c:v>
                </c:pt>
                <c:pt idx="629">
                  <c:v>-2.1834701055099642E-2</c:v>
                </c:pt>
                <c:pt idx="630">
                  <c:v>2.4968789013732834E-3</c:v>
                </c:pt>
                <c:pt idx="631">
                  <c:v>1.7036114570361083E-2</c:v>
                </c:pt>
                <c:pt idx="632">
                  <c:v>-2.1550668560513186E-3</c:v>
                </c:pt>
                <c:pt idx="633">
                  <c:v>-9.8169145437583386E-4</c:v>
                </c:pt>
                <c:pt idx="634">
                  <c:v>6.5346631946151057E-3</c:v>
                </c:pt>
                <c:pt idx="635">
                  <c:v>3.7586644537732196E-3</c:v>
                </c:pt>
                <c:pt idx="636">
                  <c:v>9.6775762291494878E-3</c:v>
                </c:pt>
                <c:pt idx="637">
                  <c:v>1.3004527502166545E-3</c:v>
                </c:pt>
                <c:pt idx="638">
                  <c:v>2.4532204531243413E-3</c:v>
                </c:pt>
                <c:pt idx="639">
                  <c:v>-1.0508637236084441E-2</c:v>
                </c:pt>
                <c:pt idx="640">
                  <c:v>-2.0852528975316754E-3</c:v>
                </c:pt>
                <c:pt idx="641">
                  <c:v>1.7688793857517673E-2</c:v>
                </c:pt>
                <c:pt idx="642">
                  <c:v>-2.4830484194440926E-3</c:v>
                </c:pt>
                <c:pt idx="643">
                  <c:v>-2.010531354715251E-3</c:v>
                </c:pt>
                <c:pt idx="644">
                  <c:v>-6.5234075211050716E-3</c:v>
                </c:pt>
                <c:pt idx="645">
                  <c:v>1.1249517188103438E-2</c:v>
                </c:pt>
                <c:pt idx="646">
                  <c:v>-1.1554070183814694E-2</c:v>
                </c:pt>
                <c:pt idx="647">
                  <c:v>1.294498381877026E-2</c:v>
                </c:pt>
                <c:pt idx="648">
                  <c:v>-1.2684182919269451E-2</c:v>
                </c:pt>
                <c:pt idx="649">
                  <c:v>-1.4344361265394826E-2</c:v>
                </c:pt>
                <c:pt idx="650">
                  <c:v>3.1850254802037298E-3</c:v>
                </c:pt>
                <c:pt idx="651">
                  <c:v>2.1491720803008731E-3</c:v>
                </c:pt>
                <c:pt idx="652">
                  <c:v>4.4353462981918659E-3</c:v>
                </c:pt>
                <c:pt idx="653">
                  <c:v>1.5042701863354008E-2</c:v>
                </c:pt>
                <c:pt idx="654">
                  <c:v>-5.4020460847117096E-3</c:v>
                </c:pt>
                <c:pt idx="655">
                  <c:v>6.4407594328285264E-3</c:v>
                </c:pt>
                <c:pt idx="656">
                  <c:v>-1.2273747552414123E-2</c:v>
                </c:pt>
                <c:pt idx="657">
                  <c:v>1.7744898945943409E-2</c:v>
                </c:pt>
                <c:pt idx="658">
                  <c:v>9.074065276260139E-3</c:v>
                </c:pt>
                <c:pt idx="659">
                  <c:v>7.7683615819209304E-3</c:v>
                </c:pt>
                <c:pt idx="660">
                  <c:v>2.9432375613174279E-3</c:v>
                </c:pt>
                <c:pt idx="661">
                  <c:v>-1.0573877398919369E-2</c:v>
                </c:pt>
                <c:pt idx="662">
                  <c:v>-4.2370886493103234E-3</c:v>
                </c:pt>
                <c:pt idx="663">
                  <c:v>7.2809796227129714E-3</c:v>
                </c:pt>
                <c:pt idx="664">
                  <c:v>4.6937338652855692E-5</c:v>
                </c:pt>
                <c:pt idx="665">
                  <c:v>2.0182108326293382E-3</c:v>
                </c:pt>
                <c:pt idx="666">
                  <c:v>-1.8502037566162428E-2</c:v>
                </c:pt>
                <c:pt idx="667">
                  <c:v>2.8156915147466042E-3</c:v>
                </c:pt>
                <c:pt idx="668">
                  <c:v>-9.2799695426640117E-3</c:v>
                </c:pt>
                <c:pt idx="669">
                  <c:v>-1.4698818330291104E-2</c:v>
                </c:pt>
                <c:pt idx="670">
                  <c:v>-1.8038221528861376E-3</c:v>
                </c:pt>
                <c:pt idx="671">
                  <c:v>-2.5445665445665483E-2</c:v>
                </c:pt>
                <c:pt idx="672">
                  <c:v>1.0023053021950487E-2</c:v>
                </c:pt>
                <c:pt idx="673">
                  <c:v>1.2106777810856395E-2</c:v>
                </c:pt>
                <c:pt idx="674">
                  <c:v>-3.9219531326592846E-4</c:v>
                </c:pt>
                <c:pt idx="675">
                  <c:v>-1.3487003433055419E-2</c:v>
                </c:pt>
                <c:pt idx="676">
                  <c:v>-1.2776534924185897E-2</c:v>
                </c:pt>
                <c:pt idx="677">
                  <c:v>-1.7625138483232084E-3</c:v>
                </c:pt>
                <c:pt idx="678">
                  <c:v>-3.3294657720829311E-2</c:v>
                </c:pt>
                <c:pt idx="679">
                  <c:v>2.8179303866826284E-3</c:v>
                </c:pt>
                <c:pt idx="680">
                  <c:v>9.5228183379300231E-3</c:v>
                </c:pt>
                <c:pt idx="681">
                  <c:v>-3.9690721649485059E-3</c:v>
                </c:pt>
                <c:pt idx="682">
                  <c:v>-6.5724783936240844E-3</c:v>
                </c:pt>
                <c:pt idx="683">
                  <c:v>2.8651802458844705E-3</c:v>
                </c:pt>
                <c:pt idx="684">
                  <c:v>5.1945353488130489E-3</c:v>
                </c:pt>
                <c:pt idx="685">
                  <c:v>1.5451397860575729E-2</c:v>
                </c:pt>
                <c:pt idx="686">
                  <c:v>5.5979643765910253E-4</c:v>
                </c:pt>
                <c:pt idx="687">
                  <c:v>-9.2060424190020963E-3</c:v>
                </c:pt>
                <c:pt idx="688">
                  <c:v>-6.108829568788489E-3</c:v>
                </c:pt>
                <c:pt idx="689">
                  <c:v>2.840762357316166E-3</c:v>
                </c:pt>
                <c:pt idx="690">
                  <c:v>2.1889163576431808E-2</c:v>
                </c:pt>
                <c:pt idx="691">
                  <c:v>-4.1328562068443792E-3</c:v>
                </c:pt>
                <c:pt idx="692">
                  <c:v>-1.4221367478111252E-2</c:v>
                </c:pt>
                <c:pt idx="693">
                  <c:v>-1.1756853886435938E-2</c:v>
                </c:pt>
                <c:pt idx="694">
                  <c:v>-2.8728765130656142E-2</c:v>
                </c:pt>
                <c:pt idx="695">
                  <c:v>4.8673513050919801E-3</c:v>
                </c:pt>
                <c:pt idx="696">
                  <c:v>-1.8523447064459565E-2</c:v>
                </c:pt>
                <c:pt idx="697">
                  <c:v>-1.6812191550517896E-2</c:v>
                </c:pt>
                <c:pt idx="698">
                  <c:v>-2.7028517844337834E-2</c:v>
                </c:pt>
                <c:pt idx="699">
                  <c:v>-1.519360507965292E-2</c:v>
                </c:pt>
                <c:pt idx="700">
                  <c:v>8.1745437798629184E-3</c:v>
                </c:pt>
                <c:pt idx="701">
                  <c:v>-1.7815337178096299E-2</c:v>
                </c:pt>
                <c:pt idx="702">
                  <c:v>-2.3952095808383263E-2</c:v>
                </c:pt>
                <c:pt idx="703">
                  <c:v>2.7994520221575276E-3</c:v>
                </c:pt>
                <c:pt idx="704">
                  <c:v>-4.4547398431931569E-3</c:v>
                </c:pt>
                <c:pt idx="705">
                  <c:v>6.3242049997015316E-3</c:v>
                </c:pt>
                <c:pt idx="706">
                  <c:v>1.061243848935804E-2</c:v>
                </c:pt>
                <c:pt idx="707">
                  <c:v>1.759943681802249E-4</c:v>
                </c:pt>
                <c:pt idx="708">
                  <c:v>-1.7654994427825792E-2</c:v>
                </c:pt>
                <c:pt idx="709">
                  <c:v>-1.433006926200028E-3</c:v>
                </c:pt>
                <c:pt idx="710">
                  <c:v>7.2949055249940135E-3</c:v>
                </c:pt>
                <c:pt idx="711">
                  <c:v>-7.776326724444985E-3</c:v>
                </c:pt>
                <c:pt idx="712">
                  <c:v>-1.9623093030212389E-2</c:v>
                </c:pt>
                <c:pt idx="713">
                  <c:v>1.5622139500823837E-2</c:v>
                </c:pt>
                <c:pt idx="714">
                  <c:v>-5.4677642251997633E-3</c:v>
                </c:pt>
                <c:pt idx="715">
                  <c:v>-5.3165780570325269E-3</c:v>
                </c:pt>
                <c:pt idx="716">
                  <c:v>5.4664723032072044E-4</c:v>
                </c:pt>
                <c:pt idx="717">
                  <c:v>1.4569295210344235E-2</c:v>
                </c:pt>
                <c:pt idx="718">
                  <c:v>3.9490217196194374E-3</c:v>
                </c:pt>
                <c:pt idx="719">
                  <c:v>-4.2910781333810053E-3</c:v>
                </c:pt>
                <c:pt idx="720">
                  <c:v>9.8162446878554792E-3</c:v>
                </c:pt>
                <c:pt idx="721">
                  <c:v>3.0051567779029061E-2</c:v>
                </c:pt>
                <c:pt idx="722">
                  <c:v>1.9564967199907961E-2</c:v>
                </c:pt>
                <c:pt idx="723">
                  <c:v>9.5947623885313717E-3</c:v>
                </c:pt>
                <c:pt idx="724">
                  <c:v>-1.5205724508050083E-2</c:v>
                </c:pt>
                <c:pt idx="725">
                  <c:v>5.2282016348773885E-2</c:v>
                </c:pt>
                <c:pt idx="726">
                  <c:v>-1.62917408426391E-2</c:v>
                </c:pt>
                <c:pt idx="727">
                  <c:v>-4.8258842884562406E-3</c:v>
                </c:pt>
                <c:pt idx="728">
                  <c:v>-9.3679396043422538E-3</c:v>
                </c:pt>
                <c:pt idx="729">
                  <c:v>2.286254658730592E-2</c:v>
                </c:pt>
                <c:pt idx="730">
                  <c:v>6.1453121601043915E-3</c:v>
                </c:pt>
                <c:pt idx="731">
                  <c:v>-1.9458407653640312E-2</c:v>
                </c:pt>
                <c:pt idx="732">
                  <c:v>4.0240339562316839E-3</c:v>
                </c:pt>
                <c:pt idx="733">
                  <c:v>7.9060063687274966E-3</c:v>
                </c:pt>
                <c:pt idx="734">
                  <c:v>-4.0854123542869592E-3</c:v>
                </c:pt>
                <c:pt idx="735">
                  <c:v>-1.6627468139802114E-2</c:v>
                </c:pt>
                <c:pt idx="736">
                  <c:v>-9.7335780632960677E-3</c:v>
                </c:pt>
                <c:pt idx="737">
                  <c:v>-5.7290496517635467E-3</c:v>
                </c:pt>
                <c:pt idx="738">
                  <c:v>6.2139871200985884E-4</c:v>
                </c:pt>
                <c:pt idx="739">
                  <c:v>-6.8875966804042166E-3</c:v>
                </c:pt>
                <c:pt idx="740">
                  <c:v>1.0516741515547691E-2</c:v>
                </c:pt>
                <c:pt idx="741">
                  <c:v>-1.2826282628262834E-2</c:v>
                </c:pt>
                <c:pt idx="742">
                  <c:v>-2.3706405288351932E-2</c:v>
                </c:pt>
                <c:pt idx="743">
                  <c:v>-9.9229512024281378E-3</c:v>
                </c:pt>
                <c:pt idx="744">
                  <c:v>1.9042565735172677E-2</c:v>
                </c:pt>
                <c:pt idx="745">
                  <c:v>-7.6366792016198627E-3</c:v>
                </c:pt>
                <c:pt idx="746">
                  <c:v>3.2763947997434879E-2</c:v>
                </c:pt>
                <c:pt idx="747">
                  <c:v>7.112616426756934E-3</c:v>
                </c:pt>
                <c:pt idx="748">
                  <c:v>-1.5806288885152141E-2</c:v>
                </c:pt>
                <c:pt idx="749">
                  <c:v>-1.1276268580215215E-2</c:v>
                </c:pt>
                <c:pt idx="750">
                  <c:v>3.686423593110917E-3</c:v>
                </c:pt>
                <c:pt idx="751">
                  <c:v>-1.5954088952654238E-2</c:v>
                </c:pt>
                <c:pt idx="752">
                  <c:v>3.3183647285239384E-2</c:v>
                </c:pt>
                <c:pt idx="753">
                  <c:v>-1.3377737638293094E-2</c:v>
                </c:pt>
                <c:pt idx="754">
                  <c:v>9.7259568625208369E-3</c:v>
                </c:pt>
                <c:pt idx="755">
                  <c:v>2.0567737548869598E-2</c:v>
                </c:pt>
                <c:pt idx="756">
                  <c:v>-1.221407950255379E-3</c:v>
                </c:pt>
                <c:pt idx="757">
                  <c:v>-1.3451917732073462E-2</c:v>
                </c:pt>
                <c:pt idx="758">
                  <c:v>-3.4933513635337851E-3</c:v>
                </c:pt>
                <c:pt idx="759">
                  <c:v>5.3714802668776915E-3</c:v>
                </c:pt>
                <c:pt idx="760">
                  <c:v>1.2428997244249524E-2</c:v>
                </c:pt>
                <c:pt idx="761">
                  <c:v>1.1109876680368215E-3</c:v>
                </c:pt>
                <c:pt idx="762">
                  <c:v>-1.9087781600266328E-2</c:v>
                </c:pt>
                <c:pt idx="763">
                  <c:v>9.0507976015384421E-4</c:v>
                </c:pt>
                <c:pt idx="764">
                  <c:v>-9.0426133152480739E-3</c:v>
                </c:pt>
                <c:pt idx="765">
                  <c:v>-2.9941827306946504E-2</c:v>
                </c:pt>
                <c:pt idx="766">
                  <c:v>-9.3479922394026898E-3</c:v>
                </c:pt>
                <c:pt idx="767">
                  <c:v>-1.9525222551928737E-2</c:v>
                </c:pt>
                <c:pt idx="768">
                  <c:v>8.474063313358789E-3</c:v>
                </c:pt>
                <c:pt idx="769">
                  <c:v>2.7249264750014955E-2</c:v>
                </c:pt>
                <c:pt idx="770">
                  <c:v>2.6059012562080094E-2</c:v>
                </c:pt>
                <c:pt idx="771">
                  <c:v>-7.6305449575764664E-3</c:v>
                </c:pt>
                <c:pt idx="772">
                  <c:v>-6.1398978596432065E-3</c:v>
                </c:pt>
                <c:pt idx="773">
                  <c:v>9.8729792147806469E-3</c:v>
                </c:pt>
                <c:pt idx="774">
                  <c:v>1.5036304385112317E-2</c:v>
                </c:pt>
                <c:pt idx="775">
                  <c:v>-5.5198828433028601E-3</c:v>
                </c:pt>
                <c:pt idx="776">
                  <c:v>-1.6425011327593569E-3</c:v>
                </c:pt>
                <c:pt idx="777">
                  <c:v>3.0918477335905078E-2</c:v>
                </c:pt>
                <c:pt idx="778">
                  <c:v>-1.2106537530266282E-3</c:v>
                </c:pt>
                <c:pt idx="779">
                  <c:v>-6.3911845730027358E-3</c:v>
                </c:pt>
                <c:pt idx="780">
                  <c:v>1.9962293445712834E-3</c:v>
                </c:pt>
                <c:pt idx="781">
                  <c:v>8.3563918096293266E-3</c:v>
                </c:pt>
                <c:pt idx="782">
                  <c:v>-1.3885077657647774E-2</c:v>
                </c:pt>
                <c:pt idx="783">
                  <c:v>-3.1166518254675101E-3</c:v>
                </c:pt>
                <c:pt idx="784">
                  <c:v>-1.5855292541313105E-2</c:v>
                </c:pt>
                <c:pt idx="785">
                  <c:v>-3.5171318357159324E-3</c:v>
                </c:pt>
                <c:pt idx="786">
                  <c:v>2.6357736536490924E-2</c:v>
                </c:pt>
                <c:pt idx="787">
                  <c:v>1.0594042930833639E-2</c:v>
                </c:pt>
                <c:pt idx="788">
                  <c:v>-9.8792535675070467E-4</c:v>
                </c:pt>
                <c:pt idx="789">
                  <c:v>-1.2635974068783713E-2</c:v>
                </c:pt>
                <c:pt idx="790">
                  <c:v>-3.9505898063655013E-3</c:v>
                </c:pt>
                <c:pt idx="791">
                  <c:v>1.4859505055583469E-2</c:v>
                </c:pt>
                <c:pt idx="792">
                  <c:v>-7.4861011724554703E-3</c:v>
                </c:pt>
                <c:pt idx="793">
                  <c:v>2.0409295102878415E-2</c:v>
                </c:pt>
                <c:pt idx="794">
                  <c:v>-1.869666829719005E-2</c:v>
                </c:pt>
                <c:pt idx="795">
                  <c:v>-3.7108834117973739E-3</c:v>
                </c:pt>
                <c:pt idx="796">
                  <c:v>2.4460751612185933E-2</c:v>
                </c:pt>
                <c:pt idx="797">
                  <c:v>-2.7512481007162977E-2</c:v>
                </c:pt>
                <c:pt idx="798">
                  <c:v>1.6795937726689306E-2</c:v>
                </c:pt>
                <c:pt idx="799">
                  <c:v>-2.5299089013280568E-2</c:v>
                </c:pt>
                <c:pt idx="800">
                  <c:v>-9.5715331343964813E-4</c:v>
                </c:pt>
                <c:pt idx="801">
                  <c:v>-2.085211902614994E-3</c:v>
                </c:pt>
                <c:pt idx="802">
                  <c:v>1.1746766815383818E-2</c:v>
                </c:pt>
                <c:pt idx="803">
                  <c:v>-4.3371476416410884E-2</c:v>
                </c:pt>
                <c:pt idx="804">
                  <c:v>-2.6257439607888903E-2</c:v>
                </c:pt>
                <c:pt idx="805">
                  <c:v>-7.5503355704697444E-3</c:v>
                </c:pt>
                <c:pt idx="806">
                  <c:v>8.4530853761614758E-4</c:v>
                </c:pt>
                <c:pt idx="807">
                  <c:v>-1.2065637065637066E-2</c:v>
                </c:pt>
                <c:pt idx="808">
                  <c:v>-2.7479237909134625E-3</c:v>
                </c:pt>
                <c:pt idx="809">
                  <c:v>-1.6104341436531722E-2</c:v>
                </c:pt>
                <c:pt idx="810">
                  <c:v>-5.2900174259397203E-3</c:v>
                </c:pt>
                <c:pt idx="811">
                  <c:v>-1.138709879246713E-2</c:v>
                </c:pt>
                <c:pt idx="812">
                  <c:v>3.6706537560914658E-3</c:v>
                </c:pt>
                <c:pt idx="813">
                  <c:v>8.3864051957877796E-3</c:v>
                </c:pt>
                <c:pt idx="814">
                  <c:v>2.0197598799399814E-2</c:v>
                </c:pt>
                <c:pt idx="815">
                  <c:v>-8.8262335274287319E-3</c:v>
                </c:pt>
                <c:pt idx="816">
                  <c:v>-4.081380248593139E-3</c:v>
                </c:pt>
                <c:pt idx="817">
                  <c:v>9.9348028562556089E-4</c:v>
                </c:pt>
                <c:pt idx="818">
                  <c:v>-3.7838843744185447E-3</c:v>
                </c:pt>
                <c:pt idx="819">
                  <c:v>-3.7359900373600419E-4</c:v>
                </c:pt>
                <c:pt idx="820">
                  <c:v>-2.1365391802665869E-2</c:v>
                </c:pt>
                <c:pt idx="821">
                  <c:v>5.4738718095600864E-3</c:v>
                </c:pt>
                <c:pt idx="822">
                  <c:v>-1.2344115971386901E-2</c:v>
                </c:pt>
                <c:pt idx="823">
                  <c:v>-1.2947058069478337E-2</c:v>
                </c:pt>
                <c:pt idx="824">
                  <c:v>-2.1688311688311711E-2</c:v>
                </c:pt>
                <c:pt idx="825">
                  <c:v>1.6394530731448288E-2</c:v>
                </c:pt>
                <c:pt idx="826">
                  <c:v>-1.6325997518448377E-3</c:v>
                </c:pt>
                <c:pt idx="827">
                  <c:v>1.6287284144427063E-2</c:v>
                </c:pt>
                <c:pt idx="828">
                  <c:v>4.0548368410889841E-3</c:v>
                </c:pt>
                <c:pt idx="829">
                  <c:v>-2.326923076923074E-2</c:v>
                </c:pt>
                <c:pt idx="830">
                  <c:v>-1.4701056638445948E-2</c:v>
                </c:pt>
                <c:pt idx="831">
                  <c:v>1.0790648104975719E-2</c:v>
                </c:pt>
                <c:pt idx="832">
                  <c:v>-1.0280065897858334E-2</c:v>
                </c:pt>
                <c:pt idx="833">
                  <c:v>-1.478127704907117E-2</c:v>
                </c:pt>
                <c:pt idx="834">
                  <c:v>-2.1626005271338324E-3</c:v>
                </c:pt>
                <c:pt idx="835">
                  <c:v>-2.167287504232937E-3</c:v>
                </c:pt>
                <c:pt idx="836">
                  <c:v>-1.3710717437046155E-2</c:v>
                </c:pt>
                <c:pt idx="837">
                  <c:v>-4.1979216846742386E-3</c:v>
                </c:pt>
                <c:pt idx="838">
                  <c:v>-6.2888735314443446E-3</c:v>
                </c:pt>
                <c:pt idx="839">
                  <c:v>-3.5607483135127647E-2</c:v>
                </c:pt>
                <c:pt idx="840">
                  <c:v>7.2834787625298868E-3</c:v>
                </c:pt>
                <c:pt idx="841">
                  <c:v>-1.0882016036655284E-2</c:v>
                </c:pt>
                <c:pt idx="842">
                  <c:v>1.838448176027788E-2</c:v>
                </c:pt>
                <c:pt idx="843">
                  <c:v>-1.5636105188343914E-2</c:v>
                </c:pt>
                <c:pt idx="844">
                  <c:v>-2.1588447653429668E-2</c:v>
                </c:pt>
                <c:pt idx="845">
                  <c:v>1.6825326544166491E-2</c:v>
                </c:pt>
                <c:pt idx="846">
                  <c:v>-2.1699687930909217E-2</c:v>
                </c:pt>
                <c:pt idx="847">
                  <c:v>-8.4569732937686548E-3</c:v>
                </c:pt>
                <c:pt idx="848">
                  <c:v>8.6039203950322145E-3</c:v>
                </c:pt>
                <c:pt idx="849">
                  <c:v>-4.3023514576070948E-3</c:v>
                </c:pt>
                <c:pt idx="850">
                  <c:v>-2.2573195261863976E-2</c:v>
                </c:pt>
                <c:pt idx="851">
                  <c:v>2.8963414634148163E-3</c:v>
                </c:pt>
                <c:pt idx="852">
                  <c:v>-2.3559811521507998E-3</c:v>
                </c:pt>
                <c:pt idx="853">
                  <c:v>1.805439171173898E-2</c:v>
                </c:pt>
                <c:pt idx="854">
                  <c:v>8.530380125710977E-3</c:v>
                </c:pt>
                <c:pt idx="855">
                  <c:v>4.2365336103279479E-2</c:v>
                </c:pt>
                <c:pt idx="856">
                  <c:v>-2.2492704107053858E-2</c:v>
                </c:pt>
                <c:pt idx="857">
                  <c:v>0</c:v>
                </c:pt>
                <c:pt idx="858">
                  <c:v>-1.4417825675380601E-2</c:v>
                </c:pt>
                <c:pt idx="859">
                  <c:v>1.6328038418913986E-2</c:v>
                </c:pt>
                <c:pt idx="860">
                  <c:v>1.1703983716196461E-2</c:v>
                </c:pt>
                <c:pt idx="861">
                  <c:v>1.070633038729618E-2</c:v>
                </c:pt>
                <c:pt idx="862">
                  <c:v>-1.0450732262192513E-2</c:v>
                </c:pt>
                <c:pt idx="863">
                  <c:v>-9.9863495940799366E-3</c:v>
                </c:pt>
                <c:pt idx="864">
                  <c:v>-2.7793904208998636E-2</c:v>
                </c:pt>
                <c:pt idx="865">
                  <c:v>2.396058819138619E-2</c:v>
                </c:pt>
                <c:pt idx="866">
                  <c:v>7.3625892987315266E-3</c:v>
                </c:pt>
                <c:pt idx="867">
                  <c:v>-3.2563861350313962E-3</c:v>
                </c:pt>
                <c:pt idx="868">
                  <c:v>1.321330042108315E-2</c:v>
                </c:pt>
                <c:pt idx="869">
                  <c:v>1.0748065348237317E-2</c:v>
                </c:pt>
                <c:pt idx="870">
                  <c:v>1.382390472139507E-2</c:v>
                </c:pt>
                <c:pt idx="871">
                  <c:v>-2.2166282078176267E-2</c:v>
                </c:pt>
                <c:pt idx="872">
                  <c:v>-9.5823798627002535E-3</c:v>
                </c:pt>
                <c:pt idx="873">
                  <c:v>3.0324909747291517E-3</c:v>
                </c:pt>
                <c:pt idx="874">
                  <c:v>5.2548229196661264E-3</c:v>
                </c:pt>
                <c:pt idx="875">
                  <c:v>1.3533834586466066E-2</c:v>
                </c:pt>
                <c:pt idx="876">
                  <c:v>-1.3635721350854731E-2</c:v>
                </c:pt>
                <c:pt idx="877">
                  <c:v>2.0772150992048708E-3</c:v>
                </c:pt>
                <c:pt idx="878">
                  <c:v>3.0879199428162925E-2</c:v>
                </c:pt>
                <c:pt idx="879">
                  <c:v>9.9154070170573202E-3</c:v>
                </c:pt>
                <c:pt idx="880">
                  <c:v>1.235839340885673E-2</c:v>
                </c:pt>
                <c:pt idx="881">
                  <c:v>6.7819599864491883E-5</c:v>
                </c:pt>
                <c:pt idx="882">
                  <c:v>1.0986030109860332E-2</c:v>
                </c:pt>
                <c:pt idx="883">
                  <c:v>2.5288435739200307E-2</c:v>
                </c:pt>
                <c:pt idx="884">
                  <c:v>1.8318613019300042E-3</c:v>
                </c:pt>
                <c:pt idx="885">
                  <c:v>1.7240253379481582E-2</c:v>
                </c:pt>
                <c:pt idx="886">
                  <c:v>-1.1812287346729173E-2</c:v>
                </c:pt>
                <c:pt idx="887">
                  <c:v>8.5103618527902439E-3</c:v>
                </c:pt>
                <c:pt idx="888">
                  <c:v>1.2818861118268363E-2</c:v>
                </c:pt>
                <c:pt idx="889">
                  <c:v>-1.0048972842332788E-2</c:v>
                </c:pt>
                <c:pt idx="890">
                  <c:v>1.5483456472855744E-2</c:v>
                </c:pt>
                <c:pt idx="891">
                  <c:v>-8.9839301531065164E-3</c:v>
                </c:pt>
                <c:pt idx="892">
                  <c:v>-1.0852911133809939E-2</c:v>
                </c:pt>
                <c:pt idx="893">
                  <c:v>2.5816445075507965E-4</c:v>
                </c:pt>
                <c:pt idx="894">
                  <c:v>2.710027100271014E-2</c:v>
                </c:pt>
                <c:pt idx="895">
                  <c:v>4.6488252293000422E-3</c:v>
                </c:pt>
                <c:pt idx="896">
                  <c:v>1.3256628314157108E-2</c:v>
                </c:pt>
                <c:pt idx="897">
                  <c:v>-9.8123920019748418E-3</c:v>
                </c:pt>
                <c:pt idx="898">
                  <c:v>1.3711436584605725E-3</c:v>
                </c:pt>
                <c:pt idx="899">
                  <c:v>-1.5995518765170805E-2</c:v>
                </c:pt>
                <c:pt idx="900">
                  <c:v>-7.5901328273244063E-3</c:v>
                </c:pt>
                <c:pt idx="901">
                  <c:v>1.1918419375398372E-2</c:v>
                </c:pt>
                <c:pt idx="902">
                  <c:v>-2.5193676387239694E-4</c:v>
                </c:pt>
                <c:pt idx="903">
                  <c:v>2.0475020475020478E-2</c:v>
                </c:pt>
                <c:pt idx="904">
                  <c:v>-2.5311766884800382E-3</c:v>
                </c:pt>
                <c:pt idx="905">
                  <c:v>-2.4138144457509832E-3</c:v>
                </c:pt>
                <c:pt idx="906">
                  <c:v>1.7992306737808696E-2</c:v>
                </c:pt>
                <c:pt idx="907">
                  <c:v>-8.6543149683082389E-3</c:v>
                </c:pt>
                <c:pt idx="908">
                  <c:v>-2.0718062215664603E-2</c:v>
                </c:pt>
                <c:pt idx="909">
                  <c:v>1.8331345344968396E-2</c:v>
                </c:pt>
                <c:pt idx="910">
                  <c:v>6.0415510757659188E-3</c:v>
                </c:pt>
                <c:pt idx="911">
                  <c:v>-2.9658680066180547E-2</c:v>
                </c:pt>
                <c:pt idx="912">
                  <c:v>9.4726870855702991E-4</c:v>
                </c:pt>
                <c:pt idx="913">
                  <c:v>-5.2996845425867722E-3</c:v>
                </c:pt>
                <c:pt idx="914">
                  <c:v>2.4483064823037002E-2</c:v>
                </c:pt>
                <c:pt idx="915">
                  <c:v>-9.7820703318475255E-3</c:v>
                </c:pt>
                <c:pt idx="916">
                  <c:v>-7.6903838939601709E-3</c:v>
                </c:pt>
                <c:pt idx="917">
                  <c:v>-1.2349568395186238E-2</c:v>
                </c:pt>
                <c:pt idx="918">
                  <c:v>-1.4290271132376454E-2</c:v>
                </c:pt>
                <c:pt idx="919">
                  <c:v>-9.3845058572259964E-3</c:v>
                </c:pt>
                <c:pt idx="920">
                  <c:v>-1.9600156801254411E-2</c:v>
                </c:pt>
                <c:pt idx="921">
                  <c:v>-1.3927762228441979E-2</c:v>
                </c:pt>
                <c:pt idx="922">
                  <c:v>-2.1963911603703454E-2</c:v>
                </c:pt>
                <c:pt idx="923">
                  <c:v>-2.0453289110005584E-2</c:v>
                </c:pt>
                <c:pt idx="924">
                  <c:v>-2.1303611738148858E-2</c:v>
                </c:pt>
                <c:pt idx="925">
                  <c:v>-6.8473403488540936E-3</c:v>
                </c:pt>
                <c:pt idx="926">
                  <c:v>-9.2169243051018358E-3</c:v>
                </c:pt>
                <c:pt idx="927">
                  <c:v>-1.6627600351596911E-2</c:v>
                </c:pt>
                <c:pt idx="928">
                  <c:v>6.9273743016760288E-3</c:v>
                </c:pt>
                <c:pt idx="929">
                  <c:v>-3.6987720076942865E-4</c:v>
                </c:pt>
                <c:pt idx="930">
                  <c:v>-5.6242137201212971E-3</c:v>
                </c:pt>
                <c:pt idx="931">
                  <c:v>-6.1769740269406303E-3</c:v>
                </c:pt>
                <c:pt idx="932">
                  <c:v>2.2465178972592485E-2</c:v>
                </c:pt>
                <c:pt idx="933">
                  <c:v>3.5886919584005353E-3</c:v>
                </c:pt>
                <c:pt idx="934">
                  <c:v>6.9327884404874014E-3</c:v>
                </c:pt>
                <c:pt idx="935">
                  <c:v>-3.551239310044918E-2</c:v>
                </c:pt>
                <c:pt idx="936">
                  <c:v>-8.7917042380524189E-3</c:v>
                </c:pt>
                <c:pt idx="937">
                  <c:v>-2.9717231445682675E-2</c:v>
                </c:pt>
                <c:pt idx="938">
                  <c:v>-5.6254394874599494E-3</c:v>
                </c:pt>
                <c:pt idx="939">
                  <c:v>5.5001178596684437E-3</c:v>
                </c:pt>
                <c:pt idx="940">
                  <c:v>-8.9864812065328249E-3</c:v>
                </c:pt>
                <c:pt idx="941">
                  <c:v>7.4909320296483433E-3</c:v>
                </c:pt>
                <c:pt idx="942">
                  <c:v>-1.3853017140173719E-2</c:v>
                </c:pt>
                <c:pt idx="943">
                  <c:v>8.2539682539683034E-3</c:v>
                </c:pt>
                <c:pt idx="944">
                  <c:v>-2.1174433249370371E-2</c:v>
                </c:pt>
                <c:pt idx="945">
                  <c:v>-3.2971451548049588E-3</c:v>
                </c:pt>
                <c:pt idx="946">
                  <c:v>6.1319993545264255E-3</c:v>
                </c:pt>
                <c:pt idx="947">
                  <c:v>7.6984763432236866E-3</c:v>
                </c:pt>
                <c:pt idx="948">
                  <c:v>-1.4324367340441877E-3</c:v>
                </c:pt>
                <c:pt idx="949">
                  <c:v>2.7175645521198458E-2</c:v>
                </c:pt>
                <c:pt idx="950">
                  <c:v>-5.4309876638993617E-3</c:v>
                </c:pt>
                <c:pt idx="951">
                  <c:v>-5.9286995865511418E-3</c:v>
                </c:pt>
                <c:pt idx="952">
                  <c:v>-3.7903162520599644E-2</c:v>
                </c:pt>
                <c:pt idx="953">
                  <c:v>2.4796084828711307E-2</c:v>
                </c:pt>
                <c:pt idx="954">
                  <c:v>-4.7755491881565923E-3</c:v>
                </c:pt>
                <c:pt idx="955">
                  <c:v>-1.599488163787588E-2</c:v>
                </c:pt>
                <c:pt idx="956">
                  <c:v>1.8693107932379691E-2</c:v>
                </c:pt>
                <c:pt idx="957">
                  <c:v>1.7392691878091532E-2</c:v>
                </c:pt>
                <c:pt idx="958">
                  <c:v>1.8036386449184754E-3</c:v>
                </c:pt>
                <c:pt idx="959">
                  <c:v>-1.9569471624266144E-2</c:v>
                </c:pt>
                <c:pt idx="960">
                  <c:v>6.1477045908183313E-3</c:v>
                </c:pt>
                <c:pt idx="961">
                  <c:v>-8.3320107919377662E-3</c:v>
                </c:pt>
                <c:pt idx="962">
                  <c:v>-1.5843802512603058E-2</c:v>
                </c:pt>
                <c:pt idx="963">
                  <c:v>1.4716643629563398E-2</c:v>
                </c:pt>
                <c:pt idx="964">
                  <c:v>-2.9166666666666671E-2</c:v>
                </c:pt>
                <c:pt idx="965">
                  <c:v>8.1710135358204778E-3</c:v>
                </c:pt>
                <c:pt idx="966">
                  <c:v>6.6311911584116907E-3</c:v>
                </c:pt>
                <c:pt idx="967">
                  <c:v>2.8789850357839999E-2</c:v>
                </c:pt>
                <c:pt idx="968">
                  <c:v>4.8221343873517744E-3</c:v>
                </c:pt>
                <c:pt idx="969">
                  <c:v>-2.8243253874596832E-2</c:v>
                </c:pt>
                <c:pt idx="970">
                  <c:v>-1.1253238341968917E-2</c:v>
                </c:pt>
                <c:pt idx="971">
                  <c:v>1.2281994595922843E-3</c:v>
                </c:pt>
                <c:pt idx="972">
                  <c:v>5.2338894340857095E-3</c:v>
                </c:pt>
                <c:pt idx="973">
                  <c:v>1.3911487146111241E-2</c:v>
                </c:pt>
                <c:pt idx="974">
                  <c:v>-2.6879563507983588E-2</c:v>
                </c:pt>
                <c:pt idx="975">
                  <c:v>-4.2051451187335512E-3</c:v>
                </c:pt>
                <c:pt idx="976">
                  <c:v>1.3745135381303394E-2</c:v>
                </c:pt>
                <c:pt idx="977">
                  <c:v>2.172670097198396E-2</c:v>
                </c:pt>
                <c:pt idx="978">
                  <c:v>2.6061235910144621E-2</c:v>
                </c:pt>
                <c:pt idx="979">
                  <c:v>-5.0642773665757028E-3</c:v>
                </c:pt>
                <c:pt idx="980">
                  <c:v>1.5505090054816005E-2</c:v>
                </c:pt>
                <c:pt idx="981">
                  <c:v>2.4059222702035813E-2</c:v>
                </c:pt>
                <c:pt idx="982">
                  <c:v>1.6942771084337348E-2</c:v>
                </c:pt>
                <c:pt idx="983">
                  <c:v>1.0292484265086903E-2</c:v>
                </c:pt>
                <c:pt idx="984">
                  <c:v>1.1800058633831821E-2</c:v>
                </c:pt>
                <c:pt idx="985">
                  <c:v>-1.0575878304962026E-2</c:v>
                </c:pt>
                <c:pt idx="986">
                  <c:v>-1.9767186470459164E-2</c:v>
                </c:pt>
                <c:pt idx="987">
                  <c:v>1.3966689073119761E-2</c:v>
                </c:pt>
                <c:pt idx="988">
                  <c:v>-4.4932233352974757E-3</c:v>
                </c:pt>
                <c:pt idx="989">
                  <c:v>-7.3991860895444522E-5</c:v>
                </c:pt>
                <c:pt idx="990">
                  <c:v>-7.6957229539735992E-3</c:v>
                </c:pt>
                <c:pt idx="991">
                  <c:v>-5.1454138702460685E-3</c:v>
                </c:pt>
                <c:pt idx="992">
                  <c:v>3.522974289783366E-3</c:v>
                </c:pt>
                <c:pt idx="993">
                  <c:v>-1.3818344786375817E-2</c:v>
                </c:pt>
                <c:pt idx="994">
                  <c:v>1.211845792622863E-3</c:v>
                </c:pt>
                <c:pt idx="995">
                  <c:v>3.7824343747635981E-3</c:v>
                </c:pt>
                <c:pt idx="996">
                  <c:v>-7.536362951239303E-4</c:v>
                </c:pt>
                <c:pt idx="997">
                  <c:v>-1.0030922392337374E-2</c:v>
                </c:pt>
                <c:pt idx="998">
                  <c:v>1.127533140332179E-2</c:v>
                </c:pt>
                <c:pt idx="999">
                  <c:v>2.621666415549186E-2</c:v>
                </c:pt>
                <c:pt idx="1000">
                  <c:v>-8.0017618558214897E-3</c:v>
                </c:pt>
                <c:pt idx="1001">
                  <c:v>1.7390660845112073E-2</c:v>
                </c:pt>
                <c:pt idx="1002">
                  <c:v>1.2656386383474027E-2</c:v>
                </c:pt>
                <c:pt idx="1003">
                  <c:v>-3.6417181439448304E-2</c:v>
                </c:pt>
                <c:pt idx="1004">
                  <c:v>-1.0212448751397723E-2</c:v>
                </c:pt>
                <c:pt idx="1005">
                  <c:v>-8.5103178189486033E-3</c:v>
                </c:pt>
                <c:pt idx="1006">
                  <c:v>1.1165970375996953E-2</c:v>
                </c:pt>
                <c:pt idx="1007">
                  <c:v>2.9296874999998972E-3</c:v>
                </c:pt>
                <c:pt idx="1008">
                  <c:v>6.8908695977830574E-3</c:v>
                </c:pt>
                <c:pt idx="1009">
                  <c:v>9.0753552034516013E-3</c:v>
                </c:pt>
                <c:pt idx="1010">
                  <c:v>-1.2089937338739511E-2</c:v>
                </c:pt>
                <c:pt idx="1011">
                  <c:v>-1.0073875083948917E-2</c:v>
                </c:pt>
                <c:pt idx="1012">
                  <c:v>-1.6583747927031423E-2</c:v>
                </c:pt>
                <c:pt idx="1013">
                  <c:v>-2.0695998773571228E-3</c:v>
                </c:pt>
                <c:pt idx="1014">
                  <c:v>-1.3057838543665988E-3</c:v>
                </c:pt>
                <c:pt idx="1015">
                  <c:v>2.6918935548376735E-3</c:v>
                </c:pt>
                <c:pt idx="1016">
                  <c:v>-9.8182097108230511E-3</c:v>
                </c:pt>
                <c:pt idx="1017">
                  <c:v>1.2936710821907099E-2</c:v>
                </c:pt>
                <c:pt idx="1018">
                  <c:v>1.3000917711838615E-2</c:v>
                </c:pt>
                <c:pt idx="1019">
                  <c:v>2.1742412803865283E-2</c:v>
                </c:pt>
                <c:pt idx="1020">
                  <c:v>1.0196542042263893E-2</c:v>
                </c:pt>
                <c:pt idx="1021">
                  <c:v>2.8525453481569249E-3</c:v>
                </c:pt>
                <c:pt idx="1022">
                  <c:v>9.6273065421923487E-3</c:v>
                </c:pt>
                <c:pt idx="1023">
                  <c:v>8.8131185436682719E-3</c:v>
                </c:pt>
                <c:pt idx="1024">
                  <c:v>-8.736126029359104E-3</c:v>
                </c:pt>
                <c:pt idx="1025">
                  <c:v>1.8204146500035986E-2</c:v>
                </c:pt>
                <c:pt idx="1026">
                  <c:v>2.4122029088329236E-2</c:v>
                </c:pt>
                <c:pt idx="1027">
                  <c:v>2.7710426047800486E-2</c:v>
                </c:pt>
                <c:pt idx="1028">
                  <c:v>8.0889787664310451E-4</c:v>
                </c:pt>
                <c:pt idx="1029">
                  <c:v>4.7821108641476926E-3</c:v>
                </c:pt>
                <c:pt idx="1030">
                  <c:v>6.1000134066228487E-3</c:v>
                </c:pt>
                <c:pt idx="1031">
                  <c:v>3.3313345326126288E-4</c:v>
                </c:pt>
                <c:pt idx="1032">
                  <c:v>8.8583988277608407E-3</c:v>
                </c:pt>
                <c:pt idx="1033">
                  <c:v>-1.3203934772561474E-3</c:v>
                </c:pt>
                <c:pt idx="1034">
                  <c:v>-2.3798505982680876E-3</c:v>
                </c:pt>
                <c:pt idx="1035">
                  <c:v>2.4650453912928229E-2</c:v>
                </c:pt>
                <c:pt idx="1036">
                  <c:v>2.6514906551121814E-3</c:v>
                </c:pt>
                <c:pt idx="1037">
                  <c:v>1.2254901960784168E-3</c:v>
                </c:pt>
                <c:pt idx="1038">
                  <c:v>1.2562004767119869E-2</c:v>
                </c:pt>
                <c:pt idx="1039">
                  <c:v>2.3539890571319796E-3</c:v>
                </c:pt>
                <c:pt idx="1040">
                  <c:v>4.3795620437956061E-3</c:v>
                </c:pt>
                <c:pt idx="1041">
                  <c:v>-5.6875631951468285E-4</c:v>
                </c:pt>
                <c:pt idx="1042">
                  <c:v>-1.6566550742965567E-2</c:v>
                </c:pt>
                <c:pt idx="1043">
                  <c:v>-1.2859255449116074E-4</c:v>
                </c:pt>
                <c:pt idx="1044">
                  <c:v>-1.5433091119542006E-2</c:v>
                </c:pt>
                <c:pt idx="1045">
                  <c:v>3.2003135000978422E-3</c:v>
                </c:pt>
                <c:pt idx="1046">
                  <c:v>-1.6015625000000054E-2</c:v>
                </c:pt>
                <c:pt idx="1047">
                  <c:v>1.2968109037978088E-2</c:v>
                </c:pt>
                <c:pt idx="1048">
                  <c:v>1.071195297191388E-2</c:v>
                </c:pt>
                <c:pt idx="1049">
                  <c:v>4.2005945456893966E-3</c:v>
                </c:pt>
                <c:pt idx="1050">
                  <c:v>-1.0296672887572984E-3</c:v>
                </c:pt>
                <c:pt idx="1051">
                  <c:v>6.0555305031243815E-3</c:v>
                </c:pt>
                <c:pt idx="1052">
                  <c:v>-2.689376961004027E-2</c:v>
                </c:pt>
                <c:pt idx="1053">
                  <c:v>-1.4871356188721398E-2</c:v>
                </c:pt>
                <c:pt idx="1054">
                  <c:v>-1.7366909358093603E-3</c:v>
                </c:pt>
                <c:pt idx="1055">
                  <c:v>5.08531281365018E-3</c:v>
                </c:pt>
                <c:pt idx="1056">
                  <c:v>-7.9888156580789921E-4</c:v>
                </c:pt>
                <c:pt idx="1057">
                  <c:v>-1.3591844893064108E-2</c:v>
                </c:pt>
                <c:pt idx="1058">
                  <c:v>2.161431948665945E-3</c:v>
                </c:pt>
                <c:pt idx="1059">
                  <c:v>-5.9985172204624574E-3</c:v>
                </c:pt>
                <c:pt idx="1060">
                  <c:v>-1.4442636289666366E-2</c:v>
                </c:pt>
                <c:pt idx="1061">
                  <c:v>4.88476092191268E-3</c:v>
                </c:pt>
                <c:pt idx="1062">
                  <c:v>-2.6016705463507836E-3</c:v>
                </c:pt>
                <c:pt idx="1063">
                  <c:v>1.6886326194398543E-2</c:v>
                </c:pt>
                <c:pt idx="1064">
                  <c:v>9.5180234912921914E-3</c:v>
                </c:pt>
                <c:pt idx="1065">
                  <c:v>1.0498161150116972E-2</c:v>
                </c:pt>
                <c:pt idx="1066">
                  <c:v>4.7644256220222263E-3</c:v>
                </c:pt>
                <c:pt idx="1067">
                  <c:v>-1.1393572181243346E-2</c:v>
                </c:pt>
                <c:pt idx="1068">
                  <c:v>-1.2657384584637969E-2</c:v>
                </c:pt>
                <c:pt idx="1069">
                  <c:v>-2.0039133661696233E-2</c:v>
                </c:pt>
                <c:pt idx="1070">
                  <c:v>4.0209308730377327E-2</c:v>
                </c:pt>
                <c:pt idx="1071">
                  <c:v>-1.4628011649457293E-2</c:v>
                </c:pt>
                <c:pt idx="1072">
                  <c:v>-2.6197353395581028E-3</c:v>
                </c:pt>
                <c:pt idx="1073">
                  <c:v>-4.6470905172413647E-3</c:v>
                </c:pt>
                <c:pt idx="1074">
                  <c:v>-3.5861695649232099E-3</c:v>
                </c:pt>
                <c:pt idx="1075">
                  <c:v>-7.8093168545428316E-3</c:v>
                </c:pt>
                <c:pt idx="1076">
                  <c:v>-2.5528711244952554E-2</c:v>
                </c:pt>
                <c:pt idx="1077">
                  <c:v>-1.3555274617221568E-2</c:v>
                </c:pt>
                <c:pt idx="1078">
                  <c:v>-1.8939124243503004E-2</c:v>
                </c:pt>
                <c:pt idx="1079">
                  <c:v>-1.4514841425356604E-3</c:v>
                </c:pt>
                <c:pt idx="1080">
                  <c:v>-9.1576422705137786E-3</c:v>
                </c:pt>
                <c:pt idx="1081">
                  <c:v>-9.1689283356561277E-3</c:v>
                </c:pt>
                <c:pt idx="1082">
                  <c:v>3.2573289902279958E-3</c:v>
                </c:pt>
                <c:pt idx="1083">
                  <c:v>-7.7479338842976041E-3</c:v>
                </c:pt>
                <c:pt idx="1084">
                  <c:v>1.3237153268387009E-2</c:v>
                </c:pt>
                <c:pt idx="1085">
                  <c:v>-4.9908256880734445E-3</c:v>
                </c:pt>
                <c:pt idx="1086">
                  <c:v>3.3930810651324628E-3</c:v>
                </c:pt>
                <c:pt idx="1087">
                  <c:v>-1.8010732926560233E-2</c:v>
                </c:pt>
                <c:pt idx="1088">
                  <c:v>9.4325497829015632E-3</c:v>
                </c:pt>
                <c:pt idx="1089">
                  <c:v>-5.3396618214179683E-3</c:v>
                </c:pt>
                <c:pt idx="1090">
                  <c:v>5.9648076349536451E-3</c:v>
                </c:pt>
                <c:pt idx="1091">
                  <c:v>4.891787726060073E-3</c:v>
                </c:pt>
                <c:pt idx="1092">
                  <c:v>-2.0652013571323285E-3</c:v>
                </c:pt>
                <c:pt idx="1093">
                  <c:v>3.3259423503325101E-3</c:v>
                </c:pt>
                <c:pt idx="1094">
                  <c:v>-5.0092081031308053E-3</c:v>
                </c:pt>
                <c:pt idx="1095">
                  <c:v>1.8953135411268248E-2</c:v>
                </c:pt>
                <c:pt idx="1096">
                  <c:v>1.3296519654145264E-2</c:v>
                </c:pt>
                <c:pt idx="1097">
                  <c:v>6.955399397676745E-3</c:v>
                </c:pt>
                <c:pt idx="1098">
                  <c:v>-1.6022217474898525E-2</c:v>
                </c:pt>
                <c:pt idx="1099">
                  <c:v>-1.4908090895932856E-2</c:v>
                </c:pt>
                <c:pt idx="1100">
                  <c:v>-8.889215398178137E-3</c:v>
                </c:pt>
                <c:pt idx="1101">
                  <c:v>-3.0390630790897385E-3</c:v>
                </c:pt>
                <c:pt idx="1102">
                  <c:v>6.468401486988881E-3</c:v>
                </c:pt>
                <c:pt idx="1103">
                  <c:v>-1.2041072615793716E-2</c:v>
                </c:pt>
                <c:pt idx="1104">
                  <c:v>1.6599371915657236E-2</c:v>
                </c:pt>
                <c:pt idx="1105">
                  <c:v>3.6775522212402869E-4</c:v>
                </c:pt>
                <c:pt idx="1106">
                  <c:v>-2.7571502095434162E-2</c:v>
                </c:pt>
                <c:pt idx="1107">
                  <c:v>-6.2755179192498425E-3</c:v>
                </c:pt>
                <c:pt idx="1108">
                  <c:v>-3.5532222475842666E-2</c:v>
                </c:pt>
                <c:pt idx="1109">
                  <c:v>-1.0097822656989596E-2</c:v>
                </c:pt>
                <c:pt idx="1110">
                  <c:v>-7.2521517373287442E-3</c:v>
                </c:pt>
                <c:pt idx="1111">
                  <c:v>-8.1881672954964759E-3</c:v>
                </c:pt>
                <c:pt idx="1112">
                  <c:v>-4.2088223391339216E-3</c:v>
                </c:pt>
                <c:pt idx="1113">
                  <c:v>-5.1207022677395384E-3</c:v>
                </c:pt>
                <c:pt idx="1114">
                  <c:v>-7.9248366013071805E-3</c:v>
                </c:pt>
                <c:pt idx="1115">
                  <c:v>2.1164456888742429E-2</c:v>
                </c:pt>
                <c:pt idx="1116">
                  <c:v>1.7177419354838672E-2</c:v>
                </c:pt>
                <c:pt idx="1117">
                  <c:v>-1.5539522714659429E-2</c:v>
                </c:pt>
                <c:pt idx="1118">
                  <c:v>1.771764516388824E-2</c:v>
                </c:pt>
                <c:pt idx="1119">
                  <c:v>-2.2157157553216834E-2</c:v>
                </c:pt>
                <c:pt idx="1120">
                  <c:v>-1.1005907582746617E-2</c:v>
                </c:pt>
                <c:pt idx="1121">
                  <c:v>2.1520333851567056E-2</c:v>
                </c:pt>
                <c:pt idx="1122">
                  <c:v>-3.0759371996155103E-2</c:v>
                </c:pt>
                <c:pt idx="1123">
                  <c:v>8.2644628099173556E-3</c:v>
                </c:pt>
                <c:pt idx="1124">
                  <c:v>-1.7049180327868837E-2</c:v>
                </c:pt>
                <c:pt idx="1125">
                  <c:v>-1.6677785190126989E-3</c:v>
                </c:pt>
                <c:pt idx="1126">
                  <c:v>-2.1717340461076271E-3</c:v>
                </c:pt>
                <c:pt idx="1127">
                  <c:v>2.3857358111501831E-2</c:v>
                </c:pt>
                <c:pt idx="1128">
                  <c:v>-1.0955768130161093E-2</c:v>
                </c:pt>
                <c:pt idx="1129">
                  <c:v>-5.7865586509046191E-4</c:v>
                </c:pt>
                <c:pt idx="1130">
                  <c:v>8.9330024813895643E-3</c:v>
                </c:pt>
                <c:pt idx="1131">
                  <c:v>-3.1152647975078674E-3</c:v>
                </c:pt>
                <c:pt idx="1132">
                  <c:v>-1.1101973684210479E-2</c:v>
                </c:pt>
                <c:pt idx="1133">
                  <c:v>-4.9896049896051787E-4</c:v>
                </c:pt>
                <c:pt idx="1134">
                  <c:v>1.5808303519427385E-3</c:v>
                </c:pt>
                <c:pt idx="1135">
                  <c:v>1.2626682173118544E-2</c:v>
                </c:pt>
                <c:pt idx="1136">
                  <c:v>-1.2797374897456949E-2</c:v>
                </c:pt>
                <c:pt idx="1137">
                  <c:v>-5.8999501412664778E-3</c:v>
                </c:pt>
                <c:pt idx="1138">
                  <c:v>4.8482822034606561E-3</c:v>
                </c:pt>
                <c:pt idx="1139">
                  <c:v>-1.9965061142999327E-3</c:v>
                </c:pt>
                <c:pt idx="1140">
                  <c:v>-2.2505626406601319E-3</c:v>
                </c:pt>
                <c:pt idx="1141">
                  <c:v>8.3542188805270715E-5</c:v>
                </c:pt>
                <c:pt idx="1142">
                  <c:v>-9.355943530197898E-3</c:v>
                </c:pt>
                <c:pt idx="1143">
                  <c:v>-1.0793490176237467E-2</c:v>
                </c:pt>
                <c:pt idx="1144">
                  <c:v>6.478561077486923E-3</c:v>
                </c:pt>
                <c:pt idx="1145">
                  <c:v>-1.4906411450834175E-2</c:v>
                </c:pt>
                <c:pt idx="1146">
                  <c:v>1.6507608976012396E-2</c:v>
                </c:pt>
                <c:pt idx="1147">
                  <c:v>3.2986551636640495E-3</c:v>
                </c:pt>
                <c:pt idx="1148">
                  <c:v>-1.7366380037093256E-2</c:v>
                </c:pt>
                <c:pt idx="1149">
                  <c:v>4.2038435140699633E-3</c:v>
                </c:pt>
                <c:pt idx="1150">
                  <c:v>2.6484408372490584E-3</c:v>
                </c:pt>
                <c:pt idx="1151">
                  <c:v>1.0906612133606008E-2</c:v>
                </c:pt>
                <c:pt idx="1152">
                  <c:v>1.6351989211058647E-2</c:v>
                </c:pt>
                <c:pt idx="1153">
                  <c:v>-4.7271520981920154E-3</c:v>
                </c:pt>
                <c:pt idx="1154">
                  <c:v>-9.4992083993000621E-3</c:v>
                </c:pt>
                <c:pt idx="1155">
                  <c:v>-8.0760494658030455E-3</c:v>
                </c:pt>
                <c:pt idx="1156">
                  <c:v>-1.3315240437621858E-2</c:v>
                </c:pt>
                <c:pt idx="1157">
                  <c:v>-9.9707753137355734E-3</c:v>
                </c:pt>
                <c:pt idx="1158">
                  <c:v>4.2542108004861509E-3</c:v>
                </c:pt>
                <c:pt idx="1159">
                  <c:v>5.187170398547789E-4</c:v>
                </c:pt>
                <c:pt idx="1160">
                  <c:v>-6.4806013998099021E-3</c:v>
                </c:pt>
                <c:pt idx="1161">
                  <c:v>-9.9147677857018661E-3</c:v>
                </c:pt>
                <c:pt idx="1162">
                  <c:v>5.0948699929725776E-3</c:v>
                </c:pt>
                <c:pt idx="1163">
                  <c:v>-6.6421954203810972E-3</c:v>
                </c:pt>
                <c:pt idx="1164">
                  <c:v>-1.4077071969030392E-2</c:v>
                </c:pt>
                <c:pt idx="1165">
                  <c:v>-1.7847581652686315E-3</c:v>
                </c:pt>
                <c:pt idx="1166">
                  <c:v>-3.3077060611479041E-3</c:v>
                </c:pt>
                <c:pt idx="1167">
                  <c:v>-1.4530451161539065E-2</c:v>
                </c:pt>
                <c:pt idx="1168">
                  <c:v>1.1741148630199254E-2</c:v>
                </c:pt>
                <c:pt idx="1169">
                  <c:v>1.2054695933789163E-2</c:v>
                </c:pt>
                <c:pt idx="1170">
                  <c:v>8.8888888888883841E-4</c:v>
                </c:pt>
                <c:pt idx="1171">
                  <c:v>2.1314387211368484E-3</c:v>
                </c:pt>
                <c:pt idx="1172">
                  <c:v>7.6214108472172932E-3</c:v>
                </c:pt>
                <c:pt idx="1173">
                  <c:v>-8.7950747581399437E-5</c:v>
                </c:pt>
                <c:pt idx="1174">
                  <c:v>1.2666021637786944E-2</c:v>
                </c:pt>
                <c:pt idx="1175">
                  <c:v>2.3278033527317006E-2</c:v>
                </c:pt>
                <c:pt idx="1176">
                  <c:v>1.4430014430014575E-3</c:v>
                </c:pt>
                <c:pt idx="1177">
                  <c:v>6.3570096626546866E-3</c:v>
                </c:pt>
                <c:pt idx="1178">
                  <c:v>1.2465257306493638E-2</c:v>
                </c:pt>
                <c:pt idx="1179">
                  <c:v>-4.4089510024123363E-3</c:v>
                </c:pt>
                <c:pt idx="1180">
                  <c:v>-1.5290775401069623E-2</c:v>
                </c:pt>
                <c:pt idx="1181">
                  <c:v>1.2897751378871534E-2</c:v>
                </c:pt>
                <c:pt idx="1182">
                  <c:v>-2.1445924436625637E-2</c:v>
                </c:pt>
                <c:pt idx="1183">
                  <c:v>2.5083468881088884E-2</c:v>
                </c:pt>
                <c:pt idx="1184">
                  <c:v>1.2443627860364199E-2</c:v>
                </c:pt>
                <c:pt idx="1185">
                  <c:v>2.8870741565618602E-3</c:v>
                </c:pt>
                <c:pt idx="1186">
                  <c:v>9.8700444152002419E-4</c:v>
                </c:pt>
                <c:pt idx="1187">
                  <c:v>2.4650780608052588E-2</c:v>
                </c:pt>
                <c:pt idx="1188">
                  <c:v>-1.2830793905372962E-2</c:v>
                </c:pt>
                <c:pt idx="1189">
                  <c:v>-1.5759545085296488E-2</c:v>
                </c:pt>
                <c:pt idx="1190">
                  <c:v>-7.9234070650379147E-3</c:v>
                </c:pt>
                <c:pt idx="1191">
                  <c:v>-3.327787021630663E-3</c:v>
                </c:pt>
                <c:pt idx="1192">
                  <c:v>-1.3689482470784647E-2</c:v>
                </c:pt>
                <c:pt idx="1193">
                  <c:v>2.4542992552471755E-3</c:v>
                </c:pt>
                <c:pt idx="1194">
                  <c:v>2.1950189953566139E-3</c:v>
                </c:pt>
                <c:pt idx="1195">
                  <c:v>-1.0951057198214112E-2</c:v>
                </c:pt>
                <c:pt idx="1196">
                  <c:v>2.2570479516225244E-2</c:v>
                </c:pt>
                <c:pt idx="1197">
                  <c:v>-1.8990504747626195E-2</c:v>
                </c:pt>
                <c:pt idx="1198">
                  <c:v>-1.7405331974868373E-2</c:v>
                </c:pt>
                <c:pt idx="1199">
                  <c:v>5.5301131945044548E-3</c:v>
                </c:pt>
                <c:pt idx="1200">
                  <c:v>-2.4920512159491816E-3</c:v>
                </c:pt>
                <c:pt idx="1201">
                  <c:v>6.1164713990352164E-3</c:v>
                </c:pt>
                <c:pt idx="1202">
                  <c:v>-8.305505608356991E-3</c:v>
                </c:pt>
                <c:pt idx="1203">
                  <c:v>-1.398722155068201E-2</c:v>
                </c:pt>
                <c:pt idx="1204">
                  <c:v>-8.6690017513135643E-3</c:v>
                </c:pt>
                <c:pt idx="1205">
                  <c:v>-9.098136207048732E-3</c:v>
                </c:pt>
                <c:pt idx="1206">
                  <c:v>7.577108218933805E-3</c:v>
                </c:pt>
                <c:pt idx="1207">
                  <c:v>-6.3699902680704138E-3</c:v>
                </c:pt>
                <c:pt idx="1208">
                  <c:v>1.0862790490606348E-2</c:v>
                </c:pt>
                <c:pt idx="1209">
                  <c:v>8.4559147361930216E-3</c:v>
                </c:pt>
                <c:pt idx="1210">
                  <c:v>1.4761114507817381E-2</c:v>
                </c:pt>
                <c:pt idx="1211">
                  <c:v>1.2824926837665646E-2</c:v>
                </c:pt>
                <c:pt idx="1212">
                  <c:v>1.1217812526557264E-2</c:v>
                </c:pt>
                <c:pt idx="1213">
                  <c:v>1.0925287839314323E-2</c:v>
                </c:pt>
                <c:pt idx="1214">
                  <c:v>-6.8168592567961371E-3</c:v>
                </c:pt>
                <c:pt idx="1215">
                  <c:v>-3.3481208671633524E-3</c:v>
                </c:pt>
                <c:pt idx="1216">
                  <c:v>-2.5027294868564625E-2</c:v>
                </c:pt>
                <c:pt idx="1217">
                  <c:v>4.3931432509259271E-3</c:v>
                </c:pt>
                <c:pt idx="1218">
                  <c:v>-9.0051457975986043E-3</c:v>
                </c:pt>
                <c:pt idx="1219">
                  <c:v>5.8848983124189253E-3</c:v>
                </c:pt>
                <c:pt idx="1220">
                  <c:v>7.5711950443086585E-3</c:v>
                </c:pt>
                <c:pt idx="1221">
                  <c:v>-1.8358807958329823E-2</c:v>
                </c:pt>
                <c:pt idx="1222">
                  <c:v>-1.3743910925539305E-2</c:v>
                </c:pt>
                <c:pt idx="1223">
                  <c:v>-4.5863467983771038E-3</c:v>
                </c:pt>
                <c:pt idx="1224">
                  <c:v>-6.8226120857699454E-3</c:v>
                </c:pt>
                <c:pt idx="1225">
                  <c:v>2.6764207333392553E-3</c:v>
                </c:pt>
                <c:pt idx="1226">
                  <c:v>-1.5748732093602599E-2</c:v>
                </c:pt>
                <c:pt idx="1227">
                  <c:v>9.9439522690290567E-4</c:v>
                </c:pt>
                <c:pt idx="1228">
                  <c:v>-2.3119299196243132E-2</c:v>
                </c:pt>
                <c:pt idx="1229">
                  <c:v>-2.9490616621983892E-2</c:v>
                </c:pt>
                <c:pt idx="1230">
                  <c:v>1.0192417603352955E-2</c:v>
                </c:pt>
                <c:pt idx="1231">
                  <c:v>-1.7727487034417684E-2</c:v>
                </c:pt>
                <c:pt idx="1232">
                  <c:v>-7.4877603916674775E-3</c:v>
                </c:pt>
                <c:pt idx="1233">
                  <c:v>-1.9344230583228553E-2</c:v>
                </c:pt>
                <c:pt idx="1234">
                  <c:v>-1.9134036887266965E-2</c:v>
                </c:pt>
                <c:pt idx="1235">
                  <c:v>-5.2287581699346003E-3</c:v>
                </c:pt>
                <c:pt idx="1236">
                  <c:v>-5.357323359951492E-3</c:v>
                </c:pt>
                <c:pt idx="1237">
                  <c:v>1.3922764227642177E-2</c:v>
                </c:pt>
                <c:pt idx="1238">
                  <c:v>6.514984464267873E-3</c:v>
                </c:pt>
                <c:pt idx="1239">
                  <c:v>-3.286197968532148E-3</c:v>
                </c:pt>
                <c:pt idx="1240">
                  <c:v>1.0790288740133862E-2</c:v>
                </c:pt>
                <c:pt idx="1241">
                  <c:v>1.5814964910546549E-2</c:v>
                </c:pt>
                <c:pt idx="1242">
                  <c:v>6.0328889753819654E-3</c:v>
                </c:pt>
                <c:pt idx="1243">
                  <c:v>-5.3196634103878241E-3</c:v>
                </c:pt>
                <c:pt idx="1244">
                  <c:v>1.4391287436794922E-2</c:v>
                </c:pt>
                <c:pt idx="1245">
                  <c:v>2.4827453987730095E-2</c:v>
                </c:pt>
                <c:pt idx="1246">
                  <c:v>9.5407351978300456E-3</c:v>
                </c:pt>
                <c:pt idx="1247">
                  <c:v>2.4830908922449667E-2</c:v>
                </c:pt>
                <c:pt idx="1248">
                  <c:v>1.319952987975765E-2</c:v>
                </c:pt>
                <c:pt idx="1249">
                  <c:v>1.2046042651914059E-2</c:v>
                </c:pt>
                <c:pt idx="1250">
                  <c:v>-1.4812202433433317E-2</c:v>
                </c:pt>
                <c:pt idx="1251">
                  <c:v>-1.5124395919097887E-2</c:v>
                </c:pt>
                <c:pt idx="1252">
                  <c:v>-3.6347114947743794E-4</c:v>
                </c:pt>
                <c:pt idx="1253">
                  <c:v>-2.2816107626579447E-2</c:v>
                </c:pt>
                <c:pt idx="1254">
                  <c:v>-7.9069767441859937E-3</c:v>
                </c:pt>
                <c:pt idx="1255">
                  <c:v>1.2376933895921174E-2</c:v>
                </c:pt>
                <c:pt idx="1256">
                  <c:v>-8.891358710752929E-3</c:v>
                </c:pt>
                <c:pt idx="1257">
                  <c:v>7.6628352490420819E-3</c:v>
                </c:pt>
                <c:pt idx="1258">
                  <c:v>-1.8362236854307743E-2</c:v>
                </c:pt>
                <c:pt idx="1259">
                  <c:v>-6.5186584789796668E-3</c:v>
                </c:pt>
                <c:pt idx="1260">
                  <c:v>1.4454165081780242E-2</c:v>
                </c:pt>
                <c:pt idx="1261">
                  <c:v>3.1871016122983612E-3</c:v>
                </c:pt>
                <c:pt idx="1262">
                  <c:v>4.3917024855167153E-3</c:v>
                </c:pt>
                <c:pt idx="1263">
                  <c:v>2.3909200855893643E-2</c:v>
                </c:pt>
                <c:pt idx="1264">
                  <c:v>1.8262765764128573E-2</c:v>
                </c:pt>
                <c:pt idx="1265">
                  <c:v>-1.1778352815204722E-2</c:v>
                </c:pt>
                <c:pt idx="1266">
                  <c:v>1.8600451467268644E-2</c:v>
                </c:pt>
                <c:pt idx="1267">
                  <c:v>-8.2439500044322912E-3</c:v>
                </c:pt>
                <c:pt idx="1268">
                  <c:v>8.9381480157357129E-5</c:v>
                </c:pt>
                <c:pt idx="1269">
                  <c:v>5.3624095093397328E-4</c:v>
                </c:pt>
                <c:pt idx="1270">
                  <c:v>1.518535060294777E-2</c:v>
                </c:pt>
                <c:pt idx="1271">
                  <c:v>-1.5398152221733392E-2</c:v>
                </c:pt>
                <c:pt idx="1272">
                  <c:v>6.613047363717559E-3</c:v>
                </c:pt>
                <c:pt idx="1273">
                  <c:v>7.5461647727272227E-3</c:v>
                </c:pt>
                <c:pt idx="1274">
                  <c:v>1.1630980703145718E-2</c:v>
                </c:pt>
                <c:pt idx="1275">
                  <c:v>-2.6130128037627136E-3</c:v>
                </c:pt>
                <c:pt idx="1276">
                  <c:v>1.4234564666841283E-2</c:v>
                </c:pt>
                <c:pt idx="1277">
                  <c:v>-9.5574306871017683E-3</c:v>
                </c:pt>
                <c:pt idx="1278">
                  <c:v>1.6169694862209854E-2</c:v>
                </c:pt>
                <c:pt idx="1279">
                  <c:v>5.2185815724185083E-3</c:v>
                </c:pt>
                <c:pt idx="1280">
                  <c:v>-1.9063829787233998E-2</c:v>
                </c:pt>
                <c:pt idx="1281">
                  <c:v>5.9864653826132022E-3</c:v>
                </c:pt>
                <c:pt idx="1282">
                  <c:v>2.7598102630443568E-3</c:v>
                </c:pt>
                <c:pt idx="1283">
                  <c:v>-4.5583555517330447E-3</c:v>
                </c:pt>
                <c:pt idx="1284">
                  <c:v>-9.9360635908069088E-3</c:v>
                </c:pt>
                <c:pt idx="1285">
                  <c:v>-2.9671000959944445E-3</c:v>
                </c:pt>
                <c:pt idx="1286">
                  <c:v>-1.9693654266958426E-2</c:v>
                </c:pt>
                <c:pt idx="1287">
                  <c:v>2.3749999999999969E-2</c:v>
                </c:pt>
                <c:pt idx="1288">
                  <c:v>-1.5349729635443843E-2</c:v>
                </c:pt>
                <c:pt idx="1289">
                  <c:v>-8.8573959255978732E-3</c:v>
                </c:pt>
                <c:pt idx="1290">
                  <c:v>1.6264521894548644E-2</c:v>
                </c:pt>
                <c:pt idx="1291">
                  <c:v>8.3538515652480019E-3</c:v>
                </c:pt>
                <c:pt idx="1292">
                  <c:v>1.0290398534926245E-2</c:v>
                </c:pt>
                <c:pt idx="1293">
                  <c:v>2.1406991799741079E-2</c:v>
                </c:pt>
                <c:pt idx="1294">
                  <c:v>-4.0564522944308628E-3</c:v>
                </c:pt>
                <c:pt idx="1295">
                  <c:v>-1.417055579125997E-2</c:v>
                </c:pt>
                <c:pt idx="1296">
                  <c:v>1.2050266827336818E-2</c:v>
                </c:pt>
                <c:pt idx="1297">
                  <c:v>1.1311447525089287E-2</c:v>
                </c:pt>
                <c:pt idx="1298">
                  <c:v>-4.2048608191068877E-3</c:v>
                </c:pt>
                <c:pt idx="1299">
                  <c:v>-1.7228274638966236E-2</c:v>
                </c:pt>
                <c:pt idx="1300">
                  <c:v>1.7530291312193795E-2</c:v>
                </c:pt>
                <c:pt idx="1301">
                  <c:v>8.2763280128367867E-3</c:v>
                </c:pt>
                <c:pt idx="1302">
                  <c:v>-1.8678281263087394E-2</c:v>
                </c:pt>
                <c:pt idx="1303">
                  <c:v>1.1095937179924865E-2</c:v>
                </c:pt>
                <c:pt idx="1304">
                  <c:v>-1.9669086611514421E-2</c:v>
                </c:pt>
                <c:pt idx="1305">
                  <c:v>-6.3721691208128385E-3</c:v>
                </c:pt>
                <c:pt idx="1306">
                  <c:v>-1.5252621544327976E-2</c:v>
                </c:pt>
                <c:pt idx="1307">
                  <c:v>-8.5364780427703863E-3</c:v>
                </c:pt>
                <c:pt idx="1308">
                  <c:v>-1.1184093733356923E-2</c:v>
                </c:pt>
                <c:pt idx="1309">
                  <c:v>-8.1687612208259496E-3</c:v>
                </c:pt>
                <c:pt idx="1310">
                  <c:v>1.0317675807765414E-2</c:v>
                </c:pt>
                <c:pt idx="1311">
                  <c:v>4.3895010301890991E-3</c:v>
                </c:pt>
                <c:pt idx="1312">
                  <c:v>9.0082054941133683E-3</c:v>
                </c:pt>
                <c:pt idx="1313">
                  <c:v>1.5468929550075136E-2</c:v>
                </c:pt>
                <c:pt idx="1314">
                  <c:v>-4.787604456824488E-3</c:v>
                </c:pt>
                <c:pt idx="1315">
                  <c:v>1.3994577101372921E-3</c:v>
                </c:pt>
                <c:pt idx="1316">
                  <c:v>7.7736046816315888E-3</c:v>
                </c:pt>
                <c:pt idx="1317">
                  <c:v>2.3920956838273576E-2</c:v>
                </c:pt>
                <c:pt idx="1318">
                  <c:v>1.278144574233964E-2</c:v>
                </c:pt>
                <c:pt idx="1319">
                  <c:v>1.9473464270789789E-2</c:v>
                </c:pt>
                <c:pt idx="1320">
                  <c:v>1.4428594851614945E-2</c:v>
                </c:pt>
                <c:pt idx="1321">
                  <c:v>1.5031517698399867E-2</c:v>
                </c:pt>
                <c:pt idx="1322">
                  <c:v>-2.4442675159235615E-2</c:v>
                </c:pt>
                <c:pt idx="1323">
                  <c:v>1.2486737941728566E-2</c:v>
                </c:pt>
                <c:pt idx="1324">
                  <c:v>3.3048524907302642E-3</c:v>
                </c:pt>
                <c:pt idx="1325">
                  <c:v>1.0444283763155415E-3</c:v>
                </c:pt>
                <c:pt idx="1326">
                  <c:v>-6.9823434991973547E-3</c:v>
                </c:pt>
                <c:pt idx="1327">
                  <c:v>-5.5766588539561766E-3</c:v>
                </c:pt>
                <c:pt idx="1328">
                  <c:v>6.0955786736020803E-3</c:v>
                </c:pt>
                <c:pt idx="1329">
                  <c:v>1.1955731480733417E-2</c:v>
                </c:pt>
                <c:pt idx="1330">
                  <c:v>-2.0435858545541648E-2</c:v>
                </c:pt>
                <c:pt idx="1331">
                  <c:v>3.3412109852498642E-3</c:v>
                </c:pt>
                <c:pt idx="1332">
                  <c:v>-7.472384665367135E-3</c:v>
                </c:pt>
                <c:pt idx="1333">
                  <c:v>-1.2847790507365035E-2</c:v>
                </c:pt>
                <c:pt idx="1334">
                  <c:v>5.8028682748901836E-3</c:v>
                </c:pt>
                <c:pt idx="1335">
                  <c:v>-4.2858320283523949E-3</c:v>
                </c:pt>
                <c:pt idx="1336">
                  <c:v>-8.774108103633823E-3</c:v>
                </c:pt>
                <c:pt idx="1337">
                  <c:v>-1.0354906054279706E-2</c:v>
                </c:pt>
                <c:pt idx="1338">
                  <c:v>4.2190532444519452E-3</c:v>
                </c:pt>
                <c:pt idx="1339">
                  <c:v>1.6805310478107738E-4</c:v>
                </c:pt>
                <c:pt idx="1340">
                  <c:v>-1.4786188355876712E-2</c:v>
                </c:pt>
                <c:pt idx="1341">
                  <c:v>-1.1341349023620691E-2</c:v>
                </c:pt>
                <c:pt idx="1342">
                  <c:v>-2.2425392444366992E-3</c:v>
                </c:pt>
                <c:pt idx="1343">
                  <c:v>5.9647302904564112E-3</c:v>
                </c:pt>
                <c:pt idx="1344">
                  <c:v>-1.4264844891295099E-2</c:v>
                </c:pt>
                <c:pt idx="1345">
                  <c:v>7.0612849795135763E-3</c:v>
                </c:pt>
                <c:pt idx="1346">
                  <c:v>-1.108033240997231E-2</c:v>
                </c:pt>
                <c:pt idx="1347">
                  <c:v>3.8165266106442573E-2</c:v>
                </c:pt>
                <c:pt idx="1348">
                  <c:v>-1.2731871838111222E-2</c:v>
                </c:pt>
                <c:pt idx="1349">
                  <c:v>-1.0675548723204373E-2</c:v>
                </c:pt>
                <c:pt idx="1350">
                  <c:v>3.0214088397789562E-3</c:v>
                </c:pt>
                <c:pt idx="1351">
                  <c:v>-1.222136156295724E-2</c:v>
                </c:pt>
                <c:pt idx="1352">
                  <c:v>1.1849786529580896E-2</c:v>
                </c:pt>
                <c:pt idx="1353">
                  <c:v>2.5230345302678092E-2</c:v>
                </c:pt>
                <c:pt idx="1354">
                  <c:v>-5.0394758945070429E-3</c:v>
                </c:pt>
                <c:pt idx="1355">
                  <c:v>2.7013337835556932E-3</c:v>
                </c:pt>
                <c:pt idx="1356">
                  <c:v>-6.8193298535107107E-3</c:v>
                </c:pt>
                <c:pt idx="1357">
                  <c:v>2.5430194117149389E-4</c:v>
                </c:pt>
                <c:pt idx="1358">
                  <c:v>2.0169491525423692E-2</c:v>
                </c:pt>
                <c:pt idx="1359">
                  <c:v>1.2709752450573195E-2</c:v>
                </c:pt>
                <c:pt idx="1360">
                  <c:v>-1.2222131080305102E-2</c:v>
                </c:pt>
                <c:pt idx="1361">
                  <c:v>2.1757183192160807E-2</c:v>
                </c:pt>
                <c:pt idx="1362">
                  <c:v>1.6417425227568238E-2</c:v>
                </c:pt>
                <c:pt idx="1363">
                  <c:v>7.1165840396609668E-3</c:v>
                </c:pt>
                <c:pt idx="1364">
                  <c:v>-8.8130210400952716E-3</c:v>
                </c:pt>
                <c:pt idx="1365">
                  <c:v>1.2015379685997394E-3</c:v>
                </c:pt>
                <c:pt idx="1366">
                  <c:v>-1.0720857668613403E-2</c:v>
                </c:pt>
                <c:pt idx="1367">
                  <c:v>6.7933683784875791E-3</c:v>
                </c:pt>
                <c:pt idx="1368">
                  <c:v>-4.0967145955497705E-3</c:v>
                </c:pt>
                <c:pt idx="1369">
                  <c:v>-3.0650104855621852E-2</c:v>
                </c:pt>
                <c:pt idx="1370">
                  <c:v>1.3146946247295708E-2</c:v>
                </c:pt>
                <c:pt idx="1371">
                  <c:v>3.0387647831799469E-3</c:v>
                </c:pt>
                <c:pt idx="1372">
                  <c:v>1.5229673298943744E-2</c:v>
                </c:pt>
                <c:pt idx="1373">
                  <c:v>-1.5323816436809236E-3</c:v>
                </c:pt>
                <c:pt idx="1374">
                  <c:v>2.9079159935379599E-3</c:v>
                </c:pt>
                <c:pt idx="1375">
                  <c:v>1.5786082474226869E-2</c:v>
                </c:pt>
                <c:pt idx="1376">
                  <c:v>5.6295591500158081E-3</c:v>
                </c:pt>
                <c:pt idx="1377">
                  <c:v>4.336513443191652E-3</c:v>
                </c:pt>
                <c:pt idx="1378">
                  <c:v>4.4905008635578579E-2</c:v>
                </c:pt>
                <c:pt idx="1379">
                  <c:v>-2.0285499624341234E-3</c:v>
                </c:pt>
                <c:pt idx="1380">
                  <c:v>2.6349469246404749E-3</c:v>
                </c:pt>
                <c:pt idx="1381">
                  <c:v>2.4327977173749665E-2</c:v>
                </c:pt>
                <c:pt idx="1382">
                  <c:v>-1.0848849142354419E-2</c:v>
                </c:pt>
                <c:pt idx="1383">
                  <c:v>-1.4080331999407187E-2</c:v>
                </c:pt>
                <c:pt idx="1384">
                  <c:v>-1.9542994588093766E-2</c:v>
                </c:pt>
                <c:pt idx="1385">
                  <c:v>7.7430236123887681E-3</c:v>
                </c:pt>
                <c:pt idx="1386">
                  <c:v>8.9767972613161422E-3</c:v>
                </c:pt>
                <c:pt idx="1387">
                  <c:v>1.0555681218427248E-2</c:v>
                </c:pt>
                <c:pt idx="1388">
                  <c:v>-1.8428709990300669E-2</c:v>
                </c:pt>
                <c:pt idx="1389">
                  <c:v>1.4290057768318603E-2</c:v>
                </c:pt>
                <c:pt idx="1390">
                  <c:v>1.693645083932847E-2</c:v>
                </c:pt>
                <c:pt idx="1391">
                  <c:v>-1.0316875460573793E-3</c:v>
                </c:pt>
                <c:pt idx="1392">
                  <c:v>7.3768073177924397E-4</c:v>
                </c:pt>
                <c:pt idx="1393">
                  <c:v>9.6564941766180325E-3</c:v>
                </c:pt>
                <c:pt idx="1394">
                  <c:v>5.402642914506893E-3</c:v>
                </c:pt>
                <c:pt idx="1395">
                  <c:v>9.2222787016192128E-3</c:v>
                </c:pt>
                <c:pt idx="1396">
                  <c:v>-1.4750323787595216E-2</c:v>
                </c:pt>
                <c:pt idx="1397">
                  <c:v>-2.0448404294164985E-3</c:v>
                </c:pt>
                <c:pt idx="1398">
                  <c:v>-1.6538602268569479E-2</c:v>
                </c:pt>
                <c:pt idx="1399">
                  <c:v>9.0780564030063793E-3</c:v>
                </c:pt>
                <c:pt idx="1400">
                  <c:v>7.6690509549442662E-3</c:v>
                </c:pt>
                <c:pt idx="1401">
                  <c:v>-1.0245151847787395E-3</c:v>
                </c:pt>
                <c:pt idx="1402">
                  <c:v>4.3952823968941672E-3</c:v>
                </c:pt>
                <c:pt idx="1403">
                  <c:v>-2.1223834877106152E-2</c:v>
                </c:pt>
                <c:pt idx="1404">
                  <c:v>1.2220566318927087E-2</c:v>
                </c:pt>
                <c:pt idx="1405">
                  <c:v>-6.1837455830388941E-3</c:v>
                </c:pt>
                <c:pt idx="1406">
                  <c:v>2.0740740740740823E-3</c:v>
                </c:pt>
                <c:pt idx="1407">
                  <c:v>1.5819041986989846E-2</c:v>
                </c:pt>
                <c:pt idx="1408">
                  <c:v>-1.0187745597438345E-2</c:v>
                </c:pt>
                <c:pt idx="1409">
                  <c:v>1.6909278047345853E-2</c:v>
                </c:pt>
                <c:pt idx="1410">
                  <c:v>2.0242914979757168E-3</c:v>
                </c:pt>
                <c:pt idx="1411">
                  <c:v>7.2150072150068052E-4</c:v>
                </c:pt>
                <c:pt idx="1412">
                  <c:v>8.0028839221342012E-3</c:v>
                </c:pt>
                <c:pt idx="1413">
                  <c:v>-1.6951577140404867E-2</c:v>
                </c:pt>
                <c:pt idx="1414">
                  <c:v>8.5855646100116909E-3</c:v>
                </c:pt>
                <c:pt idx="1415">
                  <c:v>1.1542345981820558E-3</c:v>
                </c:pt>
                <c:pt idx="1416">
                  <c:v>1.4699524427150829E-2</c:v>
                </c:pt>
                <c:pt idx="1417">
                  <c:v>-2.6984803294986186E-3</c:v>
                </c:pt>
                <c:pt idx="1418">
                  <c:v>-4.6995158074622373E-3</c:v>
                </c:pt>
                <c:pt idx="1419">
                  <c:v>5.4371154671626195E-3</c:v>
                </c:pt>
                <c:pt idx="1420">
                  <c:v>-4.9807883876471599E-4</c:v>
                </c:pt>
                <c:pt idx="1421">
                  <c:v>-1.6017655015305759E-2</c:v>
                </c:pt>
                <c:pt idx="1422">
                  <c:v>-2.3151497612501314E-3</c:v>
                </c:pt>
                <c:pt idx="1423">
                  <c:v>1.783901377810013E-2</c:v>
                </c:pt>
                <c:pt idx="1424">
                  <c:v>-9.261897976633219E-4</c:v>
                </c:pt>
                <c:pt idx="1425">
                  <c:v>-1.1766383798045905E-2</c:v>
                </c:pt>
                <c:pt idx="1426">
                  <c:v>1.0246788858421037E-2</c:v>
                </c:pt>
                <c:pt idx="1427">
                  <c:v>-2.5357142857142939E-2</c:v>
                </c:pt>
                <c:pt idx="1428">
                  <c:v>-2.9094906559179179E-2</c:v>
                </c:pt>
                <c:pt idx="1429">
                  <c:v>3.0193236714991294E-4</c:v>
                </c:pt>
                <c:pt idx="1430">
                  <c:v>2.7920313914878967E-3</c:v>
                </c:pt>
                <c:pt idx="1431">
                  <c:v>3.3862593122132374E-3</c:v>
                </c:pt>
                <c:pt idx="1432">
                  <c:v>-1.2074396280186092E-2</c:v>
                </c:pt>
                <c:pt idx="1433">
                  <c:v>-1.7459955970545039E-3</c:v>
                </c:pt>
                <c:pt idx="1434">
                  <c:v>-1.9087452471482819E-2</c:v>
                </c:pt>
                <c:pt idx="1435">
                  <c:v>3.3335917512983828E-3</c:v>
                </c:pt>
                <c:pt idx="1436">
                  <c:v>-2.2021325915623509E-2</c:v>
                </c:pt>
                <c:pt idx="1437">
                  <c:v>-1.7381686023544194E-3</c:v>
                </c:pt>
                <c:pt idx="1438">
                  <c:v>3.8781163434903768E-3</c:v>
                </c:pt>
                <c:pt idx="1439">
                  <c:v>-2.3967202775149844E-2</c:v>
                </c:pt>
                <c:pt idx="1440">
                  <c:v>-6.9466882067851328E-3</c:v>
                </c:pt>
                <c:pt idx="1441">
                  <c:v>1.1224987798926269E-2</c:v>
                </c:pt>
                <c:pt idx="1442">
                  <c:v>2.1798584298584365E-2</c:v>
                </c:pt>
                <c:pt idx="1443">
                  <c:v>-2.0546327639140355E-2</c:v>
                </c:pt>
                <c:pt idx="1444">
                  <c:v>5.0634946150136268E-3</c:v>
                </c:pt>
                <c:pt idx="1445">
                  <c:v>-1.6793282686925187E-2</c:v>
                </c:pt>
                <c:pt idx="1446">
                  <c:v>-1.8381455876372549E-2</c:v>
                </c:pt>
                <c:pt idx="1447">
                  <c:v>2.2454221559367039E-2</c:v>
                </c:pt>
                <c:pt idx="1448">
                  <c:v>9.5623987034035053E-3</c:v>
                </c:pt>
                <c:pt idx="1449">
                  <c:v>-1.0836410338738115E-2</c:v>
                </c:pt>
                <c:pt idx="1450">
                  <c:v>3.4082609754118452E-3</c:v>
                </c:pt>
                <c:pt idx="1451">
                  <c:v>9.2195713708046953E-3</c:v>
                </c:pt>
                <c:pt idx="1452">
                  <c:v>2.8047119160188659E-3</c:v>
                </c:pt>
                <c:pt idx="1453">
                  <c:v>3.1484737094454304E-2</c:v>
                </c:pt>
                <c:pt idx="1454">
                  <c:v>8.6767895878523092E-3</c:v>
                </c:pt>
                <c:pt idx="1455">
                  <c:v>-4.1167434715821703E-2</c:v>
                </c:pt>
                <c:pt idx="1456">
                  <c:v>-3.6847164370394743E-3</c:v>
                </c:pt>
                <c:pt idx="1457">
                  <c:v>-9.8890496864446845E-3</c:v>
                </c:pt>
                <c:pt idx="1458">
                  <c:v>-2.5172553796183701E-3</c:v>
                </c:pt>
                <c:pt idx="1459">
                  <c:v>4.884402474764106E-4</c:v>
                </c:pt>
                <c:pt idx="1460">
                  <c:v>-8.7062652563060002E-3</c:v>
                </c:pt>
                <c:pt idx="1461">
                  <c:v>-1.4692604448822064E-2</c:v>
                </c:pt>
                <c:pt idx="1462">
                  <c:v>1.9160279906697743E-2</c:v>
                </c:pt>
                <c:pt idx="1463">
                  <c:v>8.6643779630538025E-3</c:v>
                </c:pt>
                <c:pt idx="1464">
                  <c:v>-8.9951377633711461E-3</c:v>
                </c:pt>
                <c:pt idx="1465">
                  <c:v>9.7309673726387897E-3</c:v>
                </c:pt>
                <c:pt idx="1466">
                  <c:v>9.6371882086167607E-3</c:v>
                </c:pt>
                <c:pt idx="1467">
                  <c:v>1.7887222266784342E-2</c:v>
                </c:pt>
                <c:pt idx="1468">
                  <c:v>-1.4263199369582365E-2</c:v>
                </c:pt>
                <c:pt idx="1469">
                  <c:v>1.1111999360460473E-2</c:v>
                </c:pt>
                <c:pt idx="1470">
                  <c:v>-8.1435800126502308E-3</c:v>
                </c:pt>
                <c:pt idx="1471">
                  <c:v>1.6341171781586266E-2</c:v>
                </c:pt>
                <c:pt idx="1472">
                  <c:v>-2.3529411764705659E-3</c:v>
                </c:pt>
                <c:pt idx="1473">
                  <c:v>-3.1132075471698176E-2</c:v>
                </c:pt>
                <c:pt idx="1474">
                  <c:v>8.1142486205784269E-4</c:v>
                </c:pt>
                <c:pt idx="1475">
                  <c:v>-2.4404086265607305E-2</c:v>
                </c:pt>
                <c:pt idx="1476">
                  <c:v>-2.7424582398404246E-3</c:v>
                </c:pt>
                <c:pt idx="1477">
                  <c:v>-5.0000000000001898E-4</c:v>
                </c:pt>
                <c:pt idx="1478">
                  <c:v>-5.2526263131565405E-3</c:v>
                </c:pt>
                <c:pt idx="1479">
                  <c:v>-2.0283295616461333E-2</c:v>
                </c:pt>
                <c:pt idx="1480">
                  <c:v>-1.5142441611771718E-2</c:v>
                </c:pt>
                <c:pt idx="1481">
                  <c:v>-1.1379430159833236E-2</c:v>
                </c:pt>
                <c:pt idx="1482">
                  <c:v>-3.0753009401635052E-3</c:v>
                </c:pt>
                <c:pt idx="1483">
                  <c:v>1.815617838885953E-2</c:v>
                </c:pt>
                <c:pt idx="1484">
                  <c:v>1.0128116343490319E-2</c:v>
                </c:pt>
                <c:pt idx="1485">
                  <c:v>-6.2558916788071298E-3</c:v>
                </c:pt>
                <c:pt idx="1486">
                  <c:v>1.8023456364263571E-2</c:v>
                </c:pt>
                <c:pt idx="1487">
                  <c:v>-1.8636171113934799E-2</c:v>
                </c:pt>
                <c:pt idx="1488">
                  <c:v>9.7539922313337052E-3</c:v>
                </c:pt>
                <c:pt idx="1489">
                  <c:v>-2.0516327577364429E-3</c:v>
                </c:pt>
                <c:pt idx="1490">
                  <c:v>3.5977385643310069E-3</c:v>
                </c:pt>
                <c:pt idx="1491">
                  <c:v>9.1328098327074728E-3</c:v>
                </c:pt>
                <c:pt idx="1492">
                  <c:v>-9.0501564746680828E-3</c:v>
                </c:pt>
                <c:pt idx="1493">
                  <c:v>1.1351997268692373E-2</c:v>
                </c:pt>
                <c:pt idx="1494">
                  <c:v>2.5318592286269843E-4</c:v>
                </c:pt>
                <c:pt idx="1495">
                  <c:v>3.3665204184947763E-2</c:v>
                </c:pt>
                <c:pt idx="1496">
                  <c:v>-3.8364215166108795E-3</c:v>
                </c:pt>
                <c:pt idx="1497">
                  <c:v>1.7862995739101873E-2</c:v>
                </c:pt>
                <c:pt idx="1498">
                  <c:v>9.3382708098534578E-3</c:v>
                </c:pt>
                <c:pt idx="1499">
                  <c:v>-1.5951507417450949E-2</c:v>
                </c:pt>
                <c:pt idx="1500">
                  <c:v>1.9127897552277513E-2</c:v>
                </c:pt>
                <c:pt idx="1501">
                  <c:v>-1.4394782885318818E-2</c:v>
                </c:pt>
                <c:pt idx="1502">
                  <c:v>-3.0581780037117777E-2</c:v>
                </c:pt>
                <c:pt idx="1503">
                  <c:v>1.2152488763109653E-2</c:v>
                </c:pt>
                <c:pt idx="1504">
                  <c:v>1.5131578947368449E-2</c:v>
                </c:pt>
                <c:pt idx="1505">
                  <c:v>1.0531432274789004E-3</c:v>
                </c:pt>
                <c:pt idx="1506">
                  <c:v>-3.3179574330338803E-3</c:v>
                </c:pt>
                <c:pt idx="1507">
                  <c:v>2.2247482949009491E-2</c:v>
                </c:pt>
                <c:pt idx="1508">
                  <c:v>1.0166799046862598E-2</c:v>
                </c:pt>
                <c:pt idx="1509">
                  <c:v>-8.7277873879541869E-3</c:v>
                </c:pt>
                <c:pt idx="1510">
                  <c:v>1.0391052589831066E-2</c:v>
                </c:pt>
                <c:pt idx="1511">
                  <c:v>-1.6878630868268109E-2</c:v>
                </c:pt>
                <c:pt idx="1512">
                  <c:v>-7.4263355426016676E-3</c:v>
                </c:pt>
                <c:pt idx="1513">
                  <c:v>-1.4239742558326598E-2</c:v>
                </c:pt>
                <c:pt idx="1514">
                  <c:v>-3.019668652574882E-2</c:v>
                </c:pt>
                <c:pt idx="1515">
                  <c:v>-1.5989228309349419E-2</c:v>
                </c:pt>
                <c:pt idx="1516">
                  <c:v>1.7275292910288172E-2</c:v>
                </c:pt>
                <c:pt idx="1517">
                  <c:v>-1.4880201765447633E-2</c:v>
                </c:pt>
                <c:pt idx="1518">
                  <c:v>-7.3391363713945518E-3</c:v>
                </c:pt>
                <c:pt idx="1519">
                  <c:v>-1.573246217331498E-2</c:v>
                </c:pt>
                <c:pt idx="1520">
                  <c:v>1.2315486068652379E-2</c:v>
                </c:pt>
                <c:pt idx="1521">
                  <c:v>2.5884383088870693E-4</c:v>
                </c:pt>
                <c:pt idx="1522">
                  <c:v>7.1594927973777124E-3</c:v>
                </c:pt>
                <c:pt idx="1523">
                  <c:v>-1.1133949982871673E-3</c:v>
                </c:pt>
                <c:pt idx="1524">
                  <c:v>-1.5947869330360968E-2</c:v>
                </c:pt>
                <c:pt idx="1525">
                  <c:v>-1.3156748279166951E-2</c:v>
                </c:pt>
                <c:pt idx="1526">
                  <c:v>1.191947730884685E-2</c:v>
                </c:pt>
                <c:pt idx="1527">
                  <c:v>-5.2351452752815873E-4</c:v>
                </c:pt>
                <c:pt idx="1528">
                  <c:v>1.1086861632474868E-2</c:v>
                </c:pt>
                <c:pt idx="1529">
                  <c:v>-4.3515800379899779E-2</c:v>
                </c:pt>
                <c:pt idx="1530">
                  <c:v>1.5706806282722467E-2</c:v>
                </c:pt>
                <c:pt idx="1531">
                  <c:v>-6.5766086029149925E-3</c:v>
                </c:pt>
                <c:pt idx="1532">
                  <c:v>3.0506351762390378E-2</c:v>
                </c:pt>
                <c:pt idx="1533">
                  <c:v>-6.7714211303064606E-3</c:v>
                </c:pt>
                <c:pt idx="1534">
                  <c:v>6.992395769600411E-4</c:v>
                </c:pt>
                <c:pt idx="1535">
                  <c:v>9.4331382653506709E-3</c:v>
                </c:pt>
                <c:pt idx="1536">
                  <c:v>-1.1767759799255859E-2</c:v>
                </c:pt>
                <c:pt idx="1537">
                  <c:v>1.2345679012345774E-2</c:v>
                </c:pt>
                <c:pt idx="1538">
                  <c:v>-8.5625324338350541E-3</c:v>
                </c:pt>
                <c:pt idx="1539">
                  <c:v>1.814533717177003E-2</c:v>
                </c:pt>
                <c:pt idx="1540">
                  <c:v>1.1310084825636257E-2</c:v>
                </c:pt>
                <c:pt idx="1541">
                  <c:v>7.2015589256968085E-3</c:v>
                </c:pt>
                <c:pt idx="1542">
                  <c:v>-9.7577388963660545E-3</c:v>
                </c:pt>
                <c:pt idx="1543">
                  <c:v>-2.548419979612616E-3</c:v>
                </c:pt>
                <c:pt idx="1544">
                  <c:v>4.4285470958950433E-3</c:v>
                </c:pt>
                <c:pt idx="1545">
                  <c:v>-2.7810751229438709E-2</c:v>
                </c:pt>
                <c:pt idx="1546">
                  <c:v>-7.3260073260073564E-3</c:v>
                </c:pt>
                <c:pt idx="1547">
                  <c:v>1.3266561237040987E-2</c:v>
                </c:pt>
                <c:pt idx="1548">
                  <c:v>-1.7254833954738532E-2</c:v>
                </c:pt>
                <c:pt idx="1549">
                  <c:v>1.8087171342862158E-2</c:v>
                </c:pt>
                <c:pt idx="1550">
                  <c:v>-8.4062743738625434E-3</c:v>
                </c:pt>
                <c:pt idx="1551">
                  <c:v>4.8068519489599471E-3</c:v>
                </c:pt>
                <c:pt idx="1552">
                  <c:v>-1.5569278942332714E-2</c:v>
                </c:pt>
                <c:pt idx="1553">
                  <c:v>6.9800318077398128E-3</c:v>
                </c:pt>
                <c:pt idx="1554">
                  <c:v>6.756163902781399E-3</c:v>
                </c:pt>
                <c:pt idx="1555">
                  <c:v>1.6036255882865641E-2</c:v>
                </c:pt>
                <c:pt idx="1556">
                  <c:v>1.9128495453765691E-2</c:v>
                </c:pt>
                <c:pt idx="1557">
                  <c:v>1.7675279858597712E-2</c:v>
                </c:pt>
                <c:pt idx="1558">
                  <c:v>3.2255396575965644E-3</c:v>
                </c:pt>
                <c:pt idx="1559">
                  <c:v>-1.6735366859027215E-2</c:v>
                </c:pt>
                <c:pt idx="1560">
                  <c:v>1.8697073866018311E-2</c:v>
                </c:pt>
                <c:pt idx="1561">
                  <c:v>-1.777777777777775E-2</c:v>
                </c:pt>
                <c:pt idx="1562">
                  <c:v>-5.7817998994469395E-3</c:v>
                </c:pt>
                <c:pt idx="1563">
                  <c:v>1.0535187526337968E-2</c:v>
                </c:pt>
                <c:pt idx="1564">
                  <c:v>6.505421184320276E-3</c:v>
                </c:pt>
                <c:pt idx="1565">
                  <c:v>2.2373218428902789E-2</c:v>
                </c:pt>
                <c:pt idx="1566">
                  <c:v>2.431512400713336E-4</c:v>
                </c:pt>
                <c:pt idx="1567">
                  <c:v>-2.309375253220966E-2</c:v>
                </c:pt>
                <c:pt idx="1568">
                  <c:v>-3.4837425348374393E-3</c:v>
                </c:pt>
                <c:pt idx="1569">
                  <c:v>2.7467954053603987E-3</c:v>
                </c:pt>
                <c:pt idx="1570">
                  <c:v>-4.5654519797459717E-3</c:v>
                </c:pt>
                <c:pt idx="1571">
                  <c:v>1.9929953302201472E-2</c:v>
                </c:pt>
                <c:pt idx="1572">
                  <c:v>-3.1068596190008623E-3</c:v>
                </c:pt>
                <c:pt idx="1573">
                  <c:v>-1.9601410645452313E-2</c:v>
                </c:pt>
                <c:pt idx="1574">
                  <c:v>6.7759745691817639E-3</c:v>
                </c:pt>
                <c:pt idx="1575">
                  <c:v>-1.5621105110095517E-2</c:v>
                </c:pt>
                <c:pt idx="1576">
                  <c:v>2.3887904110745321E-2</c:v>
                </c:pt>
                <c:pt idx="1577">
                  <c:v>4.1220115416323163E-3</c:v>
                </c:pt>
                <c:pt idx="1578">
                  <c:v>-1.9129720853858771E-2</c:v>
                </c:pt>
                <c:pt idx="1579">
                  <c:v>1.5233949945593099E-2</c:v>
                </c:pt>
                <c:pt idx="1580">
                  <c:v>3.3143705169428606E-2</c:v>
                </c:pt>
                <c:pt idx="1581">
                  <c:v>-2.7451919240284076E-2</c:v>
                </c:pt>
                <c:pt idx="1582">
                  <c:v>1.2800525149749751E-2</c:v>
                </c:pt>
                <c:pt idx="1583">
                  <c:v>7.0485295309081286E-3</c:v>
                </c:pt>
                <c:pt idx="1584">
                  <c:v>2.7353177795655945E-3</c:v>
                </c:pt>
                <c:pt idx="1585">
                  <c:v>5.1347881899871679E-3</c:v>
                </c:pt>
                <c:pt idx="1586">
                  <c:v>7.1040868454661605E-3</c:v>
                </c:pt>
                <c:pt idx="1587">
                  <c:v>-9.273202821589931E-3</c:v>
                </c:pt>
                <c:pt idx="1588">
                  <c:v>1.9840000000000031E-2</c:v>
                </c:pt>
                <c:pt idx="1589">
                  <c:v>-1.8355820520866043E-2</c:v>
                </c:pt>
                <c:pt idx="1590">
                  <c:v>2.7489212082467733E-2</c:v>
                </c:pt>
                <c:pt idx="1591">
                  <c:v>2.1465235650956531E-2</c:v>
                </c:pt>
                <c:pt idx="1592">
                  <c:v>-1.6141312623724719E-2</c:v>
                </c:pt>
                <c:pt idx="1593">
                  <c:v>2.3216220399319872E-4</c:v>
                </c:pt>
                <c:pt idx="1594">
                  <c:v>2.003868471953581E-2</c:v>
                </c:pt>
                <c:pt idx="1595">
                  <c:v>-6.5230582524272874E-3</c:v>
                </c:pt>
                <c:pt idx="1596">
                  <c:v>-1.9086883493663156E-3</c:v>
                </c:pt>
                <c:pt idx="1597">
                  <c:v>-5.2780540044366081E-3</c:v>
                </c:pt>
                <c:pt idx="1598">
                  <c:v>1.6533374346355014E-2</c:v>
                </c:pt>
                <c:pt idx="1599">
                  <c:v>-8.1700582494892513E-3</c:v>
                </c:pt>
                <c:pt idx="1600">
                  <c:v>2.288154984362193E-4</c:v>
                </c:pt>
                <c:pt idx="1601">
                  <c:v>7.7779472319659173E-3</c:v>
                </c:pt>
                <c:pt idx="1602">
                  <c:v>-2.572639225181624E-3</c:v>
                </c:pt>
                <c:pt idx="1603">
                  <c:v>-1.168259748141399E-2</c:v>
                </c:pt>
                <c:pt idx="1604">
                  <c:v>-1.8268345102855355E-2</c:v>
                </c:pt>
                <c:pt idx="1605">
                  <c:v>-2.0719311962470725E-2</c:v>
                </c:pt>
                <c:pt idx="1606">
                  <c:v>-1.6047904191616807E-2</c:v>
                </c:pt>
                <c:pt idx="1607">
                  <c:v>-2.3531320999675361E-2</c:v>
                </c:pt>
                <c:pt idx="1608">
                  <c:v>-9.7224530496925511E-3</c:v>
                </c:pt>
                <c:pt idx="1609">
                  <c:v>4.4474280439708077E-3</c:v>
                </c:pt>
                <c:pt idx="1610">
                  <c:v>1.0860484544694691E-3</c:v>
                </c:pt>
                <c:pt idx="1611">
                  <c:v>-1.1099056997412989E-2</c:v>
                </c:pt>
                <c:pt idx="1612">
                  <c:v>-1.3839662447257388E-2</c:v>
                </c:pt>
                <c:pt idx="1613">
                  <c:v>-1.3434879342803296E-2</c:v>
                </c:pt>
                <c:pt idx="1614">
                  <c:v>-1.8908838580969787E-2</c:v>
                </c:pt>
                <c:pt idx="1615">
                  <c:v>-1.6797807444081034E-2</c:v>
                </c:pt>
                <c:pt idx="1616">
                  <c:v>1.0160956748493929E-2</c:v>
                </c:pt>
                <c:pt idx="1617">
                  <c:v>-1.9138330069432132E-2</c:v>
                </c:pt>
                <c:pt idx="1618">
                  <c:v>5.4451402123606744E-4</c:v>
                </c:pt>
                <c:pt idx="1619">
                  <c:v>-8.2539682539682236E-3</c:v>
                </c:pt>
                <c:pt idx="1620">
                  <c:v>3.402231571245655E-2</c:v>
                </c:pt>
                <c:pt idx="1621">
                  <c:v>-2.458871395719088E-2</c:v>
                </c:pt>
                <c:pt idx="1622">
                  <c:v>2.9923830250271882E-3</c:v>
                </c:pt>
                <c:pt idx="1623">
                  <c:v>-4.3395714673176381E-3</c:v>
                </c:pt>
                <c:pt idx="1624">
                  <c:v>-1.0351402887496601E-2</c:v>
                </c:pt>
                <c:pt idx="1625">
                  <c:v>4.6793283787503913E-3</c:v>
                </c:pt>
                <c:pt idx="1626">
                  <c:v>2.4657534246574977E-3</c:v>
                </c:pt>
                <c:pt idx="1627">
                  <c:v>-1.4484831921289873E-2</c:v>
                </c:pt>
                <c:pt idx="1628">
                  <c:v>6.193381401367974E-3</c:v>
                </c:pt>
                <c:pt idx="1629">
                  <c:v>5.787781350482404E-3</c:v>
                </c:pt>
                <c:pt idx="1630">
                  <c:v>1.8450858604311254E-2</c:v>
                </c:pt>
                <c:pt idx="1631">
                  <c:v>-8.1614349775784439E-3</c:v>
                </c:pt>
                <c:pt idx="1632">
                  <c:v>2.0707116375802442E-2</c:v>
                </c:pt>
                <c:pt idx="1633">
                  <c:v>-2.39192062367112E-3</c:v>
                </c:pt>
                <c:pt idx="1634">
                  <c:v>-2.7084628363378004E-2</c:v>
                </c:pt>
                <c:pt idx="1635">
                  <c:v>7.5757575757575604E-3</c:v>
                </c:pt>
                <c:pt idx="1636">
                  <c:v>-8.1529124014859513E-4</c:v>
                </c:pt>
                <c:pt idx="1637">
                  <c:v>-1.1876699909338189E-2</c:v>
                </c:pt>
                <c:pt idx="1638">
                  <c:v>1.3212221304706964E-2</c:v>
                </c:pt>
                <c:pt idx="1639">
                  <c:v>-6.2483020918229822E-3</c:v>
                </c:pt>
                <c:pt idx="1640">
                  <c:v>1.4397667213413508E-2</c:v>
                </c:pt>
                <c:pt idx="1641">
                  <c:v>-8.0848005749181826E-4</c:v>
                </c:pt>
                <c:pt idx="1642">
                  <c:v>1.0698552548772793E-2</c:v>
                </c:pt>
                <c:pt idx="1643">
                  <c:v>9.7847358121330216E-3</c:v>
                </c:pt>
                <c:pt idx="1644">
                  <c:v>6.8710359408033928E-3</c:v>
                </c:pt>
                <c:pt idx="1645">
                  <c:v>-1.399825021872261E-2</c:v>
                </c:pt>
                <c:pt idx="1646">
                  <c:v>1.3043478260869554E-2</c:v>
                </c:pt>
                <c:pt idx="1647">
                  <c:v>6.1312078479454476E-4</c:v>
                </c:pt>
                <c:pt idx="1648">
                  <c:v>2.809873949579839E-2</c:v>
                </c:pt>
                <c:pt idx="1649">
                  <c:v>6.9816943380161187E-3</c:v>
                </c:pt>
                <c:pt idx="1650">
                  <c:v>1.0653589244948044E-2</c:v>
                </c:pt>
                <c:pt idx="1651">
                  <c:v>-1.020664268384505E-2</c:v>
                </c:pt>
                <c:pt idx="1652">
                  <c:v>-5.3249936607217942E-3</c:v>
                </c:pt>
                <c:pt idx="1653">
                  <c:v>1.614547926580538E-3</c:v>
                </c:pt>
                <c:pt idx="1654">
                  <c:v>-1.5864935946381643E-2</c:v>
                </c:pt>
                <c:pt idx="1655">
                  <c:v>-1.5948275862068918E-2</c:v>
                </c:pt>
                <c:pt idx="1656">
                  <c:v>-1.1388523872098962E-3</c:v>
                </c:pt>
                <c:pt idx="1657">
                  <c:v>-7.8933520435001928E-4</c:v>
                </c:pt>
                <c:pt idx="1658">
                  <c:v>3.1598349863951498E-3</c:v>
                </c:pt>
                <c:pt idx="1659">
                  <c:v>1.5749409397147581E-2</c:v>
                </c:pt>
                <c:pt idx="1660">
                  <c:v>-5.2545438883624725E-3</c:v>
                </c:pt>
                <c:pt idx="1661">
                  <c:v>9.7852441981295061E-3</c:v>
                </c:pt>
                <c:pt idx="1662">
                  <c:v>-1.7151187719749836E-3</c:v>
                </c:pt>
                <c:pt idx="1663">
                  <c:v>-2.3193883686968134E-3</c:v>
                </c:pt>
                <c:pt idx="1664">
                  <c:v>3.8746340623385814E-3</c:v>
                </c:pt>
                <c:pt idx="1665">
                  <c:v>-2.8390084912942811E-2</c:v>
                </c:pt>
                <c:pt idx="1666">
                  <c:v>1.2358757062146944E-3</c:v>
                </c:pt>
                <c:pt idx="1667">
                  <c:v>-8.4641156762476459E-3</c:v>
                </c:pt>
                <c:pt idx="1668">
                  <c:v>-1.2626711719722458E-2</c:v>
                </c:pt>
                <c:pt idx="1669">
                  <c:v>-2.5756484149855902E-2</c:v>
                </c:pt>
                <c:pt idx="1670">
                  <c:v>-5.8236272878536667E-3</c:v>
                </c:pt>
                <c:pt idx="1671">
                  <c:v>-2.5755462575546222E-2</c:v>
                </c:pt>
                <c:pt idx="1672">
                  <c:v>1.2406947890818832E-2</c:v>
                </c:pt>
                <c:pt idx="1673">
                  <c:v>-3.0165912518853055E-3</c:v>
                </c:pt>
                <c:pt idx="1674">
                  <c:v>-2.2976550680786752E-2</c:v>
                </c:pt>
                <c:pt idx="1675">
                  <c:v>-9.000290331946121E-3</c:v>
                </c:pt>
                <c:pt idx="1676">
                  <c:v>1.0742187499999944E-2</c:v>
                </c:pt>
                <c:pt idx="1677">
                  <c:v>-7.9227053140095965E-3</c:v>
                </c:pt>
                <c:pt idx="1678">
                  <c:v>-3.6034281262174186E-3</c:v>
                </c:pt>
                <c:pt idx="1679">
                  <c:v>-4.7893656534064031E-3</c:v>
                </c:pt>
                <c:pt idx="1680">
                  <c:v>-1.4731879787860094E-3</c:v>
                </c:pt>
                <c:pt idx="1681">
                  <c:v>-2.3212353693321523E-2</c:v>
                </c:pt>
                <c:pt idx="1682">
                  <c:v>-3.0208438223744974E-4</c:v>
                </c:pt>
                <c:pt idx="1683">
                  <c:v>-7.453666398066024E-3</c:v>
                </c:pt>
                <c:pt idx="1684">
                  <c:v>4.13030241526283E-2</c:v>
                </c:pt>
                <c:pt idx="1685">
                  <c:v>-2.6313224831887344E-3</c:v>
                </c:pt>
                <c:pt idx="1686">
                  <c:v>-6.0582372483877715E-3</c:v>
                </c:pt>
                <c:pt idx="1687">
                  <c:v>1.4058198977585597E-2</c:v>
                </c:pt>
                <c:pt idx="1688">
                  <c:v>-1.8419777023752973E-3</c:v>
                </c:pt>
                <c:pt idx="1689">
                  <c:v>3.7878787878787936E-3</c:v>
                </c:pt>
                <c:pt idx="1690">
                  <c:v>-1.1804547653604247E-2</c:v>
                </c:pt>
                <c:pt idx="1691">
                  <c:v>2.193283070596308E-2</c:v>
                </c:pt>
                <c:pt idx="1692">
                  <c:v>-8.431541630736894E-3</c:v>
                </c:pt>
                <c:pt idx="1693">
                  <c:v>5.507778529326577E-3</c:v>
                </c:pt>
                <c:pt idx="1694">
                  <c:v>1.6048433596002321E-2</c:v>
                </c:pt>
                <c:pt idx="1695">
                  <c:v>-3.8778019483591297E-3</c:v>
                </c:pt>
                <c:pt idx="1696">
                  <c:v>2.8484618306115782E-4</c:v>
                </c:pt>
                <c:pt idx="1697">
                  <c:v>8.4480303749406797E-3</c:v>
                </c:pt>
                <c:pt idx="1698">
                  <c:v>9.7891566265060834E-3</c:v>
                </c:pt>
                <c:pt idx="1699">
                  <c:v>-1.482102908277408E-2</c:v>
                </c:pt>
                <c:pt idx="1700">
                  <c:v>2.8384899233607451E-3</c:v>
                </c:pt>
                <c:pt idx="1701">
                  <c:v>-1.2737050665157037E-2</c:v>
                </c:pt>
                <c:pt idx="1702">
                  <c:v>-1.0034403669724743E-2</c:v>
                </c:pt>
                <c:pt idx="1703">
                  <c:v>-8.6880973066898893E-3</c:v>
                </c:pt>
                <c:pt idx="1704">
                  <c:v>1.7138961924238048E-2</c:v>
                </c:pt>
                <c:pt idx="1705">
                  <c:v>2.2498803255145947E-2</c:v>
                </c:pt>
                <c:pt idx="1706">
                  <c:v>3.6423220973782776E-2</c:v>
                </c:pt>
                <c:pt idx="1707">
                  <c:v>-4.5171198843614742E-4</c:v>
                </c:pt>
                <c:pt idx="1708">
                  <c:v>-1.1388286334056445E-2</c:v>
                </c:pt>
                <c:pt idx="1709">
                  <c:v>-1.3073688059974335E-2</c:v>
                </c:pt>
                <c:pt idx="1710">
                  <c:v>2.2603056970819803E-2</c:v>
                </c:pt>
                <c:pt idx="1711">
                  <c:v>-2.1016396412718609E-2</c:v>
                </c:pt>
                <c:pt idx="1712">
                  <c:v>-4.0714351809012471E-3</c:v>
                </c:pt>
                <c:pt idx="1713">
                  <c:v>-7.5257827743194488E-3</c:v>
                </c:pt>
                <c:pt idx="1714">
                  <c:v>2.4527242089496394E-2</c:v>
                </c:pt>
                <c:pt idx="1715">
                  <c:v>-1.3706140350877194E-2</c:v>
                </c:pt>
                <c:pt idx="1716">
                  <c:v>1.5564202334630413E-2</c:v>
                </c:pt>
                <c:pt idx="1717">
                  <c:v>1.8518518518518528E-2</c:v>
                </c:pt>
                <c:pt idx="1718">
                  <c:v>-1.9704433497536845E-3</c:v>
                </c:pt>
                <c:pt idx="1719">
                  <c:v>6.7306829399623076E-3</c:v>
                </c:pt>
                <c:pt idx="1720">
                  <c:v>-2.0948475664111326E-2</c:v>
                </c:pt>
                <c:pt idx="1721">
                  <c:v>-9.1049804242915701E-4</c:v>
                </c:pt>
                <c:pt idx="1722">
                  <c:v>-2.642850633372881E-3</c:v>
                </c:pt>
                <c:pt idx="1723">
                  <c:v>-3.5453216374268966E-2</c:v>
                </c:pt>
                <c:pt idx="1724">
                  <c:v>6.0629026146267577E-3</c:v>
                </c:pt>
                <c:pt idx="1725">
                  <c:v>5.2730696798493617E-3</c:v>
                </c:pt>
                <c:pt idx="1726">
                  <c:v>-2.3229674035219219E-2</c:v>
                </c:pt>
                <c:pt idx="1727">
                  <c:v>-1.9179133103183737E-2</c:v>
                </c:pt>
                <c:pt idx="1728">
                  <c:v>-1.0070394994133761E-2</c:v>
                </c:pt>
                <c:pt idx="1729">
                  <c:v>-7.0123456790122836E-3</c:v>
                </c:pt>
                <c:pt idx="1730">
                  <c:v>-3.9785160135270108E-3</c:v>
                </c:pt>
                <c:pt idx="1731">
                  <c:v>-1.2981825444377842E-2</c:v>
                </c:pt>
                <c:pt idx="1732">
                  <c:v>-1.3658437879401138E-2</c:v>
                </c:pt>
                <c:pt idx="1733">
                  <c:v>4.6158580367217442E-3</c:v>
                </c:pt>
                <c:pt idx="1734">
                  <c:v>-6.2283030426791858E-3</c:v>
                </c:pt>
                <c:pt idx="1735">
                  <c:v>-1.2329189355800324E-3</c:v>
                </c:pt>
                <c:pt idx="1736">
                  <c:v>-2.8803621026642005E-3</c:v>
                </c:pt>
                <c:pt idx="1737">
                  <c:v>6.7058702156194312E-3</c:v>
                </c:pt>
                <c:pt idx="1738">
                  <c:v>-1.8446402951423715E-3</c:v>
                </c:pt>
                <c:pt idx="1739">
                  <c:v>1.2320328542094338E-2</c:v>
                </c:pt>
                <c:pt idx="1740">
                  <c:v>1.7241379310345001E-3</c:v>
                </c:pt>
                <c:pt idx="1741">
                  <c:v>1.2655664675508759E-2</c:v>
                </c:pt>
                <c:pt idx="1742">
                  <c:v>1.7596480703859281E-2</c:v>
                </c:pt>
                <c:pt idx="1743">
                  <c:v>-1.9944979367262736E-2</c:v>
                </c:pt>
                <c:pt idx="1744">
                  <c:v>1.3032581453634057E-2</c:v>
                </c:pt>
                <c:pt idx="1745">
                  <c:v>2.5037110341415154E-2</c:v>
                </c:pt>
                <c:pt idx="1746">
                  <c:v>-1.3129947866383466E-2</c:v>
                </c:pt>
                <c:pt idx="1747">
                  <c:v>-9.7828213656868672E-5</c:v>
                </c:pt>
                <c:pt idx="1748">
                  <c:v>-4.6962136777222363E-3</c:v>
                </c:pt>
                <c:pt idx="1749">
                  <c:v>6.4877617222058055E-3</c:v>
                </c:pt>
                <c:pt idx="1750">
                  <c:v>7.5202656509424362E-3</c:v>
                </c:pt>
                <c:pt idx="1751">
                  <c:v>-9.0151221403644115E-3</c:v>
                </c:pt>
                <c:pt idx="1752">
                  <c:v>1.8585542404382191E-2</c:v>
                </c:pt>
                <c:pt idx="1753">
                  <c:v>-1.1620090271775605E-2</c:v>
                </c:pt>
                <c:pt idx="1754">
                  <c:v>-1.5546055188495587E-3</c:v>
                </c:pt>
                <c:pt idx="1755">
                  <c:v>1.4499805371739926E-2</c:v>
                </c:pt>
                <c:pt idx="1756">
                  <c:v>2.7338129496402824E-2</c:v>
                </c:pt>
                <c:pt idx="1757">
                  <c:v>-6.7226890756302421E-3</c:v>
                </c:pt>
                <c:pt idx="1758">
                  <c:v>1.1092310584696436E-2</c:v>
                </c:pt>
                <c:pt idx="1759">
                  <c:v>3.4399404983265578E-3</c:v>
                </c:pt>
                <c:pt idx="1760">
                  <c:v>-2.1680718984527038E-2</c:v>
                </c:pt>
                <c:pt idx="1761">
                  <c:v>-1.2880007576475038E-2</c:v>
                </c:pt>
                <c:pt idx="1762">
                  <c:v>-1.6406025136716951E-2</c:v>
                </c:pt>
                <c:pt idx="1763">
                  <c:v>-6.632852126414286E-3</c:v>
                </c:pt>
                <c:pt idx="1764">
                  <c:v>-5.498821681068365E-3</c:v>
                </c:pt>
                <c:pt idx="1765">
                  <c:v>7.8988941548181573E-4</c:v>
                </c:pt>
                <c:pt idx="1766">
                  <c:v>1.7955801104972448E-2</c:v>
                </c:pt>
                <c:pt idx="1767">
                  <c:v>6.2027524714090548E-3</c:v>
                </c:pt>
                <c:pt idx="1768">
                  <c:v>3.7083413600462425E-2</c:v>
                </c:pt>
                <c:pt idx="1769">
                  <c:v>-3.0649205906937709E-3</c:v>
                </c:pt>
                <c:pt idx="1770">
                  <c:v>1.127259176448662E-2</c:v>
                </c:pt>
                <c:pt idx="1771">
                  <c:v>6.0801473975126358E-3</c:v>
                </c:pt>
                <c:pt idx="1772">
                  <c:v>2.1151909165827328E-2</c:v>
                </c:pt>
                <c:pt idx="1773">
                  <c:v>-4.9318507890961007E-3</c:v>
                </c:pt>
                <c:pt idx="1774">
                  <c:v>1.2075335676308942E-2</c:v>
                </c:pt>
                <c:pt idx="1775">
                  <c:v>2.2883091443326446E-2</c:v>
                </c:pt>
                <c:pt idx="1776">
                  <c:v>-9.6622562674094654E-3</c:v>
                </c:pt>
                <c:pt idx="1777">
                  <c:v>-7.9106970203031738E-4</c:v>
                </c:pt>
                <c:pt idx="1778">
                  <c:v>7.3011963406051919E-3</c:v>
                </c:pt>
                <c:pt idx="1779">
                  <c:v>-5.6763601432189819E-3</c:v>
                </c:pt>
                <c:pt idx="1780">
                  <c:v>-1.1768838924995639E-2</c:v>
                </c:pt>
                <c:pt idx="1781">
                  <c:v>2.5684322787060083E-2</c:v>
                </c:pt>
                <c:pt idx="1782">
                  <c:v>-2.8593709383935386E-3</c:v>
                </c:pt>
                <c:pt idx="1783">
                  <c:v>2.433090024330898E-2</c:v>
                </c:pt>
                <c:pt idx="1784">
                  <c:v>-6.7017305734644733E-3</c:v>
                </c:pt>
                <c:pt idx="1785">
                  <c:v>-2.5621316935690252E-3</c:v>
                </c:pt>
                <c:pt idx="1786">
                  <c:v>1.1387961298056325E-2</c:v>
                </c:pt>
                <c:pt idx="1787">
                  <c:v>-2.5397900440231238E-3</c:v>
                </c:pt>
                <c:pt idx="1788">
                  <c:v>-1.2137158377185476E-2</c:v>
                </c:pt>
                <c:pt idx="1789">
                  <c:v>-9.7087378640776309E-3</c:v>
                </c:pt>
                <c:pt idx="1790">
                  <c:v>4.0777372896060975E-3</c:v>
                </c:pt>
                <c:pt idx="1791">
                  <c:v>-8.9000259224056091E-3</c:v>
                </c:pt>
                <c:pt idx="1792">
                  <c:v>1.5693112467305371E-3</c:v>
                </c:pt>
                <c:pt idx="1793">
                  <c:v>-3.0988857938718684E-2</c:v>
                </c:pt>
                <c:pt idx="1794">
                  <c:v>-7.3661516349262778E-3</c:v>
                </c:pt>
                <c:pt idx="1795">
                  <c:v>-2.2624434389140274E-3</c:v>
                </c:pt>
                <c:pt idx="1796">
                  <c:v>-6.7120181405895228E-3</c:v>
                </c:pt>
                <c:pt idx="1797">
                  <c:v>-1.3514747511642809E-2</c:v>
                </c:pt>
                <c:pt idx="1798">
                  <c:v>-1.1848560585022689E-2</c:v>
                </c:pt>
                <c:pt idx="1799">
                  <c:v>1.2177985948477327E-3</c:v>
                </c:pt>
                <c:pt idx="1800">
                  <c:v>2.0958083832335415E-2</c:v>
                </c:pt>
                <c:pt idx="1801">
                  <c:v>-1.9061583577712593E-2</c:v>
                </c:pt>
                <c:pt idx="1802">
                  <c:v>-3.5500747384156358E-3</c:v>
                </c:pt>
                <c:pt idx="1803">
                  <c:v>1.3875867241702644E-2</c:v>
                </c:pt>
                <c:pt idx="1804">
                  <c:v>4.9935269095617374E-3</c:v>
                </c:pt>
                <c:pt idx="1805">
                  <c:v>-1.0121457489879798E-3</c:v>
                </c:pt>
                <c:pt idx="1806">
                  <c:v>-5.8948144054525777E-3</c:v>
                </c:pt>
                <c:pt idx="1807">
                  <c:v>4.6326322616508064E-4</c:v>
                </c:pt>
                <c:pt idx="1808">
                  <c:v>-1.1113169105390307E-3</c:v>
                </c:pt>
                <c:pt idx="1809">
                  <c:v>-2.9946226590024144E-2</c:v>
                </c:pt>
                <c:pt idx="1810">
                  <c:v>-9.557488292076843E-3</c:v>
                </c:pt>
                <c:pt idx="1811">
                  <c:v>-2.6729711473511494E-2</c:v>
                </c:pt>
                <c:pt idx="1812">
                  <c:v>1.8243109260360931E-2</c:v>
                </c:pt>
                <c:pt idx="1813">
                  <c:v>1.1684518013631965E-2</c:v>
                </c:pt>
                <c:pt idx="1814">
                  <c:v>-1.0587102983638194E-2</c:v>
                </c:pt>
                <c:pt idx="1815">
                  <c:v>1.147859922178995E-2</c:v>
                </c:pt>
                <c:pt idx="1816">
                  <c:v>3.4237353337180247E-2</c:v>
                </c:pt>
                <c:pt idx="1817">
                  <c:v>-8.3689789845639347E-3</c:v>
                </c:pt>
                <c:pt idx="1818">
                  <c:v>1.8379594898724622E-2</c:v>
                </c:pt>
                <c:pt idx="1819">
                  <c:v>5.3406998158380525E-3</c:v>
                </c:pt>
                <c:pt idx="1820">
                  <c:v>-3.022531599194106E-3</c:v>
                </c:pt>
                <c:pt idx="1821">
                  <c:v>-1.4974735875057377E-2</c:v>
                </c:pt>
                <c:pt idx="1822">
                  <c:v>-7.368028352919157E-3</c:v>
                </c:pt>
                <c:pt idx="1823">
                  <c:v>-5.1677158695857496E-3</c:v>
                </c:pt>
                <c:pt idx="1824">
                  <c:v>-3.1828485077446074E-2</c:v>
                </c:pt>
                <c:pt idx="1825">
                  <c:v>7.7065652131498583E-3</c:v>
                </c:pt>
                <c:pt idx="18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E5-4390-A8BD-6A277FE5F306}"/>
            </c:ext>
          </c:extLst>
        </c:ser>
        <c:ser>
          <c:idx val="1"/>
          <c:order val="1"/>
          <c:tx>
            <c:v>LUCK</c:v>
          </c:tx>
          <c:spPr>
            <a:ln w="47520">
              <a:noFill/>
            </a:ln>
          </c:spPr>
          <c:marker>
            <c:symbol val="circle"/>
            <c:size val="3"/>
            <c:spPr>
              <a:solidFill>
                <a:srgbClr val="0070C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'Scatter Data'!$A$3:$A$1830</c:f>
              <c:strCache>
                <c:ptCount val="1828"/>
                <c:pt idx="0">
                  <c:v>1.22%</c:v>
                </c:pt>
                <c:pt idx="1">
                  <c:v>-0.13%</c:v>
                </c:pt>
                <c:pt idx="2">
                  <c:v>0.80%</c:v>
                </c:pt>
                <c:pt idx="3">
                  <c:v>0.42%</c:v>
                </c:pt>
                <c:pt idx="4">
                  <c:v>0.54%</c:v>
                </c:pt>
                <c:pt idx="5">
                  <c:v>0.88%</c:v>
                </c:pt>
                <c:pt idx="6">
                  <c:v>-0.32%</c:v>
                </c:pt>
                <c:pt idx="7">
                  <c:v>-0.33%</c:v>
                </c:pt>
                <c:pt idx="8">
                  <c:v>-2.01%</c:v>
                </c:pt>
                <c:pt idx="9">
                  <c:v>0.29%</c:v>
                </c:pt>
                <c:pt idx="10">
                  <c:v>-1.29%</c:v>
                </c:pt>
                <c:pt idx="11">
                  <c:v>-0.84%</c:v>
                </c:pt>
                <c:pt idx="12">
                  <c:v>-0.40%</c:v>
                </c:pt>
                <c:pt idx="13">
                  <c:v>0.78%</c:v>
                </c:pt>
                <c:pt idx="14">
                  <c:v>0.69%</c:v>
                </c:pt>
                <c:pt idx="15">
                  <c:v>0.56%</c:v>
                </c:pt>
                <c:pt idx="16">
                  <c:v>-0.17%</c:v>
                </c:pt>
                <c:pt idx="17">
                  <c:v>0.36%</c:v>
                </c:pt>
                <c:pt idx="18">
                  <c:v>-0.98%</c:v>
                </c:pt>
                <c:pt idx="19">
                  <c:v>1.78%</c:v>
                </c:pt>
                <c:pt idx="20">
                  <c:v>1.87%</c:v>
                </c:pt>
                <c:pt idx="21">
                  <c:v>-0.65%</c:v>
                </c:pt>
                <c:pt idx="22">
                  <c:v>-1.37%</c:v>
                </c:pt>
                <c:pt idx="23">
                  <c:v>-1.28%</c:v>
                </c:pt>
                <c:pt idx="24">
                  <c:v>-1.02%</c:v>
                </c:pt>
                <c:pt idx="25">
                  <c:v>-1.02%</c:v>
                </c:pt>
                <c:pt idx="26">
                  <c:v>0.38%</c:v>
                </c:pt>
                <c:pt idx="27">
                  <c:v>0.24%</c:v>
                </c:pt>
                <c:pt idx="28">
                  <c:v>1.00%</c:v>
                </c:pt>
                <c:pt idx="29">
                  <c:v>0.24%</c:v>
                </c:pt>
                <c:pt idx="30">
                  <c:v>0.28%</c:v>
                </c:pt>
                <c:pt idx="31">
                  <c:v>-0.30%</c:v>
                </c:pt>
                <c:pt idx="32">
                  <c:v>1.80%</c:v>
                </c:pt>
                <c:pt idx="33">
                  <c:v>1.86%</c:v>
                </c:pt>
                <c:pt idx="34">
                  <c:v>-0.86%</c:v>
                </c:pt>
                <c:pt idx="35">
                  <c:v>0.38%</c:v>
                </c:pt>
                <c:pt idx="36">
                  <c:v>-0.26%</c:v>
                </c:pt>
                <c:pt idx="37">
                  <c:v>-0.26%</c:v>
                </c:pt>
                <c:pt idx="38">
                  <c:v>-0.60%</c:v>
                </c:pt>
                <c:pt idx="39">
                  <c:v>-1.27%</c:v>
                </c:pt>
                <c:pt idx="40">
                  <c:v>-0.27%</c:v>
                </c:pt>
                <c:pt idx="41">
                  <c:v>1.10%</c:v>
                </c:pt>
                <c:pt idx="42">
                  <c:v>1.60%</c:v>
                </c:pt>
                <c:pt idx="43">
                  <c:v>1.11%</c:v>
                </c:pt>
                <c:pt idx="44">
                  <c:v>0.20%</c:v>
                </c:pt>
                <c:pt idx="45">
                  <c:v>1.56%</c:v>
                </c:pt>
                <c:pt idx="46">
                  <c:v>-0.05%</c:v>
                </c:pt>
                <c:pt idx="47">
                  <c:v>-0.10%</c:v>
                </c:pt>
                <c:pt idx="48">
                  <c:v>-1.47%</c:v>
                </c:pt>
                <c:pt idx="49">
                  <c:v>1.38%</c:v>
                </c:pt>
                <c:pt idx="50">
                  <c:v>1.18%</c:v>
                </c:pt>
                <c:pt idx="51">
                  <c:v>-1.04%</c:v>
                </c:pt>
                <c:pt idx="52">
                  <c:v>-1.39%</c:v>
                </c:pt>
                <c:pt idx="53">
                  <c:v>2.29%</c:v>
                </c:pt>
                <c:pt idx="54">
                  <c:v>0.29%</c:v>
                </c:pt>
                <c:pt idx="55">
                  <c:v>-1.19%</c:v>
                </c:pt>
                <c:pt idx="56">
                  <c:v>-0.31%</c:v>
                </c:pt>
                <c:pt idx="57">
                  <c:v>0.69%</c:v>
                </c:pt>
                <c:pt idx="58">
                  <c:v>1.25%</c:v>
                </c:pt>
                <c:pt idx="59">
                  <c:v>0.95%</c:v>
                </c:pt>
                <c:pt idx="60">
                  <c:v>1.86%</c:v>
                </c:pt>
                <c:pt idx="61">
                  <c:v>0.86%</c:v>
                </c:pt>
                <c:pt idx="62">
                  <c:v>0.55%</c:v>
                </c:pt>
                <c:pt idx="63">
                  <c:v>1.42%</c:v>
                </c:pt>
                <c:pt idx="64">
                  <c:v>-0.53%</c:v>
                </c:pt>
                <c:pt idx="65">
                  <c:v>-0.63%</c:v>
                </c:pt>
                <c:pt idx="66">
                  <c:v>-1.57%</c:v>
                </c:pt>
                <c:pt idx="67">
                  <c:v>0.90%</c:v>
                </c:pt>
                <c:pt idx="68">
                  <c:v>-0.76%</c:v>
                </c:pt>
                <c:pt idx="69">
                  <c:v>0.32%</c:v>
                </c:pt>
                <c:pt idx="70">
                  <c:v>0.15%</c:v>
                </c:pt>
                <c:pt idx="71">
                  <c:v>-0.35%</c:v>
                </c:pt>
                <c:pt idx="72">
                  <c:v>-0.42%</c:v>
                </c:pt>
                <c:pt idx="73">
                  <c:v>1.16%</c:v>
                </c:pt>
                <c:pt idx="74">
                  <c:v>1.88%</c:v>
                </c:pt>
                <c:pt idx="75">
                  <c:v>-0.44%</c:v>
                </c:pt>
                <c:pt idx="76">
                  <c:v>-0.85%</c:v>
                </c:pt>
                <c:pt idx="77">
                  <c:v>2.22%</c:v>
                </c:pt>
                <c:pt idx="78">
                  <c:v>0.14%</c:v>
                </c:pt>
                <c:pt idx="79">
                  <c:v>-0.60%</c:v>
                </c:pt>
                <c:pt idx="80">
                  <c:v>-0.34%</c:v>
                </c:pt>
                <c:pt idx="81">
                  <c:v>1.01%</c:v>
                </c:pt>
                <c:pt idx="82">
                  <c:v>-0.06%</c:v>
                </c:pt>
                <c:pt idx="83">
                  <c:v>0.14%</c:v>
                </c:pt>
                <c:pt idx="84">
                  <c:v>-1.43%</c:v>
                </c:pt>
                <c:pt idx="85">
                  <c:v>-0.85%</c:v>
                </c:pt>
                <c:pt idx="86">
                  <c:v>1.30%</c:v>
                </c:pt>
                <c:pt idx="87">
                  <c:v>0.51%</c:v>
                </c:pt>
                <c:pt idx="88">
                  <c:v>1.18%</c:v>
                </c:pt>
                <c:pt idx="89">
                  <c:v>-1.89%</c:v>
                </c:pt>
                <c:pt idx="90">
                  <c:v>-0.62%</c:v>
                </c:pt>
                <c:pt idx="91">
                  <c:v>0.39%</c:v>
                </c:pt>
                <c:pt idx="92">
                  <c:v>0.80%</c:v>
                </c:pt>
                <c:pt idx="93">
                  <c:v>2.40%</c:v>
                </c:pt>
                <c:pt idx="94">
                  <c:v>0.26%</c:v>
                </c:pt>
                <c:pt idx="95">
                  <c:v>-0.98%</c:v>
                </c:pt>
                <c:pt idx="96">
                  <c:v>-0.83%</c:v>
                </c:pt>
                <c:pt idx="97">
                  <c:v>-1.48%</c:v>
                </c:pt>
                <c:pt idx="98">
                  <c:v>1.56%</c:v>
                </c:pt>
                <c:pt idx="99">
                  <c:v>-0.14%</c:v>
                </c:pt>
                <c:pt idx="100">
                  <c:v>-0.69%</c:v>
                </c:pt>
                <c:pt idx="101">
                  <c:v>1.34%</c:v>
                </c:pt>
                <c:pt idx="102">
                  <c:v>1.56%</c:v>
                </c:pt>
                <c:pt idx="103">
                  <c:v>-0.33%</c:v>
                </c:pt>
                <c:pt idx="104">
                  <c:v>-0.55%</c:v>
                </c:pt>
                <c:pt idx="105">
                  <c:v>0.37%</c:v>
                </c:pt>
                <c:pt idx="106">
                  <c:v>-1.88%</c:v>
                </c:pt>
                <c:pt idx="107">
                  <c:v>0.60%</c:v>
                </c:pt>
                <c:pt idx="108">
                  <c:v>0.81%</c:v>
                </c:pt>
                <c:pt idx="109">
                  <c:v>0.24%</c:v>
                </c:pt>
                <c:pt idx="110">
                  <c:v>0.84%</c:v>
                </c:pt>
                <c:pt idx="111">
                  <c:v>0.05%</c:v>
                </c:pt>
                <c:pt idx="112">
                  <c:v>0.23%</c:v>
                </c:pt>
                <c:pt idx="113">
                  <c:v>1.61%</c:v>
                </c:pt>
                <c:pt idx="114">
                  <c:v>0.16%</c:v>
                </c:pt>
                <c:pt idx="115">
                  <c:v>1.88%</c:v>
                </c:pt>
                <c:pt idx="116">
                  <c:v>1.01%</c:v>
                </c:pt>
                <c:pt idx="117">
                  <c:v>-0.26%</c:v>
                </c:pt>
                <c:pt idx="118">
                  <c:v>-0.01%</c:v>
                </c:pt>
                <c:pt idx="119">
                  <c:v>-0.73%</c:v>
                </c:pt>
                <c:pt idx="120">
                  <c:v>1.42%</c:v>
                </c:pt>
                <c:pt idx="121">
                  <c:v>3.18%</c:v>
                </c:pt>
                <c:pt idx="122">
                  <c:v>-0.25%</c:v>
                </c:pt>
                <c:pt idx="123">
                  <c:v>0.37%</c:v>
                </c:pt>
                <c:pt idx="124">
                  <c:v>0.59%</c:v>
                </c:pt>
                <c:pt idx="125">
                  <c:v>0.14%</c:v>
                </c:pt>
                <c:pt idx="126">
                  <c:v>-0.15%</c:v>
                </c:pt>
                <c:pt idx="127">
                  <c:v>0.76%</c:v>
                </c:pt>
                <c:pt idx="128">
                  <c:v>-1.62%</c:v>
                </c:pt>
                <c:pt idx="129">
                  <c:v>-0.95%</c:v>
                </c:pt>
                <c:pt idx="130">
                  <c:v>0.30%</c:v>
                </c:pt>
                <c:pt idx="131">
                  <c:v>0.11%</c:v>
                </c:pt>
                <c:pt idx="132">
                  <c:v>0.26%</c:v>
                </c:pt>
                <c:pt idx="133">
                  <c:v>0.70%</c:v>
                </c:pt>
                <c:pt idx="134">
                  <c:v>1.39%</c:v>
                </c:pt>
                <c:pt idx="135">
                  <c:v>-1.16%</c:v>
                </c:pt>
                <c:pt idx="136">
                  <c:v>-0.74%</c:v>
                </c:pt>
                <c:pt idx="137">
                  <c:v>1.25%</c:v>
                </c:pt>
                <c:pt idx="138">
                  <c:v>0.14%</c:v>
                </c:pt>
                <c:pt idx="139">
                  <c:v>0.25%</c:v>
                </c:pt>
                <c:pt idx="140">
                  <c:v>1.41%</c:v>
                </c:pt>
                <c:pt idx="141">
                  <c:v>-2.04%</c:v>
                </c:pt>
                <c:pt idx="142">
                  <c:v>1.73%</c:v>
                </c:pt>
                <c:pt idx="143">
                  <c:v>0.26%</c:v>
                </c:pt>
                <c:pt idx="144">
                  <c:v>-1.41%</c:v>
                </c:pt>
                <c:pt idx="145">
                  <c:v>1.41%</c:v>
                </c:pt>
                <c:pt idx="146">
                  <c:v>2.07%</c:v>
                </c:pt>
                <c:pt idx="147">
                  <c:v>1.74%</c:v>
                </c:pt>
                <c:pt idx="148">
                  <c:v>-0.25%</c:v>
                </c:pt>
                <c:pt idx="149">
                  <c:v>0.83%</c:v>
                </c:pt>
                <c:pt idx="150">
                  <c:v>0.64%</c:v>
                </c:pt>
                <c:pt idx="151">
                  <c:v>-1.52%</c:v>
                </c:pt>
                <c:pt idx="152">
                  <c:v>2.94%</c:v>
                </c:pt>
                <c:pt idx="153">
                  <c:v>-1.09%</c:v>
                </c:pt>
                <c:pt idx="154">
                  <c:v>2.38%</c:v>
                </c:pt>
                <c:pt idx="155">
                  <c:v>0.00%</c:v>
                </c:pt>
                <c:pt idx="156">
                  <c:v>0.34%</c:v>
                </c:pt>
                <c:pt idx="157">
                  <c:v>-0.25%</c:v>
                </c:pt>
                <c:pt idx="158">
                  <c:v>1.62%</c:v>
                </c:pt>
                <c:pt idx="159">
                  <c:v>2.06%</c:v>
                </c:pt>
                <c:pt idx="160">
                  <c:v>0.24%</c:v>
                </c:pt>
                <c:pt idx="161">
                  <c:v>-0.67%</c:v>
                </c:pt>
                <c:pt idx="162">
                  <c:v>-0.76%</c:v>
                </c:pt>
                <c:pt idx="163">
                  <c:v>0.80%</c:v>
                </c:pt>
                <c:pt idx="164">
                  <c:v>-2.49%</c:v>
                </c:pt>
                <c:pt idx="165">
                  <c:v>-1.79%</c:v>
                </c:pt>
                <c:pt idx="166">
                  <c:v>0.05%</c:v>
                </c:pt>
                <c:pt idx="167">
                  <c:v>0.38%</c:v>
                </c:pt>
                <c:pt idx="168">
                  <c:v>-0.51%</c:v>
                </c:pt>
                <c:pt idx="169">
                  <c:v>-0.45%</c:v>
                </c:pt>
                <c:pt idx="170">
                  <c:v>-1.92%</c:v>
                </c:pt>
                <c:pt idx="171">
                  <c:v>-0.41%</c:v>
                </c:pt>
                <c:pt idx="172">
                  <c:v>-0.14%</c:v>
                </c:pt>
                <c:pt idx="173">
                  <c:v>0.37%</c:v>
                </c:pt>
                <c:pt idx="174">
                  <c:v>0.69%</c:v>
                </c:pt>
                <c:pt idx="175">
                  <c:v>-2.17%</c:v>
                </c:pt>
                <c:pt idx="176">
                  <c:v>1.81%</c:v>
                </c:pt>
                <c:pt idx="177">
                  <c:v>-2.36%</c:v>
                </c:pt>
                <c:pt idx="178">
                  <c:v>0.62%</c:v>
                </c:pt>
                <c:pt idx="179">
                  <c:v>-0.48%</c:v>
                </c:pt>
                <c:pt idx="180">
                  <c:v>1.15%</c:v>
                </c:pt>
                <c:pt idx="181">
                  <c:v>0.66%</c:v>
                </c:pt>
                <c:pt idx="182">
                  <c:v>-0.18%</c:v>
                </c:pt>
                <c:pt idx="183">
                  <c:v>-0.32%</c:v>
                </c:pt>
                <c:pt idx="184">
                  <c:v>-1.85%</c:v>
                </c:pt>
                <c:pt idx="185">
                  <c:v>-0.07%</c:v>
                </c:pt>
                <c:pt idx="186">
                  <c:v>-0.79%</c:v>
                </c:pt>
                <c:pt idx="187">
                  <c:v>-1.03%</c:v>
                </c:pt>
                <c:pt idx="188">
                  <c:v>-1.23%</c:v>
                </c:pt>
                <c:pt idx="189">
                  <c:v>0.05%</c:v>
                </c:pt>
                <c:pt idx="190">
                  <c:v>-0.44%</c:v>
                </c:pt>
                <c:pt idx="191">
                  <c:v>1.02%</c:v>
                </c:pt>
                <c:pt idx="192">
                  <c:v>-0.58%</c:v>
                </c:pt>
                <c:pt idx="193">
                  <c:v>-1.65%</c:v>
                </c:pt>
                <c:pt idx="194">
                  <c:v>-0.86%</c:v>
                </c:pt>
                <c:pt idx="195">
                  <c:v>0.07%</c:v>
                </c:pt>
                <c:pt idx="196">
                  <c:v>-2.04%</c:v>
                </c:pt>
                <c:pt idx="197">
                  <c:v>1.53%</c:v>
                </c:pt>
                <c:pt idx="198">
                  <c:v>-0.23%</c:v>
                </c:pt>
                <c:pt idx="199">
                  <c:v>-0.12%</c:v>
                </c:pt>
                <c:pt idx="200">
                  <c:v>0.18%</c:v>
                </c:pt>
                <c:pt idx="201">
                  <c:v>0.79%</c:v>
                </c:pt>
                <c:pt idx="202">
                  <c:v>0.78%</c:v>
                </c:pt>
                <c:pt idx="203">
                  <c:v>-0.83%</c:v>
                </c:pt>
                <c:pt idx="204">
                  <c:v>-0.78%</c:v>
                </c:pt>
                <c:pt idx="205">
                  <c:v>2.27%</c:v>
                </c:pt>
                <c:pt idx="206">
                  <c:v>-2.36%</c:v>
                </c:pt>
                <c:pt idx="207">
                  <c:v>-1.12%</c:v>
                </c:pt>
                <c:pt idx="208">
                  <c:v>-0.97%</c:v>
                </c:pt>
                <c:pt idx="209">
                  <c:v>1.06%</c:v>
                </c:pt>
                <c:pt idx="210">
                  <c:v>0.35%</c:v>
                </c:pt>
                <c:pt idx="211">
                  <c:v>0.39%</c:v>
                </c:pt>
                <c:pt idx="212">
                  <c:v>-0.96%</c:v>
                </c:pt>
                <c:pt idx="213">
                  <c:v>0.40%</c:v>
                </c:pt>
                <c:pt idx="214">
                  <c:v>-1.06%</c:v>
                </c:pt>
                <c:pt idx="215">
                  <c:v>-0.60%</c:v>
                </c:pt>
                <c:pt idx="216">
                  <c:v>-0.83%</c:v>
                </c:pt>
                <c:pt idx="217">
                  <c:v>-0.79%</c:v>
                </c:pt>
                <c:pt idx="218">
                  <c:v>-1.10%</c:v>
                </c:pt>
                <c:pt idx="219">
                  <c:v>0.27%</c:v>
                </c:pt>
                <c:pt idx="220">
                  <c:v>0.37%</c:v>
                </c:pt>
                <c:pt idx="221">
                  <c:v>-0.90%</c:v>
                </c:pt>
                <c:pt idx="222">
                  <c:v>-0.49%</c:v>
                </c:pt>
                <c:pt idx="223">
                  <c:v>0.52%</c:v>
                </c:pt>
                <c:pt idx="224">
                  <c:v>0.20%</c:v>
                </c:pt>
                <c:pt idx="225">
                  <c:v>1.66%</c:v>
                </c:pt>
                <c:pt idx="226">
                  <c:v>-0.26%</c:v>
                </c:pt>
                <c:pt idx="227">
                  <c:v>0.40%</c:v>
                </c:pt>
                <c:pt idx="228">
                  <c:v>0.78%</c:v>
                </c:pt>
                <c:pt idx="229">
                  <c:v>-1.10%</c:v>
                </c:pt>
                <c:pt idx="230">
                  <c:v>-1.20%</c:v>
                </c:pt>
                <c:pt idx="231">
                  <c:v>-1.53%</c:v>
                </c:pt>
                <c:pt idx="232">
                  <c:v>0.50%</c:v>
                </c:pt>
                <c:pt idx="233">
                  <c:v>-0.19%</c:v>
                </c:pt>
                <c:pt idx="234">
                  <c:v>0.32%</c:v>
                </c:pt>
                <c:pt idx="235">
                  <c:v>0.17%</c:v>
                </c:pt>
                <c:pt idx="236">
                  <c:v>0.27%</c:v>
                </c:pt>
                <c:pt idx="237">
                  <c:v>0.75%</c:v>
                </c:pt>
                <c:pt idx="238">
                  <c:v>-0.42%</c:v>
                </c:pt>
                <c:pt idx="239">
                  <c:v>0.88%</c:v>
                </c:pt>
                <c:pt idx="240">
                  <c:v>0.72%</c:v>
                </c:pt>
                <c:pt idx="241">
                  <c:v>-1.54%</c:v>
                </c:pt>
                <c:pt idx="242">
                  <c:v>-0.24%</c:v>
                </c:pt>
                <c:pt idx="243">
                  <c:v>1.79%</c:v>
                </c:pt>
                <c:pt idx="244">
                  <c:v>4.11%</c:v>
                </c:pt>
                <c:pt idx="245">
                  <c:v>-0.02%</c:v>
                </c:pt>
                <c:pt idx="246">
                  <c:v>0.06%</c:v>
                </c:pt>
                <c:pt idx="247">
                  <c:v>-1.82%</c:v>
                </c:pt>
                <c:pt idx="248">
                  <c:v>0.16%</c:v>
                </c:pt>
                <c:pt idx="249">
                  <c:v>-0.04%</c:v>
                </c:pt>
                <c:pt idx="250">
                  <c:v>-0.61%</c:v>
                </c:pt>
                <c:pt idx="251">
                  <c:v>2.04%</c:v>
                </c:pt>
                <c:pt idx="252">
                  <c:v>0.27%</c:v>
                </c:pt>
                <c:pt idx="253">
                  <c:v>-1.09%</c:v>
                </c:pt>
                <c:pt idx="254">
                  <c:v>-1.20%</c:v>
                </c:pt>
                <c:pt idx="255">
                  <c:v>0.87%</c:v>
                </c:pt>
                <c:pt idx="256">
                  <c:v>-0.68%</c:v>
                </c:pt>
                <c:pt idx="257">
                  <c:v>-1.03%</c:v>
                </c:pt>
                <c:pt idx="258">
                  <c:v>-1.88%</c:v>
                </c:pt>
                <c:pt idx="259">
                  <c:v>-0.12%</c:v>
                </c:pt>
                <c:pt idx="260">
                  <c:v>0.71%</c:v>
                </c:pt>
                <c:pt idx="261">
                  <c:v>0.96%</c:v>
                </c:pt>
                <c:pt idx="262">
                  <c:v>0.31%</c:v>
                </c:pt>
                <c:pt idx="263">
                  <c:v>1.90%</c:v>
                </c:pt>
                <c:pt idx="264">
                  <c:v>-1.31%</c:v>
                </c:pt>
                <c:pt idx="265">
                  <c:v>0.25%</c:v>
                </c:pt>
                <c:pt idx="266">
                  <c:v>0.46%</c:v>
                </c:pt>
                <c:pt idx="267">
                  <c:v>-1.82%</c:v>
                </c:pt>
                <c:pt idx="268">
                  <c:v>-0.18%</c:v>
                </c:pt>
                <c:pt idx="269">
                  <c:v>-1.21%</c:v>
                </c:pt>
                <c:pt idx="270">
                  <c:v>0.29%</c:v>
                </c:pt>
                <c:pt idx="271">
                  <c:v>-0.91%</c:v>
                </c:pt>
                <c:pt idx="272">
                  <c:v>0.78%</c:v>
                </c:pt>
                <c:pt idx="273">
                  <c:v>1.83%</c:v>
                </c:pt>
                <c:pt idx="274">
                  <c:v>-0.21%</c:v>
                </c:pt>
                <c:pt idx="275">
                  <c:v>-0.70%</c:v>
                </c:pt>
                <c:pt idx="276">
                  <c:v>-1.34%</c:v>
                </c:pt>
                <c:pt idx="277">
                  <c:v>0.48%</c:v>
                </c:pt>
                <c:pt idx="278">
                  <c:v>-1.01%</c:v>
                </c:pt>
                <c:pt idx="279">
                  <c:v>1.09%</c:v>
                </c:pt>
                <c:pt idx="280">
                  <c:v>1.92%</c:v>
                </c:pt>
                <c:pt idx="281">
                  <c:v>2.00%</c:v>
                </c:pt>
                <c:pt idx="282">
                  <c:v>2.10%</c:v>
                </c:pt>
                <c:pt idx="283">
                  <c:v>0.16%</c:v>
                </c:pt>
                <c:pt idx="284">
                  <c:v>0.56%</c:v>
                </c:pt>
                <c:pt idx="285">
                  <c:v>-0.86%</c:v>
                </c:pt>
                <c:pt idx="286">
                  <c:v>-1.47%</c:v>
                </c:pt>
                <c:pt idx="287">
                  <c:v>0.87%</c:v>
                </c:pt>
                <c:pt idx="288">
                  <c:v>-1.58%</c:v>
                </c:pt>
                <c:pt idx="289">
                  <c:v>1.16%</c:v>
                </c:pt>
                <c:pt idx="290">
                  <c:v>-0.94%</c:v>
                </c:pt>
                <c:pt idx="291">
                  <c:v>-0.20%</c:v>
                </c:pt>
                <c:pt idx="292">
                  <c:v>2.00%</c:v>
                </c:pt>
                <c:pt idx="293">
                  <c:v>0.33%</c:v>
                </c:pt>
                <c:pt idx="294">
                  <c:v>0.61%</c:v>
                </c:pt>
                <c:pt idx="295">
                  <c:v>-0.27%</c:v>
                </c:pt>
                <c:pt idx="296">
                  <c:v>1.01%</c:v>
                </c:pt>
                <c:pt idx="297">
                  <c:v>-0.26%</c:v>
                </c:pt>
                <c:pt idx="298">
                  <c:v>-1.02%</c:v>
                </c:pt>
                <c:pt idx="299">
                  <c:v>-1.09%</c:v>
                </c:pt>
                <c:pt idx="300">
                  <c:v>-1.74%</c:v>
                </c:pt>
                <c:pt idx="301">
                  <c:v>-1.39%</c:v>
                </c:pt>
                <c:pt idx="302">
                  <c:v>0.80%</c:v>
                </c:pt>
                <c:pt idx="303">
                  <c:v>-0.06%</c:v>
                </c:pt>
                <c:pt idx="304">
                  <c:v>-1.05%</c:v>
                </c:pt>
                <c:pt idx="305">
                  <c:v>0.93%</c:v>
                </c:pt>
                <c:pt idx="306">
                  <c:v>0.24%</c:v>
                </c:pt>
                <c:pt idx="307">
                  <c:v>0.54%</c:v>
                </c:pt>
                <c:pt idx="308">
                  <c:v>-1.09%</c:v>
                </c:pt>
                <c:pt idx="309">
                  <c:v>-0.49%</c:v>
                </c:pt>
                <c:pt idx="310">
                  <c:v>0.43%</c:v>
                </c:pt>
                <c:pt idx="311">
                  <c:v>-0.27%</c:v>
                </c:pt>
                <c:pt idx="312">
                  <c:v>1.18%</c:v>
                </c:pt>
                <c:pt idx="313">
                  <c:v>0.91%</c:v>
                </c:pt>
                <c:pt idx="314">
                  <c:v>1.73%</c:v>
                </c:pt>
                <c:pt idx="315">
                  <c:v>0.38%</c:v>
                </c:pt>
                <c:pt idx="316">
                  <c:v>-0.69%</c:v>
                </c:pt>
                <c:pt idx="317">
                  <c:v>0.09%</c:v>
                </c:pt>
                <c:pt idx="318">
                  <c:v>2.67%</c:v>
                </c:pt>
                <c:pt idx="319">
                  <c:v>1.27%</c:v>
                </c:pt>
                <c:pt idx="320">
                  <c:v>-0.14%</c:v>
                </c:pt>
                <c:pt idx="321">
                  <c:v>0.84%</c:v>
                </c:pt>
                <c:pt idx="322">
                  <c:v>-0.20%</c:v>
                </c:pt>
                <c:pt idx="323">
                  <c:v>-0.33%</c:v>
                </c:pt>
                <c:pt idx="324">
                  <c:v>1.32%</c:v>
                </c:pt>
                <c:pt idx="325">
                  <c:v>0.52%</c:v>
                </c:pt>
                <c:pt idx="326">
                  <c:v>1.10%</c:v>
                </c:pt>
                <c:pt idx="327">
                  <c:v>2.02%</c:v>
                </c:pt>
                <c:pt idx="328">
                  <c:v>-0.53%</c:v>
                </c:pt>
                <c:pt idx="329">
                  <c:v>0.39%</c:v>
                </c:pt>
                <c:pt idx="330">
                  <c:v>1.11%</c:v>
                </c:pt>
                <c:pt idx="331">
                  <c:v>0.94%</c:v>
                </c:pt>
                <c:pt idx="332">
                  <c:v>-0.39%</c:v>
                </c:pt>
                <c:pt idx="333">
                  <c:v>0.09%</c:v>
                </c:pt>
                <c:pt idx="334">
                  <c:v>2.22%</c:v>
                </c:pt>
                <c:pt idx="335">
                  <c:v>-0.60%</c:v>
                </c:pt>
                <c:pt idx="336">
                  <c:v>0.56%</c:v>
                </c:pt>
                <c:pt idx="337">
                  <c:v>0.60%</c:v>
                </c:pt>
                <c:pt idx="338">
                  <c:v>-1.59%</c:v>
                </c:pt>
                <c:pt idx="339">
                  <c:v>0.77%</c:v>
                </c:pt>
                <c:pt idx="340">
                  <c:v>-1.49%</c:v>
                </c:pt>
                <c:pt idx="341">
                  <c:v>0.28%</c:v>
                </c:pt>
                <c:pt idx="342">
                  <c:v>1.44%</c:v>
                </c:pt>
                <c:pt idx="343">
                  <c:v>-0.53%</c:v>
                </c:pt>
                <c:pt idx="344">
                  <c:v>-1.69%</c:v>
                </c:pt>
                <c:pt idx="345">
                  <c:v>0.01%</c:v>
                </c:pt>
                <c:pt idx="346">
                  <c:v>0.01%</c:v>
                </c:pt>
                <c:pt idx="347">
                  <c:v>0.17%</c:v>
                </c:pt>
                <c:pt idx="348">
                  <c:v>0.29%</c:v>
                </c:pt>
                <c:pt idx="349">
                  <c:v>0.36%</c:v>
                </c:pt>
                <c:pt idx="350">
                  <c:v>-1.62%</c:v>
                </c:pt>
                <c:pt idx="351">
                  <c:v>1.25%</c:v>
                </c:pt>
                <c:pt idx="352">
                  <c:v>-2.42%</c:v>
                </c:pt>
                <c:pt idx="353">
                  <c:v>-0.37%</c:v>
                </c:pt>
                <c:pt idx="354">
                  <c:v>0.95%</c:v>
                </c:pt>
                <c:pt idx="355">
                  <c:v>-0.83%</c:v>
                </c:pt>
                <c:pt idx="356">
                  <c:v>-1.61%</c:v>
                </c:pt>
                <c:pt idx="357">
                  <c:v>-0.82%</c:v>
                </c:pt>
                <c:pt idx="358">
                  <c:v>-0.52%</c:v>
                </c:pt>
                <c:pt idx="359">
                  <c:v>2.31%</c:v>
                </c:pt>
                <c:pt idx="360">
                  <c:v>-1.66%</c:v>
                </c:pt>
                <c:pt idx="361">
                  <c:v>0.51%</c:v>
                </c:pt>
                <c:pt idx="362">
                  <c:v>-0.19%</c:v>
                </c:pt>
                <c:pt idx="363">
                  <c:v>-0.89%</c:v>
                </c:pt>
                <c:pt idx="364">
                  <c:v>-1.53%</c:v>
                </c:pt>
                <c:pt idx="365">
                  <c:v>-1.31%</c:v>
                </c:pt>
                <c:pt idx="366">
                  <c:v>0.42%</c:v>
                </c:pt>
                <c:pt idx="367">
                  <c:v>0.80%</c:v>
                </c:pt>
                <c:pt idx="368">
                  <c:v>1.53%</c:v>
                </c:pt>
                <c:pt idx="369">
                  <c:v>-1.05%</c:v>
                </c:pt>
                <c:pt idx="370">
                  <c:v>-2.37%</c:v>
                </c:pt>
                <c:pt idx="371">
                  <c:v>0.69%</c:v>
                </c:pt>
                <c:pt idx="372">
                  <c:v>0.63%</c:v>
                </c:pt>
                <c:pt idx="373">
                  <c:v>1.38%</c:v>
                </c:pt>
                <c:pt idx="374">
                  <c:v>-2.11%</c:v>
                </c:pt>
                <c:pt idx="375">
                  <c:v>1.73%</c:v>
                </c:pt>
                <c:pt idx="376">
                  <c:v>0.18%</c:v>
                </c:pt>
                <c:pt idx="377">
                  <c:v>2.32%</c:v>
                </c:pt>
                <c:pt idx="378">
                  <c:v>-0.20%</c:v>
                </c:pt>
                <c:pt idx="379">
                  <c:v>1.61%</c:v>
                </c:pt>
                <c:pt idx="380">
                  <c:v>-0.62%</c:v>
                </c:pt>
                <c:pt idx="381">
                  <c:v>2.47%</c:v>
                </c:pt>
                <c:pt idx="382">
                  <c:v>-0.55%</c:v>
                </c:pt>
                <c:pt idx="383">
                  <c:v>-1.68%</c:v>
                </c:pt>
                <c:pt idx="384">
                  <c:v>0.31%</c:v>
                </c:pt>
                <c:pt idx="385">
                  <c:v>1.33%</c:v>
                </c:pt>
                <c:pt idx="386">
                  <c:v>1.47%</c:v>
                </c:pt>
                <c:pt idx="387">
                  <c:v>-0.03%</c:v>
                </c:pt>
                <c:pt idx="388">
                  <c:v>0.49%</c:v>
                </c:pt>
                <c:pt idx="389">
                  <c:v>0.02%</c:v>
                </c:pt>
                <c:pt idx="390">
                  <c:v>1.56%</c:v>
                </c:pt>
                <c:pt idx="391">
                  <c:v>1.22%</c:v>
                </c:pt>
                <c:pt idx="392">
                  <c:v>-0.54%</c:v>
                </c:pt>
                <c:pt idx="393">
                  <c:v>1.14%</c:v>
                </c:pt>
                <c:pt idx="394">
                  <c:v>0.01%</c:v>
                </c:pt>
                <c:pt idx="395">
                  <c:v>1.38%</c:v>
                </c:pt>
                <c:pt idx="396">
                  <c:v>-0.39%</c:v>
                </c:pt>
                <c:pt idx="397">
                  <c:v>0.14%</c:v>
                </c:pt>
                <c:pt idx="398">
                  <c:v>-0.61%</c:v>
                </c:pt>
                <c:pt idx="399">
                  <c:v>-1.74%</c:v>
                </c:pt>
                <c:pt idx="400">
                  <c:v>-1.34%</c:v>
                </c:pt>
                <c:pt idx="401">
                  <c:v>1.31%</c:v>
                </c:pt>
                <c:pt idx="402">
                  <c:v>0.74%</c:v>
                </c:pt>
                <c:pt idx="403">
                  <c:v>-0.86%</c:v>
                </c:pt>
                <c:pt idx="404">
                  <c:v>0.59%</c:v>
                </c:pt>
                <c:pt idx="405">
                  <c:v>0.07%</c:v>
                </c:pt>
                <c:pt idx="406">
                  <c:v>0.91%</c:v>
                </c:pt>
                <c:pt idx="407">
                  <c:v>-0.47%</c:v>
                </c:pt>
                <c:pt idx="408">
                  <c:v>0.02%</c:v>
                </c:pt>
                <c:pt idx="409">
                  <c:v>-1.27%</c:v>
                </c:pt>
                <c:pt idx="410">
                  <c:v>1.34%</c:v>
                </c:pt>
                <c:pt idx="411">
                  <c:v>0.63%</c:v>
                </c:pt>
                <c:pt idx="412">
                  <c:v>0.17%</c:v>
                </c:pt>
                <c:pt idx="413">
                  <c:v>2.81%</c:v>
                </c:pt>
                <c:pt idx="414">
                  <c:v>1.37%</c:v>
                </c:pt>
                <c:pt idx="415">
                  <c:v>1.66%</c:v>
                </c:pt>
                <c:pt idx="416">
                  <c:v>0.41%</c:v>
                </c:pt>
                <c:pt idx="417">
                  <c:v>-0.55%</c:v>
                </c:pt>
                <c:pt idx="418">
                  <c:v>0.55%</c:v>
                </c:pt>
                <c:pt idx="419">
                  <c:v>0.09%</c:v>
                </c:pt>
                <c:pt idx="420">
                  <c:v>-0.35%</c:v>
                </c:pt>
                <c:pt idx="421">
                  <c:v>1.38%</c:v>
                </c:pt>
                <c:pt idx="422">
                  <c:v>-0.32%</c:v>
                </c:pt>
                <c:pt idx="423">
                  <c:v>0.32%</c:v>
                </c:pt>
                <c:pt idx="424">
                  <c:v>0.18%</c:v>
                </c:pt>
                <c:pt idx="425">
                  <c:v>-1.66%</c:v>
                </c:pt>
                <c:pt idx="426">
                  <c:v>0.64%</c:v>
                </c:pt>
                <c:pt idx="427">
                  <c:v>0.91%</c:v>
                </c:pt>
                <c:pt idx="428">
                  <c:v>0.10%</c:v>
                </c:pt>
                <c:pt idx="429">
                  <c:v>0.33%</c:v>
                </c:pt>
                <c:pt idx="430">
                  <c:v>-0.32%</c:v>
                </c:pt>
                <c:pt idx="431">
                  <c:v>-0.67%</c:v>
                </c:pt>
                <c:pt idx="432">
                  <c:v>-0.67%</c:v>
                </c:pt>
                <c:pt idx="433">
                  <c:v>-2.00%</c:v>
                </c:pt>
                <c:pt idx="434">
                  <c:v>0.65%</c:v>
                </c:pt>
                <c:pt idx="435">
                  <c:v>-1.47%</c:v>
                </c:pt>
                <c:pt idx="436">
                  <c:v>-0.47%</c:v>
                </c:pt>
                <c:pt idx="437">
                  <c:v>-2.33%</c:v>
                </c:pt>
                <c:pt idx="438">
                  <c:v>-0.72%</c:v>
                </c:pt>
                <c:pt idx="439">
                  <c:v>0.65%</c:v>
                </c:pt>
                <c:pt idx="440">
                  <c:v>0.14%</c:v>
                </c:pt>
                <c:pt idx="441">
                  <c:v>0.07%</c:v>
                </c:pt>
                <c:pt idx="442">
                  <c:v>0.31%</c:v>
                </c:pt>
                <c:pt idx="443">
                  <c:v>-1.88%</c:v>
                </c:pt>
                <c:pt idx="444">
                  <c:v>1.03%</c:v>
                </c:pt>
                <c:pt idx="445">
                  <c:v>-0.44%</c:v>
                </c:pt>
                <c:pt idx="446">
                  <c:v>0.07%</c:v>
                </c:pt>
                <c:pt idx="447">
                  <c:v>0.53%</c:v>
                </c:pt>
                <c:pt idx="448">
                  <c:v>-2.97%</c:v>
                </c:pt>
                <c:pt idx="449">
                  <c:v>1.65%</c:v>
                </c:pt>
                <c:pt idx="450">
                  <c:v>-0.35%</c:v>
                </c:pt>
                <c:pt idx="451">
                  <c:v>0.67%</c:v>
                </c:pt>
                <c:pt idx="452">
                  <c:v>-0.35%</c:v>
                </c:pt>
                <c:pt idx="453">
                  <c:v>-0.66%</c:v>
                </c:pt>
                <c:pt idx="454">
                  <c:v>1.53%</c:v>
                </c:pt>
                <c:pt idx="455">
                  <c:v>-1.33%</c:v>
                </c:pt>
                <c:pt idx="456">
                  <c:v>0.37%</c:v>
                </c:pt>
                <c:pt idx="457">
                  <c:v>-0.57%</c:v>
                </c:pt>
                <c:pt idx="458">
                  <c:v>0.62%</c:v>
                </c:pt>
                <c:pt idx="459">
                  <c:v>1.06%</c:v>
                </c:pt>
                <c:pt idx="460">
                  <c:v>0.82%</c:v>
                </c:pt>
                <c:pt idx="461">
                  <c:v>0.67%</c:v>
                </c:pt>
                <c:pt idx="462">
                  <c:v>-0.64%</c:v>
                </c:pt>
                <c:pt idx="463">
                  <c:v>-0.24%</c:v>
                </c:pt>
                <c:pt idx="464">
                  <c:v>0.41%</c:v>
                </c:pt>
                <c:pt idx="465">
                  <c:v>1.40%</c:v>
                </c:pt>
                <c:pt idx="466">
                  <c:v>0.57%</c:v>
                </c:pt>
                <c:pt idx="467">
                  <c:v>-0.18%</c:v>
                </c:pt>
                <c:pt idx="468">
                  <c:v>0.28%</c:v>
                </c:pt>
                <c:pt idx="469">
                  <c:v>1.07%</c:v>
                </c:pt>
                <c:pt idx="470">
                  <c:v>0.57%</c:v>
                </c:pt>
                <c:pt idx="471">
                  <c:v>1.06%</c:v>
                </c:pt>
                <c:pt idx="472">
                  <c:v>-0.42%</c:v>
                </c:pt>
                <c:pt idx="473">
                  <c:v>1.07%</c:v>
                </c:pt>
                <c:pt idx="474">
                  <c:v>-0.37%</c:v>
                </c:pt>
                <c:pt idx="475">
                  <c:v>0.14%</c:v>
                </c:pt>
                <c:pt idx="476">
                  <c:v>0.69%</c:v>
                </c:pt>
                <c:pt idx="477">
                  <c:v>-1.47%</c:v>
                </c:pt>
                <c:pt idx="478">
                  <c:v>-0.25%</c:v>
                </c:pt>
                <c:pt idx="479">
                  <c:v>0.35%</c:v>
                </c:pt>
                <c:pt idx="480">
                  <c:v>0.22%</c:v>
                </c:pt>
                <c:pt idx="481">
                  <c:v>0.98%</c:v>
                </c:pt>
                <c:pt idx="482">
                  <c:v>-2.60%</c:v>
                </c:pt>
                <c:pt idx="483">
                  <c:v>-1.85%</c:v>
                </c:pt>
                <c:pt idx="484">
                  <c:v>1.16%</c:v>
                </c:pt>
                <c:pt idx="485">
                  <c:v>0.87%</c:v>
                </c:pt>
                <c:pt idx="486">
                  <c:v>2.24%</c:v>
                </c:pt>
                <c:pt idx="487">
                  <c:v>-0.10%</c:v>
                </c:pt>
                <c:pt idx="488">
                  <c:v>1.39%</c:v>
                </c:pt>
                <c:pt idx="489">
                  <c:v>2.56%</c:v>
                </c:pt>
                <c:pt idx="490">
                  <c:v>-2.56%</c:v>
                </c:pt>
                <c:pt idx="491">
                  <c:v>-1.84%</c:v>
                </c:pt>
                <c:pt idx="492">
                  <c:v>-0.53%</c:v>
                </c:pt>
                <c:pt idx="493">
                  <c:v>-1.57%</c:v>
                </c:pt>
                <c:pt idx="494">
                  <c:v>1.75%</c:v>
                </c:pt>
                <c:pt idx="495">
                  <c:v>-0.27%</c:v>
                </c:pt>
                <c:pt idx="496">
                  <c:v>-0.76%</c:v>
                </c:pt>
                <c:pt idx="497">
                  <c:v>1.44%</c:v>
                </c:pt>
                <c:pt idx="498">
                  <c:v>0.78%</c:v>
                </c:pt>
                <c:pt idx="499">
                  <c:v>-0.63%</c:v>
                </c:pt>
                <c:pt idx="500">
                  <c:v>0.81%</c:v>
                </c:pt>
                <c:pt idx="501">
                  <c:v>-1.01%</c:v>
                </c:pt>
                <c:pt idx="502">
                  <c:v>-0.76%</c:v>
                </c:pt>
                <c:pt idx="503">
                  <c:v>1.37%</c:v>
                </c:pt>
                <c:pt idx="504">
                  <c:v>-0.92%</c:v>
                </c:pt>
                <c:pt idx="505">
                  <c:v>-0.53%</c:v>
                </c:pt>
                <c:pt idx="506">
                  <c:v>-0.49%</c:v>
                </c:pt>
                <c:pt idx="507">
                  <c:v>-0.60%</c:v>
                </c:pt>
                <c:pt idx="508">
                  <c:v>-2.85%</c:v>
                </c:pt>
                <c:pt idx="509">
                  <c:v>-1.73%</c:v>
                </c:pt>
                <c:pt idx="510">
                  <c:v>0.21%</c:v>
                </c:pt>
                <c:pt idx="511">
                  <c:v>1.60%</c:v>
                </c:pt>
                <c:pt idx="512">
                  <c:v>0.81%</c:v>
                </c:pt>
                <c:pt idx="513">
                  <c:v>-0.55%</c:v>
                </c:pt>
                <c:pt idx="514">
                  <c:v>-0.11%</c:v>
                </c:pt>
                <c:pt idx="515">
                  <c:v>-1.87%</c:v>
                </c:pt>
                <c:pt idx="516">
                  <c:v>-0.26%</c:v>
                </c:pt>
                <c:pt idx="517">
                  <c:v>-0.24%</c:v>
                </c:pt>
                <c:pt idx="518">
                  <c:v>-0.63%</c:v>
                </c:pt>
                <c:pt idx="519">
                  <c:v>0.71%</c:v>
                </c:pt>
                <c:pt idx="520">
                  <c:v>0.48%</c:v>
                </c:pt>
                <c:pt idx="521">
                  <c:v>0.66%</c:v>
                </c:pt>
                <c:pt idx="522">
                  <c:v>2.53%</c:v>
                </c:pt>
                <c:pt idx="523">
                  <c:v>0.64%</c:v>
                </c:pt>
                <c:pt idx="524">
                  <c:v>-2.20%</c:v>
                </c:pt>
                <c:pt idx="525">
                  <c:v>-1.55%</c:v>
                </c:pt>
                <c:pt idx="526">
                  <c:v>-0.03%</c:v>
                </c:pt>
                <c:pt idx="527">
                  <c:v>-0.97%</c:v>
                </c:pt>
                <c:pt idx="528">
                  <c:v>-0.25%</c:v>
                </c:pt>
                <c:pt idx="529">
                  <c:v>1.64%</c:v>
                </c:pt>
                <c:pt idx="530">
                  <c:v>0.13%</c:v>
                </c:pt>
                <c:pt idx="531">
                  <c:v>-1.34%</c:v>
                </c:pt>
                <c:pt idx="532">
                  <c:v>1.66%</c:v>
                </c:pt>
                <c:pt idx="533">
                  <c:v>-0.19%</c:v>
                </c:pt>
                <c:pt idx="534">
                  <c:v>-0.02%</c:v>
                </c:pt>
                <c:pt idx="535">
                  <c:v>0.28%</c:v>
                </c:pt>
                <c:pt idx="536">
                  <c:v>0.62%</c:v>
                </c:pt>
                <c:pt idx="537">
                  <c:v>-0.80%</c:v>
                </c:pt>
                <c:pt idx="538">
                  <c:v>0.10%</c:v>
                </c:pt>
                <c:pt idx="539">
                  <c:v>1.45%</c:v>
                </c:pt>
                <c:pt idx="540">
                  <c:v>1.43%</c:v>
                </c:pt>
                <c:pt idx="541">
                  <c:v>-0.89%</c:v>
                </c:pt>
                <c:pt idx="542">
                  <c:v>0.05%</c:v>
                </c:pt>
                <c:pt idx="543">
                  <c:v>1.76%</c:v>
                </c:pt>
                <c:pt idx="544">
                  <c:v>-0.26%</c:v>
                </c:pt>
                <c:pt idx="545">
                  <c:v>-1.49%</c:v>
                </c:pt>
                <c:pt idx="546">
                  <c:v>-0.70%</c:v>
                </c:pt>
                <c:pt idx="547">
                  <c:v>0.71%</c:v>
                </c:pt>
                <c:pt idx="548">
                  <c:v>-0.08%</c:v>
                </c:pt>
                <c:pt idx="549">
                  <c:v>0.08%</c:v>
                </c:pt>
                <c:pt idx="550">
                  <c:v>0.33%</c:v>
                </c:pt>
                <c:pt idx="551">
                  <c:v>-0.28%</c:v>
                </c:pt>
                <c:pt idx="552">
                  <c:v>0.60%</c:v>
                </c:pt>
                <c:pt idx="553">
                  <c:v>1.54%</c:v>
                </c:pt>
                <c:pt idx="554">
                  <c:v>0.52%</c:v>
                </c:pt>
                <c:pt idx="555">
                  <c:v>0.63%</c:v>
                </c:pt>
                <c:pt idx="556">
                  <c:v>1.31%</c:v>
                </c:pt>
                <c:pt idx="557">
                  <c:v>0.86%</c:v>
                </c:pt>
                <c:pt idx="558">
                  <c:v>1.32%</c:v>
                </c:pt>
                <c:pt idx="559">
                  <c:v>-2.26%</c:v>
                </c:pt>
                <c:pt idx="560">
                  <c:v>0.08%</c:v>
                </c:pt>
                <c:pt idx="561">
                  <c:v>0.49%</c:v>
                </c:pt>
                <c:pt idx="562">
                  <c:v>-0.12%</c:v>
                </c:pt>
                <c:pt idx="563">
                  <c:v>-0.93%</c:v>
                </c:pt>
                <c:pt idx="564">
                  <c:v>-0.11%</c:v>
                </c:pt>
                <c:pt idx="565">
                  <c:v>-0.80%</c:v>
                </c:pt>
                <c:pt idx="566">
                  <c:v>0.42%</c:v>
                </c:pt>
                <c:pt idx="567">
                  <c:v>0.80%</c:v>
                </c:pt>
                <c:pt idx="568">
                  <c:v>-0.24%</c:v>
                </c:pt>
                <c:pt idx="569">
                  <c:v>1.24%</c:v>
                </c:pt>
                <c:pt idx="570">
                  <c:v>-0.56%</c:v>
                </c:pt>
                <c:pt idx="571">
                  <c:v>-0.64%</c:v>
                </c:pt>
                <c:pt idx="572">
                  <c:v>0.13%</c:v>
                </c:pt>
                <c:pt idx="573">
                  <c:v>-0.42%</c:v>
                </c:pt>
                <c:pt idx="574">
                  <c:v>1.16%</c:v>
                </c:pt>
                <c:pt idx="575">
                  <c:v>-0.16%</c:v>
                </c:pt>
                <c:pt idx="576">
                  <c:v>0.64%</c:v>
                </c:pt>
                <c:pt idx="577">
                  <c:v>1.10%</c:v>
                </c:pt>
                <c:pt idx="578">
                  <c:v>-1.81%</c:v>
                </c:pt>
                <c:pt idx="579">
                  <c:v>-0.03%</c:v>
                </c:pt>
                <c:pt idx="580">
                  <c:v>0.17%</c:v>
                </c:pt>
                <c:pt idx="581">
                  <c:v>-2.06%</c:v>
                </c:pt>
                <c:pt idx="582">
                  <c:v>0.10%</c:v>
                </c:pt>
                <c:pt idx="583">
                  <c:v>-0.18%</c:v>
                </c:pt>
                <c:pt idx="584">
                  <c:v>-1.60%</c:v>
                </c:pt>
                <c:pt idx="585">
                  <c:v>1.54%</c:v>
                </c:pt>
                <c:pt idx="586">
                  <c:v>0.18%</c:v>
                </c:pt>
                <c:pt idx="587">
                  <c:v>-2.52%</c:v>
                </c:pt>
                <c:pt idx="588">
                  <c:v>-0.50%</c:v>
                </c:pt>
                <c:pt idx="589">
                  <c:v>-0.33%</c:v>
                </c:pt>
                <c:pt idx="590">
                  <c:v>-0.09%</c:v>
                </c:pt>
                <c:pt idx="591">
                  <c:v>-0.83%</c:v>
                </c:pt>
                <c:pt idx="592">
                  <c:v>-1.18%</c:v>
                </c:pt>
                <c:pt idx="593">
                  <c:v>0.32%</c:v>
                </c:pt>
                <c:pt idx="594">
                  <c:v>-1.06%</c:v>
                </c:pt>
                <c:pt idx="595">
                  <c:v>1.13%</c:v>
                </c:pt>
                <c:pt idx="596">
                  <c:v>0.59%</c:v>
                </c:pt>
                <c:pt idx="597">
                  <c:v>0.30%</c:v>
                </c:pt>
                <c:pt idx="598">
                  <c:v>-0.61%</c:v>
                </c:pt>
                <c:pt idx="599">
                  <c:v>0.16%</c:v>
                </c:pt>
                <c:pt idx="600">
                  <c:v>0.10%</c:v>
                </c:pt>
                <c:pt idx="601">
                  <c:v>0.21%</c:v>
                </c:pt>
                <c:pt idx="602">
                  <c:v>-1.79%</c:v>
                </c:pt>
                <c:pt idx="603">
                  <c:v>0.03%</c:v>
                </c:pt>
                <c:pt idx="604">
                  <c:v>-2.55%</c:v>
                </c:pt>
                <c:pt idx="605">
                  <c:v>0.17%</c:v>
                </c:pt>
                <c:pt idx="606">
                  <c:v>2.84%</c:v>
                </c:pt>
                <c:pt idx="607">
                  <c:v>-1.07%</c:v>
                </c:pt>
                <c:pt idx="608">
                  <c:v>-0.88%</c:v>
                </c:pt>
                <c:pt idx="609">
                  <c:v>0.98%</c:v>
                </c:pt>
                <c:pt idx="610">
                  <c:v>-0.92%</c:v>
                </c:pt>
                <c:pt idx="611">
                  <c:v>-1.13%</c:v>
                </c:pt>
                <c:pt idx="612">
                  <c:v>-0.23%</c:v>
                </c:pt>
                <c:pt idx="613">
                  <c:v>0.21%</c:v>
                </c:pt>
                <c:pt idx="614">
                  <c:v>1.02%</c:v>
                </c:pt>
                <c:pt idx="615">
                  <c:v>-0.49%</c:v>
                </c:pt>
                <c:pt idx="616">
                  <c:v>-0.65%</c:v>
                </c:pt>
                <c:pt idx="617">
                  <c:v>-0.26%</c:v>
                </c:pt>
                <c:pt idx="618">
                  <c:v>-0.77%</c:v>
                </c:pt>
                <c:pt idx="619">
                  <c:v>0.37%</c:v>
                </c:pt>
                <c:pt idx="620">
                  <c:v>1.59%</c:v>
                </c:pt>
                <c:pt idx="621">
                  <c:v>-0.91%</c:v>
                </c:pt>
                <c:pt idx="622">
                  <c:v>-1.28%</c:v>
                </c:pt>
                <c:pt idx="623">
                  <c:v>-0.04%</c:v>
                </c:pt>
                <c:pt idx="624">
                  <c:v>-0.62%</c:v>
                </c:pt>
                <c:pt idx="625">
                  <c:v>-1.59%</c:v>
                </c:pt>
                <c:pt idx="626">
                  <c:v>-1.48%</c:v>
                </c:pt>
                <c:pt idx="627">
                  <c:v>-2.07%</c:v>
                </c:pt>
                <c:pt idx="628">
                  <c:v>-0.04%</c:v>
                </c:pt>
                <c:pt idx="629">
                  <c:v>-0.81%</c:v>
                </c:pt>
                <c:pt idx="630">
                  <c:v>2.06%</c:v>
                </c:pt>
                <c:pt idx="631">
                  <c:v>0.48%</c:v>
                </c:pt>
                <c:pt idx="632">
                  <c:v>-1.12%</c:v>
                </c:pt>
                <c:pt idx="633">
                  <c:v>-1.21%</c:v>
                </c:pt>
                <c:pt idx="634">
                  <c:v>-0.49%</c:v>
                </c:pt>
                <c:pt idx="635">
                  <c:v>-1.51%</c:v>
                </c:pt>
                <c:pt idx="636">
                  <c:v>-0.05%</c:v>
                </c:pt>
                <c:pt idx="637">
                  <c:v>1.28%</c:v>
                </c:pt>
                <c:pt idx="638">
                  <c:v>-0.33%</c:v>
                </c:pt>
                <c:pt idx="639">
                  <c:v>-0.75%</c:v>
                </c:pt>
                <c:pt idx="640">
                  <c:v>-2.20%</c:v>
                </c:pt>
                <c:pt idx="641">
                  <c:v>-1.64%</c:v>
                </c:pt>
                <c:pt idx="642">
                  <c:v>0.13%</c:v>
                </c:pt>
                <c:pt idx="643">
                  <c:v>-0.11%</c:v>
                </c:pt>
                <c:pt idx="644">
                  <c:v>0.25%</c:v>
                </c:pt>
                <c:pt idx="645">
                  <c:v>-1.58%</c:v>
                </c:pt>
                <c:pt idx="646">
                  <c:v>1.03%</c:v>
                </c:pt>
                <c:pt idx="647">
                  <c:v>-0.53%</c:v>
                </c:pt>
                <c:pt idx="648">
                  <c:v>-2.05%</c:v>
                </c:pt>
                <c:pt idx="649">
                  <c:v>-1.22%</c:v>
                </c:pt>
                <c:pt idx="650">
                  <c:v>-0.69%</c:v>
                </c:pt>
                <c:pt idx="651">
                  <c:v>-0.05%</c:v>
                </c:pt>
                <c:pt idx="652">
                  <c:v>-1.85%</c:v>
                </c:pt>
                <c:pt idx="653">
                  <c:v>1.03%</c:v>
                </c:pt>
                <c:pt idx="654">
                  <c:v>0.02%</c:v>
                </c:pt>
                <c:pt idx="655">
                  <c:v>1.00%</c:v>
                </c:pt>
                <c:pt idx="656">
                  <c:v>1.66%</c:v>
                </c:pt>
                <c:pt idx="657">
                  <c:v>-0.30%</c:v>
                </c:pt>
                <c:pt idx="658">
                  <c:v>-0.69%</c:v>
                </c:pt>
                <c:pt idx="659">
                  <c:v>0.69%</c:v>
                </c:pt>
                <c:pt idx="660">
                  <c:v>-1.93%</c:v>
                </c:pt>
                <c:pt idx="661">
                  <c:v>1.26%</c:v>
                </c:pt>
                <c:pt idx="662">
                  <c:v>-0.03%</c:v>
                </c:pt>
                <c:pt idx="663">
                  <c:v>-0.45%</c:v>
                </c:pt>
                <c:pt idx="664">
                  <c:v>-1.25%</c:v>
                </c:pt>
                <c:pt idx="665">
                  <c:v>-1.45%</c:v>
                </c:pt>
                <c:pt idx="666">
                  <c:v>-0.32%</c:v>
                </c:pt>
                <c:pt idx="667">
                  <c:v>0.56%</c:v>
                </c:pt>
                <c:pt idx="668">
                  <c:v>0.01%</c:v>
                </c:pt>
                <c:pt idx="669">
                  <c:v>-2.58%</c:v>
                </c:pt>
                <c:pt idx="670">
                  <c:v>-0.74%</c:v>
                </c:pt>
                <c:pt idx="671">
                  <c:v>0.62%</c:v>
                </c:pt>
                <c:pt idx="672">
                  <c:v>2.12%</c:v>
                </c:pt>
                <c:pt idx="673">
                  <c:v>-0.13%</c:v>
                </c:pt>
                <c:pt idx="674">
                  <c:v>0.47%</c:v>
                </c:pt>
                <c:pt idx="675">
                  <c:v>0.04%</c:v>
                </c:pt>
                <c:pt idx="676">
                  <c:v>-0.42%</c:v>
                </c:pt>
                <c:pt idx="677">
                  <c:v>-1.27%</c:v>
                </c:pt>
                <c:pt idx="678">
                  <c:v>-1.00%</c:v>
                </c:pt>
                <c:pt idx="679">
                  <c:v>-1.49%</c:v>
                </c:pt>
                <c:pt idx="680">
                  <c:v>0.56%</c:v>
                </c:pt>
                <c:pt idx="681">
                  <c:v>1.00%</c:v>
                </c:pt>
                <c:pt idx="682">
                  <c:v>-0.18%</c:v>
                </c:pt>
                <c:pt idx="683">
                  <c:v>-0.69%</c:v>
                </c:pt>
                <c:pt idx="684">
                  <c:v>1.18%</c:v>
                </c:pt>
                <c:pt idx="685">
                  <c:v>2.55%</c:v>
                </c:pt>
                <c:pt idx="686">
                  <c:v>-1.95%</c:v>
                </c:pt>
                <c:pt idx="687">
                  <c:v>0.67%</c:v>
                </c:pt>
                <c:pt idx="688">
                  <c:v>0.19%</c:v>
                </c:pt>
                <c:pt idx="689">
                  <c:v>0.40%</c:v>
                </c:pt>
                <c:pt idx="690">
                  <c:v>0.82%</c:v>
                </c:pt>
                <c:pt idx="691">
                  <c:v>1.78%</c:v>
                </c:pt>
                <c:pt idx="692">
                  <c:v>-0.11%</c:v>
                </c:pt>
                <c:pt idx="693">
                  <c:v>2.48%</c:v>
                </c:pt>
                <c:pt idx="694">
                  <c:v>-1.30%</c:v>
                </c:pt>
                <c:pt idx="695">
                  <c:v>0.90%</c:v>
                </c:pt>
                <c:pt idx="696">
                  <c:v>-1.58%</c:v>
                </c:pt>
                <c:pt idx="697">
                  <c:v>-1.57%</c:v>
                </c:pt>
                <c:pt idx="698">
                  <c:v>0.51%</c:v>
                </c:pt>
                <c:pt idx="699">
                  <c:v>0.85%</c:v>
                </c:pt>
                <c:pt idx="700">
                  <c:v>-0.62%</c:v>
                </c:pt>
                <c:pt idx="701">
                  <c:v>0.67%</c:v>
                </c:pt>
                <c:pt idx="702">
                  <c:v>-0.79%</c:v>
                </c:pt>
                <c:pt idx="703">
                  <c:v>1.30%</c:v>
                </c:pt>
                <c:pt idx="704">
                  <c:v>-1.64%</c:v>
                </c:pt>
                <c:pt idx="705">
                  <c:v>0.27%</c:v>
                </c:pt>
                <c:pt idx="706">
                  <c:v>0.36%</c:v>
                </c:pt>
                <c:pt idx="707">
                  <c:v>0.27%</c:v>
                </c:pt>
                <c:pt idx="708">
                  <c:v>0.04%</c:v>
                </c:pt>
                <c:pt idx="709">
                  <c:v>-0.10%</c:v>
                </c:pt>
                <c:pt idx="710">
                  <c:v>-2.88%</c:v>
                </c:pt>
                <c:pt idx="711">
                  <c:v>-1.63%</c:v>
                </c:pt>
                <c:pt idx="712">
                  <c:v>1.17%</c:v>
                </c:pt>
                <c:pt idx="713">
                  <c:v>0.82%</c:v>
                </c:pt>
                <c:pt idx="714">
                  <c:v>1.58%</c:v>
                </c:pt>
                <c:pt idx="715">
                  <c:v>0.11%</c:v>
                </c:pt>
                <c:pt idx="716">
                  <c:v>1.95%</c:v>
                </c:pt>
                <c:pt idx="717">
                  <c:v>-0.12%</c:v>
                </c:pt>
                <c:pt idx="718">
                  <c:v>1.20%</c:v>
                </c:pt>
                <c:pt idx="719">
                  <c:v>-0.50%</c:v>
                </c:pt>
                <c:pt idx="720">
                  <c:v>-0.59%</c:v>
                </c:pt>
                <c:pt idx="721">
                  <c:v>1.06%</c:v>
                </c:pt>
                <c:pt idx="722">
                  <c:v>-1.60%</c:v>
                </c:pt>
                <c:pt idx="723">
                  <c:v>1.76%</c:v>
                </c:pt>
                <c:pt idx="724">
                  <c:v>2.12%</c:v>
                </c:pt>
                <c:pt idx="725">
                  <c:v>0.03%</c:v>
                </c:pt>
                <c:pt idx="726">
                  <c:v>1.60%</c:v>
                </c:pt>
                <c:pt idx="727">
                  <c:v>-0.57%</c:v>
                </c:pt>
                <c:pt idx="728">
                  <c:v>-0.25%</c:v>
                </c:pt>
                <c:pt idx="729">
                  <c:v>0.31%</c:v>
                </c:pt>
                <c:pt idx="730">
                  <c:v>-0.59%</c:v>
                </c:pt>
                <c:pt idx="731">
                  <c:v>0.83%</c:v>
                </c:pt>
                <c:pt idx="732">
                  <c:v>1.05%</c:v>
                </c:pt>
                <c:pt idx="733">
                  <c:v>0.77%</c:v>
                </c:pt>
                <c:pt idx="734">
                  <c:v>-0.55%</c:v>
                </c:pt>
                <c:pt idx="735">
                  <c:v>-1.69%</c:v>
                </c:pt>
                <c:pt idx="736">
                  <c:v>0.51%</c:v>
                </c:pt>
                <c:pt idx="737">
                  <c:v>-0.37%</c:v>
                </c:pt>
                <c:pt idx="738">
                  <c:v>-1.80%</c:v>
                </c:pt>
                <c:pt idx="739">
                  <c:v>-1.33%</c:v>
                </c:pt>
                <c:pt idx="740">
                  <c:v>-0.29%</c:v>
                </c:pt>
                <c:pt idx="741">
                  <c:v>1.76%</c:v>
                </c:pt>
                <c:pt idx="742">
                  <c:v>0.47%</c:v>
                </c:pt>
                <c:pt idx="743">
                  <c:v>-0.96%</c:v>
                </c:pt>
                <c:pt idx="744">
                  <c:v>-1.19%</c:v>
                </c:pt>
                <c:pt idx="745">
                  <c:v>-1.09%</c:v>
                </c:pt>
                <c:pt idx="746">
                  <c:v>-1.12%</c:v>
                </c:pt>
                <c:pt idx="747">
                  <c:v>0.22%</c:v>
                </c:pt>
                <c:pt idx="748">
                  <c:v>1.30%</c:v>
                </c:pt>
                <c:pt idx="749">
                  <c:v>3.10%</c:v>
                </c:pt>
                <c:pt idx="750">
                  <c:v>2.04%</c:v>
                </c:pt>
                <c:pt idx="751">
                  <c:v>-0.51%</c:v>
                </c:pt>
                <c:pt idx="752">
                  <c:v>1.10%</c:v>
                </c:pt>
                <c:pt idx="753">
                  <c:v>0.15%</c:v>
                </c:pt>
                <c:pt idx="754">
                  <c:v>2.01%</c:v>
                </c:pt>
                <c:pt idx="755">
                  <c:v>0.62%</c:v>
                </c:pt>
                <c:pt idx="756">
                  <c:v>-0.53%</c:v>
                </c:pt>
                <c:pt idx="757">
                  <c:v>1.13%</c:v>
                </c:pt>
                <c:pt idx="758">
                  <c:v>-0.86%</c:v>
                </c:pt>
                <c:pt idx="759">
                  <c:v>-0.68%</c:v>
                </c:pt>
                <c:pt idx="760">
                  <c:v>-0.32%</c:v>
                </c:pt>
                <c:pt idx="761">
                  <c:v>-0.27%</c:v>
                </c:pt>
                <c:pt idx="762">
                  <c:v>-2.33%</c:v>
                </c:pt>
                <c:pt idx="763">
                  <c:v>1.18%</c:v>
                </c:pt>
                <c:pt idx="764">
                  <c:v>3.06%</c:v>
                </c:pt>
                <c:pt idx="765">
                  <c:v>-1.37%</c:v>
                </c:pt>
                <c:pt idx="766">
                  <c:v>1.57%</c:v>
                </c:pt>
                <c:pt idx="767">
                  <c:v>-1.89%</c:v>
                </c:pt>
                <c:pt idx="768">
                  <c:v>-0.06%</c:v>
                </c:pt>
                <c:pt idx="769">
                  <c:v>-0.91%</c:v>
                </c:pt>
                <c:pt idx="770">
                  <c:v>0.25%</c:v>
                </c:pt>
                <c:pt idx="771">
                  <c:v>0.63%</c:v>
                </c:pt>
                <c:pt idx="772">
                  <c:v>-1.43%</c:v>
                </c:pt>
                <c:pt idx="773">
                  <c:v>-0.15%</c:v>
                </c:pt>
                <c:pt idx="774">
                  <c:v>0.87%</c:v>
                </c:pt>
                <c:pt idx="775">
                  <c:v>-1.02%</c:v>
                </c:pt>
                <c:pt idx="776">
                  <c:v>1.44%</c:v>
                </c:pt>
                <c:pt idx="777">
                  <c:v>1.49%</c:v>
                </c:pt>
                <c:pt idx="778">
                  <c:v>-0.50%</c:v>
                </c:pt>
                <c:pt idx="779">
                  <c:v>1.64%</c:v>
                </c:pt>
                <c:pt idx="780">
                  <c:v>-2.17%</c:v>
                </c:pt>
                <c:pt idx="781">
                  <c:v>-0.66%</c:v>
                </c:pt>
                <c:pt idx="782">
                  <c:v>0.64%</c:v>
                </c:pt>
                <c:pt idx="783">
                  <c:v>1.11%</c:v>
                </c:pt>
                <c:pt idx="784">
                  <c:v>1.28%</c:v>
                </c:pt>
                <c:pt idx="785">
                  <c:v>1.15%</c:v>
                </c:pt>
                <c:pt idx="786">
                  <c:v>0.08%</c:v>
                </c:pt>
                <c:pt idx="787">
                  <c:v>0.82%</c:v>
                </c:pt>
                <c:pt idx="788">
                  <c:v>0.07%</c:v>
                </c:pt>
                <c:pt idx="789">
                  <c:v>-1.63%</c:v>
                </c:pt>
                <c:pt idx="790">
                  <c:v>1.06%</c:v>
                </c:pt>
                <c:pt idx="791">
                  <c:v>0.68%</c:v>
                </c:pt>
                <c:pt idx="792">
                  <c:v>-0.11%</c:v>
                </c:pt>
                <c:pt idx="793">
                  <c:v>-0.62%</c:v>
                </c:pt>
                <c:pt idx="794">
                  <c:v>2.24%</c:v>
                </c:pt>
                <c:pt idx="795">
                  <c:v>-1.02%</c:v>
                </c:pt>
                <c:pt idx="796">
                  <c:v>0.12%</c:v>
                </c:pt>
                <c:pt idx="797">
                  <c:v>-0.76%</c:v>
                </c:pt>
                <c:pt idx="798">
                  <c:v>-0.03%</c:v>
                </c:pt>
                <c:pt idx="799">
                  <c:v>1.32%</c:v>
                </c:pt>
                <c:pt idx="800">
                  <c:v>0.50%</c:v>
                </c:pt>
                <c:pt idx="801">
                  <c:v>-0.31%</c:v>
                </c:pt>
                <c:pt idx="802">
                  <c:v>0.96%</c:v>
                </c:pt>
                <c:pt idx="803">
                  <c:v>1.09%</c:v>
                </c:pt>
                <c:pt idx="804">
                  <c:v>-0.04%</c:v>
                </c:pt>
                <c:pt idx="805">
                  <c:v>-0.45%</c:v>
                </c:pt>
                <c:pt idx="806">
                  <c:v>-0.79%</c:v>
                </c:pt>
                <c:pt idx="807">
                  <c:v>-2.11%</c:v>
                </c:pt>
                <c:pt idx="808">
                  <c:v>1.79%</c:v>
                </c:pt>
                <c:pt idx="809">
                  <c:v>-0.77%</c:v>
                </c:pt>
                <c:pt idx="810">
                  <c:v>-1.28%</c:v>
                </c:pt>
                <c:pt idx="811">
                  <c:v>-0.93%</c:v>
                </c:pt>
                <c:pt idx="812">
                  <c:v>-1.26%</c:v>
                </c:pt>
                <c:pt idx="813">
                  <c:v>1.29%</c:v>
                </c:pt>
                <c:pt idx="814">
                  <c:v>-0.06%</c:v>
                </c:pt>
                <c:pt idx="815">
                  <c:v>-1.07%</c:v>
                </c:pt>
                <c:pt idx="816">
                  <c:v>-0.88%</c:v>
                </c:pt>
                <c:pt idx="817">
                  <c:v>-1.10%</c:v>
                </c:pt>
                <c:pt idx="818">
                  <c:v>1.31%</c:v>
                </c:pt>
                <c:pt idx="819">
                  <c:v>-1.58%</c:v>
                </c:pt>
                <c:pt idx="820">
                  <c:v>0.13%</c:v>
                </c:pt>
                <c:pt idx="821">
                  <c:v>0.59%</c:v>
                </c:pt>
                <c:pt idx="822">
                  <c:v>0.45%</c:v>
                </c:pt>
                <c:pt idx="823">
                  <c:v>0.29%</c:v>
                </c:pt>
                <c:pt idx="824">
                  <c:v>-0.12%</c:v>
                </c:pt>
                <c:pt idx="825">
                  <c:v>-2.63%</c:v>
                </c:pt>
                <c:pt idx="826">
                  <c:v>0.02%</c:v>
                </c:pt>
                <c:pt idx="827">
                  <c:v>-0.53%</c:v>
                </c:pt>
                <c:pt idx="828">
                  <c:v>-1.46%</c:v>
                </c:pt>
                <c:pt idx="829">
                  <c:v>1.68%</c:v>
                </c:pt>
                <c:pt idx="830">
                  <c:v>1.46%</c:v>
                </c:pt>
                <c:pt idx="831">
                  <c:v>-0.39%</c:v>
                </c:pt>
                <c:pt idx="832">
                  <c:v>0.44%</c:v>
                </c:pt>
                <c:pt idx="833">
                  <c:v>0.04%</c:v>
                </c:pt>
                <c:pt idx="834">
                  <c:v>-2.11%</c:v>
                </c:pt>
                <c:pt idx="835">
                  <c:v>-0.45%</c:v>
                </c:pt>
                <c:pt idx="836">
                  <c:v>1.02%</c:v>
                </c:pt>
                <c:pt idx="837">
                  <c:v>-0.09%</c:v>
                </c:pt>
                <c:pt idx="838">
                  <c:v>-1.10%</c:v>
                </c:pt>
                <c:pt idx="839">
                  <c:v>1.32%</c:v>
                </c:pt>
                <c:pt idx="840">
                  <c:v>0.43%</c:v>
                </c:pt>
                <c:pt idx="841">
                  <c:v>-1.28%</c:v>
                </c:pt>
                <c:pt idx="842">
                  <c:v>-0.61%</c:v>
                </c:pt>
                <c:pt idx="843">
                  <c:v>-0.44%</c:v>
                </c:pt>
                <c:pt idx="844">
                  <c:v>-1.08%</c:v>
                </c:pt>
                <c:pt idx="845">
                  <c:v>0.90%</c:v>
                </c:pt>
                <c:pt idx="846">
                  <c:v>-0.58%</c:v>
                </c:pt>
                <c:pt idx="847">
                  <c:v>0.19%</c:v>
                </c:pt>
                <c:pt idx="848">
                  <c:v>2.06%</c:v>
                </c:pt>
                <c:pt idx="849">
                  <c:v>-0.72%</c:v>
                </c:pt>
                <c:pt idx="850">
                  <c:v>-1.22%</c:v>
                </c:pt>
                <c:pt idx="851">
                  <c:v>0.04%</c:v>
                </c:pt>
                <c:pt idx="852">
                  <c:v>-0.48%</c:v>
                </c:pt>
                <c:pt idx="853">
                  <c:v>-0.34%</c:v>
                </c:pt>
                <c:pt idx="854">
                  <c:v>-1.00%</c:v>
                </c:pt>
                <c:pt idx="855">
                  <c:v>-1.72%</c:v>
                </c:pt>
                <c:pt idx="856">
                  <c:v>-0.41%</c:v>
                </c:pt>
                <c:pt idx="857">
                  <c:v>-1.43%</c:v>
                </c:pt>
                <c:pt idx="858">
                  <c:v>-1.21%</c:v>
                </c:pt>
                <c:pt idx="859">
                  <c:v>3.26%</c:v>
                </c:pt>
                <c:pt idx="860">
                  <c:v>2.78%</c:v>
                </c:pt>
                <c:pt idx="861">
                  <c:v>2.73%</c:v>
                </c:pt>
                <c:pt idx="862">
                  <c:v>-0.31%</c:v>
                </c:pt>
                <c:pt idx="863">
                  <c:v>-1.21%</c:v>
                </c:pt>
                <c:pt idx="864">
                  <c:v>0.66%</c:v>
                </c:pt>
                <c:pt idx="865">
                  <c:v>-1.13%</c:v>
                </c:pt>
                <c:pt idx="866">
                  <c:v>-0.28%</c:v>
                </c:pt>
                <c:pt idx="867">
                  <c:v>-1.02%</c:v>
                </c:pt>
                <c:pt idx="868">
                  <c:v>1.05%</c:v>
                </c:pt>
                <c:pt idx="869">
                  <c:v>-0.08%</c:v>
                </c:pt>
                <c:pt idx="870">
                  <c:v>0.40%</c:v>
                </c:pt>
                <c:pt idx="871">
                  <c:v>-0.65%</c:v>
                </c:pt>
                <c:pt idx="872">
                  <c:v>-0.19%</c:v>
                </c:pt>
                <c:pt idx="873">
                  <c:v>-2.02%</c:v>
                </c:pt>
                <c:pt idx="874">
                  <c:v>-0.08%</c:v>
                </c:pt>
                <c:pt idx="875">
                  <c:v>-0.32%</c:v>
                </c:pt>
                <c:pt idx="876">
                  <c:v>0.51%</c:v>
                </c:pt>
                <c:pt idx="877">
                  <c:v>-0.50%</c:v>
                </c:pt>
                <c:pt idx="878">
                  <c:v>-1.09%</c:v>
                </c:pt>
                <c:pt idx="879">
                  <c:v>0.12%</c:v>
                </c:pt>
                <c:pt idx="880">
                  <c:v>1.69%</c:v>
                </c:pt>
                <c:pt idx="881">
                  <c:v>-0.13%</c:v>
                </c:pt>
                <c:pt idx="882">
                  <c:v>2.06%</c:v>
                </c:pt>
                <c:pt idx="883">
                  <c:v>-2.80%</c:v>
                </c:pt>
                <c:pt idx="884">
                  <c:v>-0.95%</c:v>
                </c:pt>
                <c:pt idx="885">
                  <c:v>-0.27%</c:v>
                </c:pt>
                <c:pt idx="886">
                  <c:v>-1.48%</c:v>
                </c:pt>
                <c:pt idx="887">
                  <c:v>-3.07%</c:v>
                </c:pt>
                <c:pt idx="888">
                  <c:v>0.09%</c:v>
                </c:pt>
                <c:pt idx="889">
                  <c:v>-1.09%</c:v>
                </c:pt>
                <c:pt idx="890">
                  <c:v>-0.88%</c:v>
                </c:pt>
                <c:pt idx="891">
                  <c:v>-0.13%</c:v>
                </c:pt>
                <c:pt idx="892">
                  <c:v>-0.21%</c:v>
                </c:pt>
                <c:pt idx="893">
                  <c:v>-0.67%</c:v>
                </c:pt>
                <c:pt idx="894">
                  <c:v>0.74%</c:v>
                </c:pt>
                <c:pt idx="895">
                  <c:v>-0.86%</c:v>
                </c:pt>
                <c:pt idx="896">
                  <c:v>1.32%</c:v>
                </c:pt>
                <c:pt idx="897">
                  <c:v>1.42%</c:v>
                </c:pt>
                <c:pt idx="898">
                  <c:v>-1.76%</c:v>
                </c:pt>
                <c:pt idx="899">
                  <c:v>-0.96%</c:v>
                </c:pt>
                <c:pt idx="900">
                  <c:v>1.08%</c:v>
                </c:pt>
                <c:pt idx="901">
                  <c:v>-1.41%</c:v>
                </c:pt>
                <c:pt idx="902">
                  <c:v>-0.62%</c:v>
                </c:pt>
                <c:pt idx="903">
                  <c:v>0.21%</c:v>
                </c:pt>
                <c:pt idx="904">
                  <c:v>1.17%</c:v>
                </c:pt>
                <c:pt idx="905">
                  <c:v>1.37%</c:v>
                </c:pt>
                <c:pt idx="906">
                  <c:v>-0.13%</c:v>
                </c:pt>
                <c:pt idx="907">
                  <c:v>0.65%</c:v>
                </c:pt>
                <c:pt idx="908">
                  <c:v>0.41%</c:v>
                </c:pt>
                <c:pt idx="909">
                  <c:v>1.88%</c:v>
                </c:pt>
                <c:pt idx="910">
                  <c:v>0.02%</c:v>
                </c:pt>
                <c:pt idx="911">
                  <c:v>-0.12%</c:v>
                </c:pt>
                <c:pt idx="912">
                  <c:v>-0.19%</c:v>
                </c:pt>
                <c:pt idx="913">
                  <c:v>-1.43%</c:v>
                </c:pt>
                <c:pt idx="914">
                  <c:v>-1.44%</c:v>
                </c:pt>
                <c:pt idx="915">
                  <c:v>-3.01%</c:v>
                </c:pt>
                <c:pt idx="916">
                  <c:v>1.70%</c:v>
                </c:pt>
                <c:pt idx="917">
                  <c:v>2.26%</c:v>
                </c:pt>
                <c:pt idx="918">
                  <c:v>-1.92%</c:v>
                </c:pt>
                <c:pt idx="919">
                  <c:v>1.00%</c:v>
                </c:pt>
                <c:pt idx="920">
                  <c:v>0.49%</c:v>
                </c:pt>
                <c:pt idx="921">
                  <c:v>-0.19%</c:v>
                </c:pt>
                <c:pt idx="922">
                  <c:v>0.74%</c:v>
                </c:pt>
                <c:pt idx="923">
                  <c:v>-0.08%</c:v>
                </c:pt>
                <c:pt idx="924">
                  <c:v>3.04%</c:v>
                </c:pt>
                <c:pt idx="925">
                  <c:v>1.06%</c:v>
                </c:pt>
                <c:pt idx="926">
                  <c:v>-0.86%</c:v>
                </c:pt>
                <c:pt idx="927">
                  <c:v>-1.20%</c:v>
                </c:pt>
                <c:pt idx="928">
                  <c:v>1.60%</c:v>
                </c:pt>
                <c:pt idx="929">
                  <c:v>-0.27%</c:v>
                </c:pt>
                <c:pt idx="930">
                  <c:v>-0.21%</c:v>
                </c:pt>
                <c:pt idx="931">
                  <c:v>0.20%</c:v>
                </c:pt>
                <c:pt idx="932">
                  <c:v>0.11%</c:v>
                </c:pt>
                <c:pt idx="933">
                  <c:v>1.35%</c:v>
                </c:pt>
                <c:pt idx="934">
                  <c:v>-1.04%</c:v>
                </c:pt>
                <c:pt idx="935">
                  <c:v>-2.57%</c:v>
                </c:pt>
                <c:pt idx="936">
                  <c:v>-0.60%</c:v>
                </c:pt>
                <c:pt idx="937">
                  <c:v>-0.87%</c:v>
                </c:pt>
                <c:pt idx="938">
                  <c:v>-0.69%</c:v>
                </c:pt>
                <c:pt idx="939">
                  <c:v>-1.85%</c:v>
                </c:pt>
                <c:pt idx="940">
                  <c:v>-1.03%</c:v>
                </c:pt>
                <c:pt idx="941">
                  <c:v>-1.61%</c:v>
                </c:pt>
                <c:pt idx="942">
                  <c:v>1.12%</c:v>
                </c:pt>
                <c:pt idx="943">
                  <c:v>-1.20%</c:v>
                </c:pt>
                <c:pt idx="944">
                  <c:v>-0.22%</c:v>
                </c:pt>
                <c:pt idx="945">
                  <c:v>1.67%</c:v>
                </c:pt>
                <c:pt idx="946">
                  <c:v>-0.35%</c:v>
                </c:pt>
                <c:pt idx="947">
                  <c:v>0.46%</c:v>
                </c:pt>
                <c:pt idx="948">
                  <c:v>1.18%</c:v>
                </c:pt>
                <c:pt idx="949">
                  <c:v>0.69%</c:v>
                </c:pt>
                <c:pt idx="950">
                  <c:v>-0.63%</c:v>
                </c:pt>
                <c:pt idx="951">
                  <c:v>-1.15%</c:v>
                </c:pt>
                <c:pt idx="952">
                  <c:v>1.50%</c:v>
                </c:pt>
                <c:pt idx="953">
                  <c:v>0.25%</c:v>
                </c:pt>
                <c:pt idx="954">
                  <c:v>-0.78%</c:v>
                </c:pt>
                <c:pt idx="955">
                  <c:v>-0.36%</c:v>
                </c:pt>
                <c:pt idx="956">
                  <c:v>-0.02%</c:v>
                </c:pt>
                <c:pt idx="957">
                  <c:v>-1.98%</c:v>
                </c:pt>
                <c:pt idx="958">
                  <c:v>0.58%</c:v>
                </c:pt>
                <c:pt idx="959">
                  <c:v>1.22%</c:v>
                </c:pt>
                <c:pt idx="960">
                  <c:v>-0.71%</c:v>
                </c:pt>
                <c:pt idx="961">
                  <c:v>-0.92%</c:v>
                </c:pt>
                <c:pt idx="962">
                  <c:v>-0.43%</c:v>
                </c:pt>
                <c:pt idx="963">
                  <c:v>-0.19%</c:v>
                </c:pt>
                <c:pt idx="964">
                  <c:v>2.32%</c:v>
                </c:pt>
                <c:pt idx="965">
                  <c:v>1.00%</c:v>
                </c:pt>
                <c:pt idx="966">
                  <c:v>0.24%</c:v>
                </c:pt>
                <c:pt idx="967">
                  <c:v>-0.66%</c:v>
                </c:pt>
                <c:pt idx="968">
                  <c:v>0.12%</c:v>
                </c:pt>
                <c:pt idx="969">
                  <c:v>-0.17%</c:v>
                </c:pt>
                <c:pt idx="970">
                  <c:v>-1.28%</c:v>
                </c:pt>
                <c:pt idx="971">
                  <c:v>-0.45%</c:v>
                </c:pt>
                <c:pt idx="972">
                  <c:v>0.54%</c:v>
                </c:pt>
                <c:pt idx="973">
                  <c:v>-1.18%</c:v>
                </c:pt>
                <c:pt idx="974">
                  <c:v>-1.46%</c:v>
                </c:pt>
                <c:pt idx="975">
                  <c:v>-0.14%</c:v>
                </c:pt>
                <c:pt idx="976">
                  <c:v>-0.42%</c:v>
                </c:pt>
                <c:pt idx="977">
                  <c:v>-1.92%</c:v>
                </c:pt>
                <c:pt idx="978">
                  <c:v>1.38%</c:v>
                </c:pt>
                <c:pt idx="979">
                  <c:v>1.37%</c:v>
                </c:pt>
                <c:pt idx="980">
                  <c:v>2.40%</c:v>
                </c:pt>
                <c:pt idx="981">
                  <c:v>-0.48%</c:v>
                </c:pt>
                <c:pt idx="982">
                  <c:v>0.68%</c:v>
                </c:pt>
                <c:pt idx="983">
                  <c:v>1.43%</c:v>
                </c:pt>
                <c:pt idx="984">
                  <c:v>0.65%</c:v>
                </c:pt>
                <c:pt idx="985">
                  <c:v>1.34%</c:v>
                </c:pt>
                <c:pt idx="986">
                  <c:v>0.22%</c:v>
                </c:pt>
                <c:pt idx="987">
                  <c:v>-0.52%</c:v>
                </c:pt>
                <c:pt idx="988">
                  <c:v>0.57%</c:v>
                </c:pt>
                <c:pt idx="989">
                  <c:v>0.59%</c:v>
                </c:pt>
                <c:pt idx="990">
                  <c:v>0.81%</c:v>
                </c:pt>
                <c:pt idx="991">
                  <c:v>1.27%</c:v>
                </c:pt>
                <c:pt idx="992">
                  <c:v>0.22%</c:v>
                </c:pt>
                <c:pt idx="993">
                  <c:v>-0.21%</c:v>
                </c:pt>
                <c:pt idx="994">
                  <c:v>1.37%</c:v>
                </c:pt>
                <c:pt idx="995">
                  <c:v>-0.13%</c:v>
                </c:pt>
                <c:pt idx="996">
                  <c:v>-0.89%</c:v>
                </c:pt>
                <c:pt idx="997">
                  <c:v>1.11%</c:v>
                </c:pt>
                <c:pt idx="998">
                  <c:v>-2.38%</c:v>
                </c:pt>
                <c:pt idx="999">
                  <c:v>1.31%</c:v>
                </c:pt>
                <c:pt idx="1000">
                  <c:v>0.99%</c:v>
                </c:pt>
                <c:pt idx="1001">
                  <c:v>0.04%</c:v>
                </c:pt>
                <c:pt idx="1002">
                  <c:v>1.33%</c:v>
                </c:pt>
                <c:pt idx="1003">
                  <c:v>-0.42%</c:v>
                </c:pt>
                <c:pt idx="1004">
                  <c:v>0.38%</c:v>
                </c:pt>
                <c:pt idx="1005">
                  <c:v>-1.59%</c:v>
                </c:pt>
                <c:pt idx="1006">
                  <c:v>-1.36%</c:v>
                </c:pt>
                <c:pt idx="1007">
                  <c:v>0.54%</c:v>
                </c:pt>
                <c:pt idx="1008">
                  <c:v>-0.43%</c:v>
                </c:pt>
                <c:pt idx="1009">
                  <c:v>-1.26%</c:v>
                </c:pt>
                <c:pt idx="1010">
                  <c:v>1.09%</c:v>
                </c:pt>
                <c:pt idx="1011">
                  <c:v>-0.06%</c:v>
                </c:pt>
                <c:pt idx="1012">
                  <c:v>-0.72%</c:v>
                </c:pt>
                <c:pt idx="1013">
                  <c:v>-0.15%</c:v>
                </c:pt>
                <c:pt idx="1014">
                  <c:v>1.74%</c:v>
                </c:pt>
                <c:pt idx="1015">
                  <c:v>1.26%</c:v>
                </c:pt>
                <c:pt idx="1016">
                  <c:v>0.09%</c:v>
                </c:pt>
                <c:pt idx="1017">
                  <c:v>0.77%</c:v>
                </c:pt>
                <c:pt idx="1018">
                  <c:v>-0.62%</c:v>
                </c:pt>
                <c:pt idx="1019">
                  <c:v>2.08%</c:v>
                </c:pt>
                <c:pt idx="1020">
                  <c:v>1.52%</c:v>
                </c:pt>
                <c:pt idx="1021">
                  <c:v>-0.37%</c:v>
                </c:pt>
                <c:pt idx="1022">
                  <c:v>0.26%</c:v>
                </c:pt>
                <c:pt idx="1023">
                  <c:v>1.08%</c:v>
                </c:pt>
                <c:pt idx="1024">
                  <c:v>1.13%</c:v>
                </c:pt>
                <c:pt idx="1025">
                  <c:v>1.18%</c:v>
                </c:pt>
                <c:pt idx="1026">
                  <c:v>0.81%</c:v>
                </c:pt>
                <c:pt idx="1027">
                  <c:v>0.43%</c:v>
                </c:pt>
                <c:pt idx="1028">
                  <c:v>-1.77%</c:v>
                </c:pt>
                <c:pt idx="1029">
                  <c:v>1.69%</c:v>
                </c:pt>
                <c:pt idx="1030">
                  <c:v>-0.35%</c:v>
                </c:pt>
                <c:pt idx="1031">
                  <c:v>0.31%</c:v>
                </c:pt>
                <c:pt idx="1032">
                  <c:v>0.00%</c:v>
                </c:pt>
                <c:pt idx="1033">
                  <c:v>1.23%</c:v>
                </c:pt>
                <c:pt idx="1034">
                  <c:v>-0.44%</c:v>
                </c:pt>
                <c:pt idx="1035">
                  <c:v>-1.28%</c:v>
                </c:pt>
                <c:pt idx="1036">
                  <c:v>1.70%</c:v>
                </c:pt>
                <c:pt idx="1037">
                  <c:v>0.83%</c:v>
                </c:pt>
                <c:pt idx="1038">
                  <c:v>1.79%</c:v>
                </c:pt>
                <c:pt idx="1039">
                  <c:v>-0.02%</c:v>
                </c:pt>
                <c:pt idx="1040">
                  <c:v>0.42%</c:v>
                </c:pt>
                <c:pt idx="1041">
                  <c:v>1.06%</c:v>
                </c:pt>
                <c:pt idx="1042">
                  <c:v>-1.12%</c:v>
                </c:pt>
                <c:pt idx="1043">
                  <c:v>-1.72%</c:v>
                </c:pt>
                <c:pt idx="1044">
                  <c:v>-0.90%</c:v>
                </c:pt>
                <c:pt idx="1045">
                  <c:v>-0.69%</c:v>
                </c:pt>
                <c:pt idx="1046">
                  <c:v>2.06%</c:v>
                </c:pt>
                <c:pt idx="1047">
                  <c:v>2.95%</c:v>
                </c:pt>
                <c:pt idx="1048">
                  <c:v>-0.20%</c:v>
                </c:pt>
                <c:pt idx="1049">
                  <c:v>0.14%</c:v>
                </c:pt>
                <c:pt idx="1050">
                  <c:v>-0.33%</c:v>
                </c:pt>
                <c:pt idx="1051">
                  <c:v>-0.24%</c:v>
                </c:pt>
                <c:pt idx="1052">
                  <c:v>0.42%</c:v>
                </c:pt>
                <c:pt idx="1053">
                  <c:v>0.42%</c:v>
                </c:pt>
                <c:pt idx="1054">
                  <c:v>-0.36%</c:v>
                </c:pt>
                <c:pt idx="1055">
                  <c:v>-0.09%</c:v>
                </c:pt>
                <c:pt idx="1056">
                  <c:v>-0.65%</c:v>
                </c:pt>
                <c:pt idx="1057">
                  <c:v>-0.79%</c:v>
                </c:pt>
                <c:pt idx="1058">
                  <c:v>-0.42%</c:v>
                </c:pt>
                <c:pt idx="1059">
                  <c:v>0.82%</c:v>
                </c:pt>
                <c:pt idx="1060">
                  <c:v>0.59%</c:v>
                </c:pt>
                <c:pt idx="1061">
                  <c:v>-0.56%</c:v>
                </c:pt>
                <c:pt idx="1062">
                  <c:v>1.14%</c:v>
                </c:pt>
                <c:pt idx="1063">
                  <c:v>0.10%</c:v>
                </c:pt>
                <c:pt idx="1064">
                  <c:v>1.12%</c:v>
                </c:pt>
                <c:pt idx="1065">
                  <c:v>-0.18%</c:v>
                </c:pt>
                <c:pt idx="1066">
                  <c:v>2.08%</c:v>
                </c:pt>
                <c:pt idx="1067">
                  <c:v>1.62%</c:v>
                </c:pt>
                <c:pt idx="1068">
                  <c:v>0.86%</c:v>
                </c:pt>
                <c:pt idx="1069">
                  <c:v>1.67%</c:v>
                </c:pt>
                <c:pt idx="1070">
                  <c:v>-0.70%</c:v>
                </c:pt>
                <c:pt idx="1071">
                  <c:v>2.01%</c:v>
                </c:pt>
                <c:pt idx="1072">
                  <c:v>-1.35%</c:v>
                </c:pt>
                <c:pt idx="1073">
                  <c:v>0.13%</c:v>
                </c:pt>
                <c:pt idx="1074">
                  <c:v>-0.66%</c:v>
                </c:pt>
                <c:pt idx="1075">
                  <c:v>-2.13%</c:v>
                </c:pt>
                <c:pt idx="1076">
                  <c:v>-1.43%</c:v>
                </c:pt>
                <c:pt idx="1077">
                  <c:v>-0.46%</c:v>
                </c:pt>
                <c:pt idx="1078">
                  <c:v>0.59%</c:v>
                </c:pt>
                <c:pt idx="1079">
                  <c:v>-0.38%</c:v>
                </c:pt>
                <c:pt idx="1080">
                  <c:v>1.10%</c:v>
                </c:pt>
                <c:pt idx="1081">
                  <c:v>-0.34%</c:v>
                </c:pt>
                <c:pt idx="1082">
                  <c:v>-1.01%</c:v>
                </c:pt>
                <c:pt idx="1083">
                  <c:v>1.58%</c:v>
                </c:pt>
                <c:pt idx="1084">
                  <c:v>1.40%</c:v>
                </c:pt>
                <c:pt idx="1085">
                  <c:v>-0.24%</c:v>
                </c:pt>
                <c:pt idx="1086">
                  <c:v>-1.79%</c:v>
                </c:pt>
                <c:pt idx="1087">
                  <c:v>-1.20%</c:v>
                </c:pt>
                <c:pt idx="1088">
                  <c:v>-0.55%</c:v>
                </c:pt>
                <c:pt idx="1089">
                  <c:v>0.12%</c:v>
                </c:pt>
                <c:pt idx="1090">
                  <c:v>1.39%</c:v>
                </c:pt>
                <c:pt idx="1091">
                  <c:v>0.12%</c:v>
                </c:pt>
                <c:pt idx="1092">
                  <c:v>0.37%</c:v>
                </c:pt>
                <c:pt idx="1093">
                  <c:v>0.52%</c:v>
                </c:pt>
                <c:pt idx="1094">
                  <c:v>-1.30%</c:v>
                </c:pt>
                <c:pt idx="1095">
                  <c:v>1.31%</c:v>
                </c:pt>
                <c:pt idx="1096">
                  <c:v>1.76%</c:v>
                </c:pt>
                <c:pt idx="1097">
                  <c:v>0.63%</c:v>
                </c:pt>
                <c:pt idx="1098">
                  <c:v>1.79%</c:v>
                </c:pt>
                <c:pt idx="1099">
                  <c:v>-0.25%</c:v>
                </c:pt>
                <c:pt idx="1100">
                  <c:v>0.04%</c:v>
                </c:pt>
                <c:pt idx="1101">
                  <c:v>1.59%</c:v>
                </c:pt>
                <c:pt idx="1102">
                  <c:v>-0.16%</c:v>
                </c:pt>
                <c:pt idx="1103">
                  <c:v>-0.66%</c:v>
                </c:pt>
                <c:pt idx="1104">
                  <c:v>2.06%</c:v>
                </c:pt>
                <c:pt idx="1105">
                  <c:v>-0.14%</c:v>
                </c:pt>
                <c:pt idx="1106">
                  <c:v>-0.88%</c:v>
                </c:pt>
                <c:pt idx="1107">
                  <c:v>0.02%</c:v>
                </c:pt>
                <c:pt idx="1108">
                  <c:v>-2.39%</c:v>
                </c:pt>
                <c:pt idx="1109">
                  <c:v>1.22%</c:v>
                </c:pt>
                <c:pt idx="1110">
                  <c:v>1.56%</c:v>
                </c:pt>
                <c:pt idx="1111">
                  <c:v>-1.37%</c:v>
                </c:pt>
                <c:pt idx="1112">
                  <c:v>-0.73%</c:v>
                </c:pt>
                <c:pt idx="1113">
                  <c:v>2.14%</c:v>
                </c:pt>
                <c:pt idx="1114">
                  <c:v>1.13%</c:v>
                </c:pt>
                <c:pt idx="1115">
                  <c:v>-0.34%</c:v>
                </c:pt>
                <c:pt idx="1116">
                  <c:v>-0.15%</c:v>
                </c:pt>
                <c:pt idx="1117">
                  <c:v>0.49%</c:v>
                </c:pt>
                <c:pt idx="1118">
                  <c:v>1.65%</c:v>
                </c:pt>
                <c:pt idx="1119">
                  <c:v>0.91%</c:v>
                </c:pt>
                <c:pt idx="1120">
                  <c:v>0.68%</c:v>
                </c:pt>
                <c:pt idx="1121">
                  <c:v>-0.20%</c:v>
                </c:pt>
                <c:pt idx="1122">
                  <c:v>1.79%</c:v>
                </c:pt>
                <c:pt idx="1123">
                  <c:v>0.70%</c:v>
                </c:pt>
                <c:pt idx="1124">
                  <c:v>-1.21%</c:v>
                </c:pt>
                <c:pt idx="1125">
                  <c:v>-0.41%</c:v>
                </c:pt>
                <c:pt idx="1126">
                  <c:v>2.08%</c:v>
                </c:pt>
                <c:pt idx="1127">
                  <c:v>-2.02%</c:v>
                </c:pt>
                <c:pt idx="1128">
                  <c:v>-1.16%</c:v>
                </c:pt>
                <c:pt idx="1129">
                  <c:v>0.66%</c:v>
                </c:pt>
                <c:pt idx="1130">
                  <c:v>-0.12%</c:v>
                </c:pt>
                <c:pt idx="1131">
                  <c:v>-1.25%</c:v>
                </c:pt>
                <c:pt idx="1132">
                  <c:v>-3.94%</c:v>
                </c:pt>
                <c:pt idx="1133">
                  <c:v>-0.34%</c:v>
                </c:pt>
                <c:pt idx="1134">
                  <c:v>1.37%</c:v>
                </c:pt>
                <c:pt idx="1135">
                  <c:v>-1.10%</c:v>
                </c:pt>
                <c:pt idx="1136">
                  <c:v>-1.26%</c:v>
                </c:pt>
                <c:pt idx="1137">
                  <c:v>0.91%</c:v>
                </c:pt>
                <c:pt idx="1138">
                  <c:v>1.63%</c:v>
                </c:pt>
                <c:pt idx="1139">
                  <c:v>-0.96%</c:v>
                </c:pt>
                <c:pt idx="1140">
                  <c:v>-0.36%</c:v>
                </c:pt>
                <c:pt idx="1141">
                  <c:v>-1.69%</c:v>
                </c:pt>
                <c:pt idx="1142">
                  <c:v>0.03%</c:v>
                </c:pt>
                <c:pt idx="1143">
                  <c:v>-0.81%</c:v>
                </c:pt>
                <c:pt idx="1144">
                  <c:v>-0.16%</c:v>
                </c:pt>
                <c:pt idx="1145">
                  <c:v>-2.74%</c:v>
                </c:pt>
                <c:pt idx="1146">
                  <c:v>1.08%</c:v>
                </c:pt>
                <c:pt idx="1147">
                  <c:v>-2.06%</c:v>
                </c:pt>
                <c:pt idx="1148">
                  <c:v>-1.49%</c:v>
                </c:pt>
                <c:pt idx="1149">
                  <c:v>-0.24%</c:v>
                </c:pt>
                <c:pt idx="1150">
                  <c:v>-2.25%</c:v>
                </c:pt>
                <c:pt idx="1151">
                  <c:v>-1.80%</c:v>
                </c:pt>
                <c:pt idx="1152">
                  <c:v>-1.03%</c:v>
                </c:pt>
                <c:pt idx="1153">
                  <c:v>-2.05%</c:v>
                </c:pt>
                <c:pt idx="1154">
                  <c:v>-0.77%</c:v>
                </c:pt>
                <c:pt idx="1155">
                  <c:v>-0.08%</c:v>
                </c:pt>
                <c:pt idx="1156">
                  <c:v>1.97%</c:v>
                </c:pt>
                <c:pt idx="1157">
                  <c:v>1.02%</c:v>
                </c:pt>
                <c:pt idx="1158">
                  <c:v>-2.75%</c:v>
                </c:pt>
                <c:pt idx="1159">
                  <c:v>-0.20%</c:v>
                </c:pt>
                <c:pt idx="1160">
                  <c:v>-0.94%</c:v>
                </c:pt>
                <c:pt idx="1161">
                  <c:v>0.55%</c:v>
                </c:pt>
                <c:pt idx="1162">
                  <c:v>-0.35%</c:v>
                </c:pt>
                <c:pt idx="1163">
                  <c:v>0.43%</c:v>
                </c:pt>
                <c:pt idx="1164">
                  <c:v>0.77%</c:v>
                </c:pt>
                <c:pt idx="1165">
                  <c:v>-0.41%</c:v>
                </c:pt>
                <c:pt idx="1166">
                  <c:v>-1.84%</c:v>
                </c:pt>
                <c:pt idx="1167">
                  <c:v>-0.43%</c:v>
                </c:pt>
                <c:pt idx="1168">
                  <c:v>0.74%</c:v>
                </c:pt>
                <c:pt idx="1169">
                  <c:v>0.68%</c:v>
                </c:pt>
                <c:pt idx="1170">
                  <c:v>-0.18%</c:v>
                </c:pt>
                <c:pt idx="1171">
                  <c:v>0.79%</c:v>
                </c:pt>
                <c:pt idx="1172">
                  <c:v>-0.07%</c:v>
                </c:pt>
                <c:pt idx="1173">
                  <c:v>-1.43%</c:v>
                </c:pt>
                <c:pt idx="1174">
                  <c:v>0.23%</c:v>
                </c:pt>
                <c:pt idx="1175">
                  <c:v>0.98%</c:v>
                </c:pt>
                <c:pt idx="1176">
                  <c:v>1.52%</c:v>
                </c:pt>
                <c:pt idx="1177">
                  <c:v>-0.63%</c:v>
                </c:pt>
                <c:pt idx="1178">
                  <c:v>0.18%</c:v>
                </c:pt>
                <c:pt idx="1179">
                  <c:v>-0.24%</c:v>
                </c:pt>
                <c:pt idx="1180">
                  <c:v>-1.49%</c:v>
                </c:pt>
                <c:pt idx="1181">
                  <c:v>0.40%</c:v>
                </c:pt>
                <c:pt idx="1182">
                  <c:v>-1.02%</c:v>
                </c:pt>
                <c:pt idx="1183">
                  <c:v>0.11%</c:v>
                </c:pt>
                <c:pt idx="1184">
                  <c:v>-0.72%</c:v>
                </c:pt>
                <c:pt idx="1185">
                  <c:v>-0.64%</c:v>
                </c:pt>
                <c:pt idx="1186">
                  <c:v>-0.03%</c:v>
                </c:pt>
                <c:pt idx="1187">
                  <c:v>0.13%</c:v>
                </c:pt>
                <c:pt idx="1188">
                  <c:v>0.60%</c:v>
                </c:pt>
                <c:pt idx="1189">
                  <c:v>-0.43%</c:v>
                </c:pt>
                <c:pt idx="1190">
                  <c:v>-0.28%</c:v>
                </c:pt>
                <c:pt idx="1191">
                  <c:v>0.45%</c:v>
                </c:pt>
                <c:pt idx="1192">
                  <c:v>-0.44%</c:v>
                </c:pt>
                <c:pt idx="1193">
                  <c:v>0.06%</c:v>
                </c:pt>
                <c:pt idx="1194">
                  <c:v>-0.62%</c:v>
                </c:pt>
                <c:pt idx="1195">
                  <c:v>-0.02%</c:v>
                </c:pt>
                <c:pt idx="1196">
                  <c:v>0.97%</c:v>
                </c:pt>
                <c:pt idx="1197">
                  <c:v>0.96%</c:v>
                </c:pt>
                <c:pt idx="1198">
                  <c:v>0.96%</c:v>
                </c:pt>
                <c:pt idx="1199">
                  <c:v>1.41%</c:v>
                </c:pt>
                <c:pt idx="1200">
                  <c:v>0.21%</c:v>
                </c:pt>
                <c:pt idx="1201">
                  <c:v>1.16%</c:v>
                </c:pt>
                <c:pt idx="1202">
                  <c:v>-0.33%</c:v>
                </c:pt>
                <c:pt idx="1203">
                  <c:v>1.18%</c:v>
                </c:pt>
                <c:pt idx="1204">
                  <c:v>0.89%</c:v>
                </c:pt>
                <c:pt idx="1205">
                  <c:v>1.92%</c:v>
                </c:pt>
                <c:pt idx="1206">
                  <c:v>0.98%</c:v>
                </c:pt>
                <c:pt idx="1207">
                  <c:v>0.80%</c:v>
                </c:pt>
                <c:pt idx="1208">
                  <c:v>0.39%</c:v>
                </c:pt>
                <c:pt idx="1209">
                  <c:v>-0.53%</c:v>
                </c:pt>
                <c:pt idx="1210">
                  <c:v>-0.70%</c:v>
                </c:pt>
                <c:pt idx="1211">
                  <c:v>1.00%</c:v>
                </c:pt>
                <c:pt idx="1212">
                  <c:v>-1.42%</c:v>
                </c:pt>
                <c:pt idx="1213">
                  <c:v>1.81%</c:v>
                </c:pt>
                <c:pt idx="1214">
                  <c:v>0.27%</c:v>
                </c:pt>
                <c:pt idx="1215">
                  <c:v>0.73%</c:v>
                </c:pt>
                <c:pt idx="1216">
                  <c:v>1.14%</c:v>
                </c:pt>
                <c:pt idx="1217">
                  <c:v>0.32%</c:v>
                </c:pt>
                <c:pt idx="1218">
                  <c:v>-0.06%</c:v>
                </c:pt>
                <c:pt idx="1219">
                  <c:v>-2.40%</c:v>
                </c:pt>
                <c:pt idx="1220">
                  <c:v>0.44%</c:v>
                </c:pt>
                <c:pt idx="1221">
                  <c:v>0.67%</c:v>
                </c:pt>
                <c:pt idx="1222">
                  <c:v>-1.63%</c:v>
                </c:pt>
                <c:pt idx="1223">
                  <c:v>0.25%</c:v>
                </c:pt>
                <c:pt idx="1224">
                  <c:v>-0.08%</c:v>
                </c:pt>
                <c:pt idx="1225">
                  <c:v>1.22%</c:v>
                </c:pt>
                <c:pt idx="1226">
                  <c:v>-1.90%</c:v>
                </c:pt>
                <c:pt idx="1227">
                  <c:v>-0.59%</c:v>
                </c:pt>
                <c:pt idx="1228">
                  <c:v>-0.19%</c:v>
                </c:pt>
                <c:pt idx="1229">
                  <c:v>-0.94%</c:v>
                </c:pt>
                <c:pt idx="1230">
                  <c:v>0.25%</c:v>
                </c:pt>
                <c:pt idx="1231">
                  <c:v>-2.30%</c:v>
                </c:pt>
                <c:pt idx="1232">
                  <c:v>-2.54%</c:v>
                </c:pt>
                <c:pt idx="1233">
                  <c:v>0.01%</c:v>
                </c:pt>
                <c:pt idx="1234">
                  <c:v>0.66%</c:v>
                </c:pt>
                <c:pt idx="1235">
                  <c:v>-0.90%</c:v>
                </c:pt>
                <c:pt idx="1236">
                  <c:v>0.45%</c:v>
                </c:pt>
                <c:pt idx="1237">
                  <c:v>0.38%</c:v>
                </c:pt>
                <c:pt idx="1238">
                  <c:v>0.69%</c:v>
                </c:pt>
                <c:pt idx="1239">
                  <c:v>0.12%</c:v>
                </c:pt>
                <c:pt idx="1240">
                  <c:v>-1.90%</c:v>
                </c:pt>
                <c:pt idx="1241">
                  <c:v>0.04%</c:v>
                </c:pt>
                <c:pt idx="1242">
                  <c:v>0.18%</c:v>
                </c:pt>
                <c:pt idx="1243">
                  <c:v>1.74%</c:v>
                </c:pt>
                <c:pt idx="1244">
                  <c:v>-1.66%</c:v>
                </c:pt>
                <c:pt idx="1245">
                  <c:v>2.63%</c:v>
                </c:pt>
                <c:pt idx="1246">
                  <c:v>-0.06%</c:v>
                </c:pt>
                <c:pt idx="1247">
                  <c:v>-1.17%</c:v>
                </c:pt>
                <c:pt idx="1248">
                  <c:v>-0.29%</c:v>
                </c:pt>
                <c:pt idx="1249">
                  <c:v>1.30%</c:v>
                </c:pt>
                <c:pt idx="1250">
                  <c:v>0.09%</c:v>
                </c:pt>
                <c:pt idx="1251">
                  <c:v>-0.82%</c:v>
                </c:pt>
                <c:pt idx="1252">
                  <c:v>0.82%</c:v>
                </c:pt>
                <c:pt idx="1253">
                  <c:v>1.15%</c:v>
                </c:pt>
                <c:pt idx="1254">
                  <c:v>0.04%</c:v>
                </c:pt>
                <c:pt idx="1255">
                  <c:v>1.97%</c:v>
                </c:pt>
                <c:pt idx="1256">
                  <c:v>2.43%</c:v>
                </c:pt>
                <c:pt idx="1257">
                  <c:v>-2.71%</c:v>
                </c:pt>
                <c:pt idx="1258">
                  <c:v>0.07%</c:v>
                </c:pt>
                <c:pt idx="1259">
                  <c:v>2.14%</c:v>
                </c:pt>
                <c:pt idx="1260">
                  <c:v>0.60%</c:v>
                </c:pt>
                <c:pt idx="1261">
                  <c:v>1.72%</c:v>
                </c:pt>
                <c:pt idx="1262">
                  <c:v>0.68%</c:v>
                </c:pt>
                <c:pt idx="1263">
                  <c:v>-1.60%</c:v>
                </c:pt>
                <c:pt idx="1264">
                  <c:v>-0.68%</c:v>
                </c:pt>
                <c:pt idx="1265">
                  <c:v>0.03%</c:v>
                </c:pt>
                <c:pt idx="1266">
                  <c:v>1.55%</c:v>
                </c:pt>
                <c:pt idx="1267">
                  <c:v>-0.04%</c:v>
                </c:pt>
                <c:pt idx="1268">
                  <c:v>-0.51%</c:v>
                </c:pt>
                <c:pt idx="1269">
                  <c:v>-0.58%</c:v>
                </c:pt>
                <c:pt idx="1270">
                  <c:v>0.25%</c:v>
                </c:pt>
                <c:pt idx="1271">
                  <c:v>0.27%</c:v>
                </c:pt>
                <c:pt idx="1272">
                  <c:v>2.64%</c:v>
                </c:pt>
                <c:pt idx="1273">
                  <c:v>-0.12%</c:v>
                </c:pt>
                <c:pt idx="1274">
                  <c:v>-1.37%</c:v>
                </c:pt>
                <c:pt idx="1275">
                  <c:v>0.74%</c:v>
                </c:pt>
                <c:pt idx="1276">
                  <c:v>0.34%</c:v>
                </c:pt>
                <c:pt idx="1277">
                  <c:v>0.23%</c:v>
                </c:pt>
                <c:pt idx="1278">
                  <c:v>-0.77%</c:v>
                </c:pt>
                <c:pt idx="1279">
                  <c:v>0.57%</c:v>
                </c:pt>
                <c:pt idx="1280">
                  <c:v>-0.51%</c:v>
                </c:pt>
                <c:pt idx="1281">
                  <c:v>-0.58%</c:v>
                </c:pt>
                <c:pt idx="1282">
                  <c:v>-0.63%</c:v>
                </c:pt>
                <c:pt idx="1283">
                  <c:v>1.15%</c:v>
                </c:pt>
                <c:pt idx="1284">
                  <c:v>-1.59%</c:v>
                </c:pt>
                <c:pt idx="1285">
                  <c:v>-0.07%</c:v>
                </c:pt>
                <c:pt idx="1286">
                  <c:v>-0.26%</c:v>
                </c:pt>
                <c:pt idx="1287">
                  <c:v>0.88%</c:v>
                </c:pt>
                <c:pt idx="1288">
                  <c:v>-0.17%</c:v>
                </c:pt>
                <c:pt idx="1289">
                  <c:v>1.07%</c:v>
                </c:pt>
                <c:pt idx="1290">
                  <c:v>-0.83%</c:v>
                </c:pt>
                <c:pt idx="1291">
                  <c:v>0.53%</c:v>
                </c:pt>
                <c:pt idx="1292">
                  <c:v>0.35%</c:v>
                </c:pt>
                <c:pt idx="1293">
                  <c:v>0.13%</c:v>
                </c:pt>
                <c:pt idx="1294">
                  <c:v>1.81%</c:v>
                </c:pt>
                <c:pt idx="1295">
                  <c:v>0.64%</c:v>
                </c:pt>
                <c:pt idx="1296">
                  <c:v>0.34%</c:v>
                </c:pt>
                <c:pt idx="1297">
                  <c:v>1.28%</c:v>
                </c:pt>
                <c:pt idx="1298">
                  <c:v>0.47%</c:v>
                </c:pt>
                <c:pt idx="1299">
                  <c:v>-0.25%</c:v>
                </c:pt>
                <c:pt idx="1300">
                  <c:v>1.13%</c:v>
                </c:pt>
                <c:pt idx="1301">
                  <c:v>2.57%</c:v>
                </c:pt>
                <c:pt idx="1302">
                  <c:v>-0.60%</c:v>
                </c:pt>
                <c:pt idx="1303">
                  <c:v>0.77%</c:v>
                </c:pt>
                <c:pt idx="1304">
                  <c:v>0.19%</c:v>
                </c:pt>
                <c:pt idx="1305">
                  <c:v>0.14%</c:v>
                </c:pt>
                <c:pt idx="1306">
                  <c:v>-2.10%</c:v>
                </c:pt>
                <c:pt idx="1307">
                  <c:v>-0.69%</c:v>
                </c:pt>
                <c:pt idx="1308">
                  <c:v>-0.87%</c:v>
                </c:pt>
                <c:pt idx="1309">
                  <c:v>1.66%</c:v>
                </c:pt>
                <c:pt idx="1310">
                  <c:v>-1.23%</c:v>
                </c:pt>
                <c:pt idx="1311">
                  <c:v>1.54%</c:v>
                </c:pt>
                <c:pt idx="1312">
                  <c:v>-1.04%</c:v>
                </c:pt>
                <c:pt idx="1313">
                  <c:v>-0.16%</c:v>
                </c:pt>
                <c:pt idx="1314">
                  <c:v>-0.42%</c:v>
                </c:pt>
                <c:pt idx="1315">
                  <c:v>-0.59%</c:v>
                </c:pt>
                <c:pt idx="1316">
                  <c:v>-1.73%</c:v>
                </c:pt>
                <c:pt idx="1317">
                  <c:v>1.61%</c:v>
                </c:pt>
                <c:pt idx="1318">
                  <c:v>1.31%</c:v>
                </c:pt>
                <c:pt idx="1319">
                  <c:v>1.40%</c:v>
                </c:pt>
                <c:pt idx="1320">
                  <c:v>1.13%</c:v>
                </c:pt>
                <c:pt idx="1321">
                  <c:v>1.07%</c:v>
                </c:pt>
                <c:pt idx="1322">
                  <c:v>1.44%</c:v>
                </c:pt>
                <c:pt idx="1323">
                  <c:v>-0.83%</c:v>
                </c:pt>
                <c:pt idx="1324">
                  <c:v>0.68%</c:v>
                </c:pt>
                <c:pt idx="1325">
                  <c:v>1.68%</c:v>
                </c:pt>
                <c:pt idx="1326">
                  <c:v>0.43%</c:v>
                </c:pt>
                <c:pt idx="1327">
                  <c:v>-0.17%</c:v>
                </c:pt>
                <c:pt idx="1328">
                  <c:v>-0.96%</c:v>
                </c:pt>
                <c:pt idx="1329">
                  <c:v>-0.26%</c:v>
                </c:pt>
                <c:pt idx="1330">
                  <c:v>-0.49%</c:v>
                </c:pt>
                <c:pt idx="1331">
                  <c:v>-3.35%</c:v>
                </c:pt>
                <c:pt idx="1332">
                  <c:v>0.57%</c:v>
                </c:pt>
                <c:pt idx="1333">
                  <c:v>1.77%</c:v>
                </c:pt>
                <c:pt idx="1334">
                  <c:v>0.75%</c:v>
                </c:pt>
                <c:pt idx="1335">
                  <c:v>0.24%</c:v>
                </c:pt>
                <c:pt idx="1336">
                  <c:v>-0.79%</c:v>
                </c:pt>
                <c:pt idx="1337">
                  <c:v>-0.23%</c:v>
                </c:pt>
                <c:pt idx="1338">
                  <c:v>1.63%</c:v>
                </c:pt>
                <c:pt idx="1339">
                  <c:v>-1.51%</c:v>
                </c:pt>
                <c:pt idx="1340">
                  <c:v>2.60%</c:v>
                </c:pt>
                <c:pt idx="1341">
                  <c:v>-1.67%</c:v>
                </c:pt>
                <c:pt idx="1342">
                  <c:v>1.01%</c:v>
                </c:pt>
                <c:pt idx="1343">
                  <c:v>-0.72%</c:v>
                </c:pt>
                <c:pt idx="1344">
                  <c:v>-0.47%</c:v>
                </c:pt>
                <c:pt idx="1345">
                  <c:v>-2.41%</c:v>
                </c:pt>
                <c:pt idx="1346">
                  <c:v>1.11%</c:v>
                </c:pt>
                <c:pt idx="1347">
                  <c:v>0.52%</c:v>
                </c:pt>
                <c:pt idx="1348">
                  <c:v>1.26%</c:v>
                </c:pt>
                <c:pt idx="1349">
                  <c:v>-0.53%</c:v>
                </c:pt>
                <c:pt idx="1350">
                  <c:v>1.55%</c:v>
                </c:pt>
                <c:pt idx="1351">
                  <c:v>0.25%</c:v>
                </c:pt>
                <c:pt idx="1352">
                  <c:v>-0.16%</c:v>
                </c:pt>
                <c:pt idx="1353">
                  <c:v>-0.53%</c:v>
                </c:pt>
                <c:pt idx="1354">
                  <c:v>1.44%</c:v>
                </c:pt>
                <c:pt idx="1355">
                  <c:v>0.45%</c:v>
                </c:pt>
                <c:pt idx="1356">
                  <c:v>0.52%</c:v>
                </c:pt>
                <c:pt idx="1357">
                  <c:v>-1.64%</c:v>
                </c:pt>
                <c:pt idx="1358">
                  <c:v>-0.03%</c:v>
                </c:pt>
                <c:pt idx="1359">
                  <c:v>-1.10%</c:v>
                </c:pt>
                <c:pt idx="1360">
                  <c:v>-0.88%</c:v>
                </c:pt>
                <c:pt idx="1361">
                  <c:v>-2.07%</c:v>
                </c:pt>
                <c:pt idx="1362">
                  <c:v>0.71%</c:v>
                </c:pt>
                <c:pt idx="1363">
                  <c:v>-0.09%</c:v>
                </c:pt>
                <c:pt idx="1364">
                  <c:v>0.04%</c:v>
                </c:pt>
                <c:pt idx="1365">
                  <c:v>-1.08%</c:v>
                </c:pt>
                <c:pt idx="1366">
                  <c:v>0.25%</c:v>
                </c:pt>
                <c:pt idx="1367">
                  <c:v>-1.09%</c:v>
                </c:pt>
                <c:pt idx="1368">
                  <c:v>-0.06%</c:v>
                </c:pt>
                <c:pt idx="1369">
                  <c:v>0.75%</c:v>
                </c:pt>
                <c:pt idx="1370">
                  <c:v>0.46%</c:v>
                </c:pt>
                <c:pt idx="1371">
                  <c:v>0.71%</c:v>
                </c:pt>
                <c:pt idx="1372">
                  <c:v>-0.73%</c:v>
                </c:pt>
                <c:pt idx="1373">
                  <c:v>-2.17%</c:v>
                </c:pt>
                <c:pt idx="1374">
                  <c:v>0.35%</c:v>
                </c:pt>
                <c:pt idx="1375">
                  <c:v>-1.17%</c:v>
                </c:pt>
                <c:pt idx="1376">
                  <c:v>-0.33%</c:v>
                </c:pt>
                <c:pt idx="1377">
                  <c:v>-1.30%</c:v>
                </c:pt>
                <c:pt idx="1378">
                  <c:v>-0.23%</c:v>
                </c:pt>
                <c:pt idx="1379">
                  <c:v>0.79%</c:v>
                </c:pt>
                <c:pt idx="1380">
                  <c:v>-0.34%</c:v>
                </c:pt>
                <c:pt idx="1381">
                  <c:v>-1.35%</c:v>
                </c:pt>
                <c:pt idx="1382">
                  <c:v>0.20%</c:v>
                </c:pt>
                <c:pt idx="1383">
                  <c:v>0.34%</c:v>
                </c:pt>
                <c:pt idx="1384">
                  <c:v>0.06%</c:v>
                </c:pt>
                <c:pt idx="1385">
                  <c:v>0.36%</c:v>
                </c:pt>
                <c:pt idx="1386">
                  <c:v>1.44%</c:v>
                </c:pt>
                <c:pt idx="1387">
                  <c:v>1.92%</c:v>
                </c:pt>
                <c:pt idx="1388">
                  <c:v>0.84%</c:v>
                </c:pt>
                <c:pt idx="1389">
                  <c:v>-0.36%</c:v>
                </c:pt>
                <c:pt idx="1390">
                  <c:v>0.45%</c:v>
                </c:pt>
                <c:pt idx="1391">
                  <c:v>-1.54%</c:v>
                </c:pt>
                <c:pt idx="1392">
                  <c:v>0.05%</c:v>
                </c:pt>
                <c:pt idx="1393">
                  <c:v>2.15%</c:v>
                </c:pt>
                <c:pt idx="1394">
                  <c:v>-0.02%</c:v>
                </c:pt>
                <c:pt idx="1395">
                  <c:v>0.02%</c:v>
                </c:pt>
                <c:pt idx="1396">
                  <c:v>-0.85%</c:v>
                </c:pt>
                <c:pt idx="1397">
                  <c:v>1.30%</c:v>
                </c:pt>
                <c:pt idx="1398">
                  <c:v>-0.29%</c:v>
                </c:pt>
                <c:pt idx="1399">
                  <c:v>0.38%</c:v>
                </c:pt>
                <c:pt idx="1400">
                  <c:v>-0.36%</c:v>
                </c:pt>
                <c:pt idx="1401">
                  <c:v>-1.34%</c:v>
                </c:pt>
                <c:pt idx="1402">
                  <c:v>-0.17%</c:v>
                </c:pt>
                <c:pt idx="1403">
                  <c:v>-1.11%</c:v>
                </c:pt>
                <c:pt idx="1404">
                  <c:v>-0.73%</c:v>
                </c:pt>
                <c:pt idx="1405">
                  <c:v>-0.61%</c:v>
                </c:pt>
                <c:pt idx="1406">
                  <c:v>1.99%</c:v>
                </c:pt>
                <c:pt idx="1407">
                  <c:v>0.77%</c:v>
                </c:pt>
                <c:pt idx="1408">
                  <c:v>0.39%</c:v>
                </c:pt>
                <c:pt idx="1409">
                  <c:v>-0.68%</c:v>
                </c:pt>
                <c:pt idx="1410">
                  <c:v>0.73%</c:v>
                </c:pt>
                <c:pt idx="1411">
                  <c:v>-0.12%</c:v>
                </c:pt>
                <c:pt idx="1412">
                  <c:v>1.42%</c:v>
                </c:pt>
                <c:pt idx="1413">
                  <c:v>-0.21%</c:v>
                </c:pt>
                <c:pt idx="1414">
                  <c:v>1.99%</c:v>
                </c:pt>
                <c:pt idx="1415">
                  <c:v>-0.23%</c:v>
                </c:pt>
                <c:pt idx="1416">
                  <c:v>0.14%</c:v>
                </c:pt>
                <c:pt idx="1417">
                  <c:v>-0.49%</c:v>
                </c:pt>
                <c:pt idx="1418">
                  <c:v>0.01%</c:v>
                </c:pt>
                <c:pt idx="1419">
                  <c:v>-1.08%</c:v>
                </c:pt>
                <c:pt idx="1420">
                  <c:v>-1.27%</c:v>
                </c:pt>
                <c:pt idx="1421">
                  <c:v>-1.85%</c:v>
                </c:pt>
                <c:pt idx="1422">
                  <c:v>-0.92%</c:v>
                </c:pt>
                <c:pt idx="1423">
                  <c:v>-1.04%</c:v>
                </c:pt>
                <c:pt idx="1424">
                  <c:v>0.36%</c:v>
                </c:pt>
                <c:pt idx="1425">
                  <c:v>-0.70%</c:v>
                </c:pt>
                <c:pt idx="1426">
                  <c:v>-0.14%</c:v>
                </c:pt>
                <c:pt idx="1427">
                  <c:v>1.52%</c:v>
                </c:pt>
                <c:pt idx="1428">
                  <c:v>0.71%</c:v>
                </c:pt>
                <c:pt idx="1429">
                  <c:v>-1.74%</c:v>
                </c:pt>
                <c:pt idx="1430">
                  <c:v>0.50%</c:v>
                </c:pt>
                <c:pt idx="1431">
                  <c:v>0.72%</c:v>
                </c:pt>
                <c:pt idx="1432">
                  <c:v>-0.13%</c:v>
                </c:pt>
                <c:pt idx="1433">
                  <c:v>-1.04%</c:v>
                </c:pt>
                <c:pt idx="1434">
                  <c:v>0.45%</c:v>
                </c:pt>
                <c:pt idx="1435">
                  <c:v>-0.25%</c:v>
                </c:pt>
                <c:pt idx="1436">
                  <c:v>0.34%</c:v>
                </c:pt>
                <c:pt idx="1437">
                  <c:v>0.69%</c:v>
                </c:pt>
                <c:pt idx="1438">
                  <c:v>0.51%</c:v>
                </c:pt>
                <c:pt idx="1439">
                  <c:v>-0.52%</c:v>
                </c:pt>
                <c:pt idx="1440">
                  <c:v>-1.79%</c:v>
                </c:pt>
                <c:pt idx="1441">
                  <c:v>0.14%</c:v>
                </c:pt>
                <c:pt idx="1442">
                  <c:v>-0.10%</c:v>
                </c:pt>
                <c:pt idx="1443">
                  <c:v>-0.15%</c:v>
                </c:pt>
                <c:pt idx="1444">
                  <c:v>0.40%</c:v>
                </c:pt>
                <c:pt idx="1445">
                  <c:v>0.64%</c:v>
                </c:pt>
                <c:pt idx="1446">
                  <c:v>-1.19%</c:v>
                </c:pt>
                <c:pt idx="1447">
                  <c:v>0.99%</c:v>
                </c:pt>
                <c:pt idx="1448">
                  <c:v>0.43%</c:v>
                </c:pt>
                <c:pt idx="1449">
                  <c:v>0.22%</c:v>
                </c:pt>
                <c:pt idx="1450">
                  <c:v>0.11%</c:v>
                </c:pt>
                <c:pt idx="1451">
                  <c:v>2.52%</c:v>
                </c:pt>
                <c:pt idx="1452">
                  <c:v>0.55%</c:v>
                </c:pt>
                <c:pt idx="1453">
                  <c:v>-0.06%</c:v>
                </c:pt>
                <c:pt idx="1454">
                  <c:v>-1.77%</c:v>
                </c:pt>
                <c:pt idx="1455">
                  <c:v>-0.27%</c:v>
                </c:pt>
                <c:pt idx="1456">
                  <c:v>0.59%</c:v>
                </c:pt>
                <c:pt idx="1457">
                  <c:v>-1.40%</c:v>
                </c:pt>
                <c:pt idx="1458">
                  <c:v>-0.13%</c:v>
                </c:pt>
                <c:pt idx="1459">
                  <c:v>0.20%</c:v>
                </c:pt>
                <c:pt idx="1460">
                  <c:v>0.93%</c:v>
                </c:pt>
                <c:pt idx="1461">
                  <c:v>-1.67%</c:v>
                </c:pt>
                <c:pt idx="1462">
                  <c:v>-0.17%</c:v>
                </c:pt>
                <c:pt idx="1463">
                  <c:v>-0.23%</c:v>
                </c:pt>
                <c:pt idx="1464">
                  <c:v>0.04%</c:v>
                </c:pt>
                <c:pt idx="1465">
                  <c:v>0.51%</c:v>
                </c:pt>
                <c:pt idx="1466">
                  <c:v>1.03%</c:v>
                </c:pt>
                <c:pt idx="1467">
                  <c:v>1.28%</c:v>
                </c:pt>
                <c:pt idx="1468">
                  <c:v>2.98%</c:v>
                </c:pt>
                <c:pt idx="1469">
                  <c:v>0.29%</c:v>
                </c:pt>
                <c:pt idx="1470">
                  <c:v>0.55%</c:v>
                </c:pt>
                <c:pt idx="1471">
                  <c:v>-0.11%</c:v>
                </c:pt>
                <c:pt idx="1472">
                  <c:v>-0.05%</c:v>
                </c:pt>
                <c:pt idx="1473">
                  <c:v>-0.99%</c:v>
                </c:pt>
                <c:pt idx="1474">
                  <c:v>-0.17%</c:v>
                </c:pt>
                <c:pt idx="1475">
                  <c:v>-0.70%</c:v>
                </c:pt>
                <c:pt idx="1476">
                  <c:v>-1.41%</c:v>
                </c:pt>
                <c:pt idx="1477">
                  <c:v>0.21%</c:v>
                </c:pt>
                <c:pt idx="1478">
                  <c:v>-0.60%</c:v>
                </c:pt>
                <c:pt idx="1479">
                  <c:v>0.27%</c:v>
                </c:pt>
                <c:pt idx="1480">
                  <c:v>-0.29%</c:v>
                </c:pt>
                <c:pt idx="1481">
                  <c:v>0.61%</c:v>
                </c:pt>
                <c:pt idx="1482">
                  <c:v>1.67%</c:v>
                </c:pt>
                <c:pt idx="1483">
                  <c:v>0.63%</c:v>
                </c:pt>
                <c:pt idx="1484">
                  <c:v>-0.37%</c:v>
                </c:pt>
                <c:pt idx="1485">
                  <c:v>-0.38%</c:v>
                </c:pt>
                <c:pt idx="1486">
                  <c:v>0.28%</c:v>
                </c:pt>
                <c:pt idx="1487">
                  <c:v>-0.44%</c:v>
                </c:pt>
                <c:pt idx="1488">
                  <c:v>-0.36%</c:v>
                </c:pt>
                <c:pt idx="1489">
                  <c:v>1.33%</c:v>
                </c:pt>
                <c:pt idx="1490">
                  <c:v>0.36%</c:v>
                </c:pt>
                <c:pt idx="1491">
                  <c:v>-0.50%</c:v>
                </c:pt>
                <c:pt idx="1492">
                  <c:v>0.25%</c:v>
                </c:pt>
                <c:pt idx="1493">
                  <c:v>-0.10%</c:v>
                </c:pt>
                <c:pt idx="1494">
                  <c:v>-0.54%</c:v>
                </c:pt>
                <c:pt idx="1495">
                  <c:v>0.32%</c:v>
                </c:pt>
                <c:pt idx="1496">
                  <c:v>-0.42%</c:v>
                </c:pt>
                <c:pt idx="1497">
                  <c:v>-0.64%</c:v>
                </c:pt>
                <c:pt idx="1498">
                  <c:v>0.85%</c:v>
                </c:pt>
                <c:pt idx="1499">
                  <c:v>-0.73%</c:v>
                </c:pt>
                <c:pt idx="1500">
                  <c:v>1.61%</c:v>
                </c:pt>
                <c:pt idx="1501">
                  <c:v>-1.37%</c:v>
                </c:pt>
                <c:pt idx="1502">
                  <c:v>0.56%</c:v>
                </c:pt>
                <c:pt idx="1503">
                  <c:v>0.48%</c:v>
                </c:pt>
                <c:pt idx="1504">
                  <c:v>0.44%</c:v>
                </c:pt>
                <c:pt idx="1505">
                  <c:v>0.37%</c:v>
                </c:pt>
                <c:pt idx="1506">
                  <c:v>1.06%</c:v>
                </c:pt>
                <c:pt idx="1507">
                  <c:v>-0.26%</c:v>
                </c:pt>
                <c:pt idx="1508">
                  <c:v>-0.39%</c:v>
                </c:pt>
                <c:pt idx="1509">
                  <c:v>-0.34%</c:v>
                </c:pt>
                <c:pt idx="1510">
                  <c:v>2.29%</c:v>
                </c:pt>
                <c:pt idx="1511">
                  <c:v>-1.14%</c:v>
                </c:pt>
                <c:pt idx="1512">
                  <c:v>1.26%</c:v>
                </c:pt>
                <c:pt idx="1513">
                  <c:v>-0.91%</c:v>
                </c:pt>
                <c:pt idx="1514">
                  <c:v>0.64%</c:v>
                </c:pt>
                <c:pt idx="1515">
                  <c:v>1.29%</c:v>
                </c:pt>
                <c:pt idx="1516">
                  <c:v>-1.35%</c:v>
                </c:pt>
                <c:pt idx="1517">
                  <c:v>-0.97%</c:v>
                </c:pt>
                <c:pt idx="1518">
                  <c:v>1.02%</c:v>
                </c:pt>
                <c:pt idx="1519">
                  <c:v>1.40%</c:v>
                </c:pt>
                <c:pt idx="1520">
                  <c:v>-0.63%</c:v>
                </c:pt>
                <c:pt idx="1521">
                  <c:v>2.02%</c:v>
                </c:pt>
                <c:pt idx="1522">
                  <c:v>-0.27%</c:v>
                </c:pt>
                <c:pt idx="1523">
                  <c:v>0.47%</c:v>
                </c:pt>
                <c:pt idx="1524">
                  <c:v>1.48%</c:v>
                </c:pt>
                <c:pt idx="1525">
                  <c:v>-0.80%</c:v>
                </c:pt>
                <c:pt idx="1526">
                  <c:v>1.92%</c:v>
                </c:pt>
                <c:pt idx="1527">
                  <c:v>-0.81%</c:v>
                </c:pt>
                <c:pt idx="1528">
                  <c:v>-0.07%</c:v>
                </c:pt>
                <c:pt idx="1529">
                  <c:v>-0.40%</c:v>
                </c:pt>
                <c:pt idx="1530">
                  <c:v>2.67%</c:v>
                </c:pt>
                <c:pt idx="1531">
                  <c:v>0.07%</c:v>
                </c:pt>
                <c:pt idx="1532">
                  <c:v>1.02%</c:v>
                </c:pt>
                <c:pt idx="1533">
                  <c:v>1.37%</c:v>
                </c:pt>
                <c:pt idx="1534">
                  <c:v>-0.45%</c:v>
                </c:pt>
                <c:pt idx="1535">
                  <c:v>1.06%</c:v>
                </c:pt>
                <c:pt idx="1536">
                  <c:v>-0.32%</c:v>
                </c:pt>
                <c:pt idx="1537">
                  <c:v>-1.92%</c:v>
                </c:pt>
                <c:pt idx="1538">
                  <c:v>-0.38%</c:v>
                </c:pt>
                <c:pt idx="1539">
                  <c:v>0.09%</c:v>
                </c:pt>
                <c:pt idx="1540">
                  <c:v>-2.50%</c:v>
                </c:pt>
                <c:pt idx="1541">
                  <c:v>-1.31%</c:v>
                </c:pt>
                <c:pt idx="1542">
                  <c:v>-0.05%</c:v>
                </c:pt>
                <c:pt idx="1543">
                  <c:v>0.52%</c:v>
                </c:pt>
                <c:pt idx="1544">
                  <c:v>0.75%</c:v>
                </c:pt>
                <c:pt idx="1545">
                  <c:v>0.01%</c:v>
                </c:pt>
                <c:pt idx="1546">
                  <c:v>-0.71%</c:v>
                </c:pt>
                <c:pt idx="1547">
                  <c:v>0.69%</c:v>
                </c:pt>
                <c:pt idx="1548">
                  <c:v>-1.51%</c:v>
                </c:pt>
                <c:pt idx="1549">
                  <c:v>0.84%</c:v>
                </c:pt>
                <c:pt idx="1550">
                  <c:v>-1.69%</c:v>
                </c:pt>
                <c:pt idx="1551">
                  <c:v>1.07%</c:v>
                </c:pt>
                <c:pt idx="1552">
                  <c:v>-0.99%</c:v>
                </c:pt>
                <c:pt idx="1553">
                  <c:v>1.80%</c:v>
                </c:pt>
                <c:pt idx="1554">
                  <c:v>-0.45%</c:v>
                </c:pt>
                <c:pt idx="1555">
                  <c:v>-0.67%</c:v>
                </c:pt>
                <c:pt idx="1556">
                  <c:v>-1.12%</c:v>
                </c:pt>
                <c:pt idx="1557">
                  <c:v>0.69%</c:v>
                </c:pt>
                <c:pt idx="1558">
                  <c:v>-1.33%</c:v>
                </c:pt>
                <c:pt idx="1559">
                  <c:v>-0.26%</c:v>
                </c:pt>
                <c:pt idx="1560">
                  <c:v>0.52%</c:v>
                </c:pt>
                <c:pt idx="1561">
                  <c:v>-0.97%</c:v>
                </c:pt>
                <c:pt idx="1562">
                  <c:v>-1.00%</c:v>
                </c:pt>
                <c:pt idx="1563">
                  <c:v>-0.54%</c:v>
                </c:pt>
                <c:pt idx="1564">
                  <c:v>-1.50%</c:v>
                </c:pt>
                <c:pt idx="1565">
                  <c:v>-0.78%</c:v>
                </c:pt>
                <c:pt idx="1566">
                  <c:v>0.02%</c:v>
                </c:pt>
                <c:pt idx="1567">
                  <c:v>-1.73%</c:v>
                </c:pt>
                <c:pt idx="1568">
                  <c:v>0.04%</c:v>
                </c:pt>
                <c:pt idx="1569">
                  <c:v>0.12%</c:v>
                </c:pt>
                <c:pt idx="1570">
                  <c:v>0.25%</c:v>
                </c:pt>
                <c:pt idx="1571">
                  <c:v>0.03%</c:v>
                </c:pt>
                <c:pt idx="1572">
                  <c:v>-2.63%</c:v>
                </c:pt>
                <c:pt idx="1573">
                  <c:v>-0.99%</c:v>
                </c:pt>
                <c:pt idx="1574">
                  <c:v>0.39%</c:v>
                </c:pt>
                <c:pt idx="1575">
                  <c:v>-0.15%</c:v>
                </c:pt>
                <c:pt idx="1576">
                  <c:v>-1.25%</c:v>
                </c:pt>
                <c:pt idx="1577">
                  <c:v>1.82%</c:v>
                </c:pt>
                <c:pt idx="1578">
                  <c:v>1.44%</c:v>
                </c:pt>
                <c:pt idx="1579">
                  <c:v>-1.52%</c:v>
                </c:pt>
                <c:pt idx="1580">
                  <c:v>-0.14%</c:v>
                </c:pt>
                <c:pt idx="1581">
                  <c:v>0.64%</c:v>
                </c:pt>
                <c:pt idx="1582">
                  <c:v>1.87%</c:v>
                </c:pt>
                <c:pt idx="1583">
                  <c:v>-2.38%</c:v>
                </c:pt>
                <c:pt idx="1584">
                  <c:v>0.76%</c:v>
                </c:pt>
                <c:pt idx="1585">
                  <c:v>-0.40%</c:v>
                </c:pt>
                <c:pt idx="1586">
                  <c:v>0.22%</c:v>
                </c:pt>
                <c:pt idx="1587">
                  <c:v>-0.30%</c:v>
                </c:pt>
                <c:pt idx="1588">
                  <c:v>1.92%</c:v>
                </c:pt>
                <c:pt idx="1589">
                  <c:v>2.24%</c:v>
                </c:pt>
                <c:pt idx="1590">
                  <c:v>-0.28%</c:v>
                </c:pt>
                <c:pt idx="1591">
                  <c:v>-1.02%</c:v>
                </c:pt>
                <c:pt idx="1592">
                  <c:v>2.93%</c:v>
                </c:pt>
                <c:pt idx="1593">
                  <c:v>0.52%</c:v>
                </c:pt>
                <c:pt idx="1594">
                  <c:v>-1.18%</c:v>
                </c:pt>
                <c:pt idx="1595">
                  <c:v>1.31%</c:v>
                </c:pt>
                <c:pt idx="1596">
                  <c:v>-0.20%</c:v>
                </c:pt>
                <c:pt idx="1597">
                  <c:v>-0.34%</c:v>
                </c:pt>
                <c:pt idx="1598">
                  <c:v>1.23%</c:v>
                </c:pt>
                <c:pt idx="1599">
                  <c:v>-1.92%</c:v>
                </c:pt>
                <c:pt idx="1600">
                  <c:v>1.10%</c:v>
                </c:pt>
                <c:pt idx="1601">
                  <c:v>0.24%</c:v>
                </c:pt>
                <c:pt idx="1602">
                  <c:v>0.44%</c:v>
                </c:pt>
                <c:pt idx="1603">
                  <c:v>0.25%</c:v>
                </c:pt>
                <c:pt idx="1604">
                  <c:v>-1.85%</c:v>
                </c:pt>
                <c:pt idx="1605">
                  <c:v>-0.84%</c:v>
                </c:pt>
                <c:pt idx="1606">
                  <c:v>0.46%</c:v>
                </c:pt>
                <c:pt idx="1607">
                  <c:v>0.62%</c:v>
                </c:pt>
                <c:pt idx="1608">
                  <c:v>-0.04%</c:v>
                </c:pt>
                <c:pt idx="1609">
                  <c:v>-1.85%</c:v>
                </c:pt>
                <c:pt idx="1610">
                  <c:v>-0.27%</c:v>
                </c:pt>
                <c:pt idx="1611">
                  <c:v>-0.87%</c:v>
                </c:pt>
                <c:pt idx="1612">
                  <c:v>-0.84%</c:v>
                </c:pt>
                <c:pt idx="1613">
                  <c:v>0.58%</c:v>
                </c:pt>
                <c:pt idx="1614">
                  <c:v>0.38%</c:v>
                </c:pt>
                <c:pt idx="1615">
                  <c:v>-1.68%</c:v>
                </c:pt>
                <c:pt idx="1616">
                  <c:v>-0.12%</c:v>
                </c:pt>
                <c:pt idx="1617">
                  <c:v>0.68%</c:v>
                </c:pt>
                <c:pt idx="1618">
                  <c:v>0.25%</c:v>
                </c:pt>
                <c:pt idx="1619">
                  <c:v>-0.16%</c:v>
                </c:pt>
                <c:pt idx="1620">
                  <c:v>0.05%</c:v>
                </c:pt>
                <c:pt idx="1621">
                  <c:v>-1.31%</c:v>
                </c:pt>
                <c:pt idx="1622">
                  <c:v>2.17%</c:v>
                </c:pt>
                <c:pt idx="1623">
                  <c:v>0.18%</c:v>
                </c:pt>
                <c:pt idx="1624">
                  <c:v>-0.95%</c:v>
                </c:pt>
                <c:pt idx="1625">
                  <c:v>-2.06%</c:v>
                </c:pt>
                <c:pt idx="1626">
                  <c:v>-1.97%</c:v>
                </c:pt>
                <c:pt idx="1627">
                  <c:v>-0.68%</c:v>
                </c:pt>
                <c:pt idx="1628">
                  <c:v>1.21%</c:v>
                </c:pt>
                <c:pt idx="1629">
                  <c:v>-0.62%</c:v>
                </c:pt>
                <c:pt idx="1630">
                  <c:v>-0.27%</c:v>
                </c:pt>
                <c:pt idx="1631">
                  <c:v>-1.12%</c:v>
                </c:pt>
                <c:pt idx="1632">
                  <c:v>1.72%</c:v>
                </c:pt>
                <c:pt idx="1633">
                  <c:v>2.58%</c:v>
                </c:pt>
                <c:pt idx="1634">
                  <c:v>-3.07%</c:v>
                </c:pt>
                <c:pt idx="1635">
                  <c:v>-0.39%</c:v>
                </c:pt>
                <c:pt idx="1636">
                  <c:v>0.59%</c:v>
                </c:pt>
                <c:pt idx="1637">
                  <c:v>0.59%</c:v>
                </c:pt>
                <c:pt idx="1638">
                  <c:v>-0.55%</c:v>
                </c:pt>
                <c:pt idx="1639">
                  <c:v>-0.51%</c:v>
                </c:pt>
                <c:pt idx="1640">
                  <c:v>0.80%</c:v>
                </c:pt>
                <c:pt idx="1641">
                  <c:v>1.75%</c:v>
                </c:pt>
                <c:pt idx="1642">
                  <c:v>-1.99%</c:v>
                </c:pt>
                <c:pt idx="1643">
                  <c:v>-0.76%</c:v>
                </c:pt>
                <c:pt idx="1644">
                  <c:v>0.55%</c:v>
                </c:pt>
                <c:pt idx="1645">
                  <c:v>-1.13%</c:v>
                </c:pt>
                <c:pt idx="1646">
                  <c:v>-0.59%</c:v>
                </c:pt>
                <c:pt idx="1647">
                  <c:v>1.53%</c:v>
                </c:pt>
                <c:pt idx="1648">
                  <c:v>0.35%</c:v>
                </c:pt>
                <c:pt idx="1649">
                  <c:v>-0.57%</c:v>
                </c:pt>
                <c:pt idx="1650">
                  <c:v>0.57%</c:v>
                </c:pt>
                <c:pt idx="1651">
                  <c:v>-1.51%</c:v>
                </c:pt>
                <c:pt idx="1652">
                  <c:v>0.22%</c:v>
                </c:pt>
                <c:pt idx="1653">
                  <c:v>0.55%</c:v>
                </c:pt>
                <c:pt idx="1654">
                  <c:v>1.40%</c:v>
                </c:pt>
                <c:pt idx="1655">
                  <c:v>0.76%</c:v>
                </c:pt>
                <c:pt idx="1656">
                  <c:v>0.19%</c:v>
                </c:pt>
                <c:pt idx="1657">
                  <c:v>-0.19%</c:v>
                </c:pt>
                <c:pt idx="1658">
                  <c:v>-0.25%</c:v>
                </c:pt>
                <c:pt idx="1659">
                  <c:v>1.42%</c:v>
                </c:pt>
                <c:pt idx="1660">
                  <c:v>1.44%</c:v>
                </c:pt>
                <c:pt idx="1661">
                  <c:v>0.65%</c:v>
                </c:pt>
                <c:pt idx="1662">
                  <c:v>0.08%</c:v>
                </c:pt>
                <c:pt idx="1663">
                  <c:v>-0.94%</c:v>
                </c:pt>
                <c:pt idx="1664">
                  <c:v>-1.50%</c:v>
                </c:pt>
                <c:pt idx="1665">
                  <c:v>-0.48%</c:v>
                </c:pt>
                <c:pt idx="1666">
                  <c:v>0.92%</c:v>
                </c:pt>
                <c:pt idx="1667">
                  <c:v>0.22%</c:v>
                </c:pt>
                <c:pt idx="1668">
                  <c:v>1.48%</c:v>
                </c:pt>
                <c:pt idx="1669">
                  <c:v>-0.18%</c:v>
                </c:pt>
                <c:pt idx="1670">
                  <c:v>-1.81%</c:v>
                </c:pt>
                <c:pt idx="1671">
                  <c:v>-0.75%</c:v>
                </c:pt>
                <c:pt idx="1672">
                  <c:v>0.98%</c:v>
                </c:pt>
                <c:pt idx="1673">
                  <c:v>0.31%</c:v>
                </c:pt>
                <c:pt idx="1674">
                  <c:v>0.17%</c:v>
                </c:pt>
                <c:pt idx="1675">
                  <c:v>-0.02%</c:v>
                </c:pt>
                <c:pt idx="1676">
                  <c:v>-0.54%</c:v>
                </c:pt>
                <c:pt idx="1677">
                  <c:v>0.76%</c:v>
                </c:pt>
                <c:pt idx="1678">
                  <c:v>-0.56%</c:v>
                </c:pt>
                <c:pt idx="1679">
                  <c:v>0.48%</c:v>
                </c:pt>
                <c:pt idx="1680">
                  <c:v>0.06%</c:v>
                </c:pt>
                <c:pt idx="1681">
                  <c:v>-1.79%</c:v>
                </c:pt>
                <c:pt idx="1682">
                  <c:v>1.78%</c:v>
                </c:pt>
                <c:pt idx="1683">
                  <c:v>-0.25%</c:v>
                </c:pt>
                <c:pt idx="1684">
                  <c:v>0.99%</c:v>
                </c:pt>
                <c:pt idx="1685">
                  <c:v>0.70%</c:v>
                </c:pt>
                <c:pt idx="1686">
                  <c:v>0.01%</c:v>
                </c:pt>
                <c:pt idx="1687">
                  <c:v>-0.49%</c:v>
                </c:pt>
                <c:pt idx="1688">
                  <c:v>0.26%</c:v>
                </c:pt>
                <c:pt idx="1689">
                  <c:v>-0.57%</c:v>
                </c:pt>
                <c:pt idx="1690">
                  <c:v>-0.91%</c:v>
                </c:pt>
                <c:pt idx="1691">
                  <c:v>-0.54%</c:v>
                </c:pt>
                <c:pt idx="1692">
                  <c:v>-1.86%</c:v>
                </c:pt>
                <c:pt idx="1693">
                  <c:v>-1.11%</c:v>
                </c:pt>
                <c:pt idx="1694">
                  <c:v>-0.13%</c:v>
                </c:pt>
                <c:pt idx="1695">
                  <c:v>0.67%</c:v>
                </c:pt>
                <c:pt idx="1696">
                  <c:v>-2.26%</c:v>
                </c:pt>
                <c:pt idx="1697">
                  <c:v>0.58%</c:v>
                </c:pt>
                <c:pt idx="1698">
                  <c:v>1.54%</c:v>
                </c:pt>
                <c:pt idx="1699">
                  <c:v>1.03%</c:v>
                </c:pt>
                <c:pt idx="1700">
                  <c:v>1.57%</c:v>
                </c:pt>
                <c:pt idx="1701">
                  <c:v>-1.33%</c:v>
                </c:pt>
                <c:pt idx="1702">
                  <c:v>-1.06%</c:v>
                </c:pt>
                <c:pt idx="1703">
                  <c:v>-1.56%</c:v>
                </c:pt>
                <c:pt idx="1704">
                  <c:v>1.58%</c:v>
                </c:pt>
                <c:pt idx="1705">
                  <c:v>2.51%</c:v>
                </c:pt>
                <c:pt idx="1706">
                  <c:v>-1.79%</c:v>
                </c:pt>
                <c:pt idx="1707">
                  <c:v>-0.15%</c:v>
                </c:pt>
                <c:pt idx="1708">
                  <c:v>-1.48%</c:v>
                </c:pt>
                <c:pt idx="1709">
                  <c:v>-2.09%</c:v>
                </c:pt>
                <c:pt idx="1710">
                  <c:v>-1.05%</c:v>
                </c:pt>
                <c:pt idx="1711">
                  <c:v>1.71%</c:v>
                </c:pt>
                <c:pt idx="1712">
                  <c:v>-0.53%</c:v>
                </c:pt>
                <c:pt idx="1713">
                  <c:v>0.94%</c:v>
                </c:pt>
                <c:pt idx="1714">
                  <c:v>0.78%</c:v>
                </c:pt>
                <c:pt idx="1715">
                  <c:v>-0.91%</c:v>
                </c:pt>
                <c:pt idx="1716">
                  <c:v>1.55%</c:v>
                </c:pt>
                <c:pt idx="1717">
                  <c:v>-1.20%</c:v>
                </c:pt>
                <c:pt idx="1718">
                  <c:v>-0.55%</c:v>
                </c:pt>
                <c:pt idx="1719">
                  <c:v>0.54%</c:v>
                </c:pt>
                <c:pt idx="1720">
                  <c:v>-0.31%</c:v>
                </c:pt>
                <c:pt idx="1721">
                  <c:v>-0.25%</c:v>
                </c:pt>
                <c:pt idx="1722">
                  <c:v>0.95%</c:v>
                </c:pt>
                <c:pt idx="1723">
                  <c:v>1.34%</c:v>
                </c:pt>
                <c:pt idx="1724">
                  <c:v>-2.01%</c:v>
                </c:pt>
                <c:pt idx="1725">
                  <c:v>0.07%</c:v>
                </c:pt>
                <c:pt idx="1726">
                  <c:v>1.47%</c:v>
                </c:pt>
                <c:pt idx="1727">
                  <c:v>1.83%</c:v>
                </c:pt>
                <c:pt idx="1728">
                  <c:v>-2.82%</c:v>
                </c:pt>
                <c:pt idx="1729">
                  <c:v>-0.84%</c:v>
                </c:pt>
                <c:pt idx="1730">
                  <c:v>0.13%</c:v>
                </c:pt>
                <c:pt idx="1731">
                  <c:v>-0.44%</c:v>
                </c:pt>
                <c:pt idx="1732">
                  <c:v>0.85%</c:v>
                </c:pt>
                <c:pt idx="1733">
                  <c:v>0.58%</c:v>
                </c:pt>
                <c:pt idx="1734">
                  <c:v>0.65%</c:v>
                </c:pt>
                <c:pt idx="1735">
                  <c:v>-0.24%</c:v>
                </c:pt>
                <c:pt idx="1736">
                  <c:v>-0.17%</c:v>
                </c:pt>
                <c:pt idx="1737">
                  <c:v>1.09%</c:v>
                </c:pt>
                <c:pt idx="1738">
                  <c:v>0.64%</c:v>
                </c:pt>
                <c:pt idx="1739">
                  <c:v>0.41%</c:v>
                </c:pt>
                <c:pt idx="1740">
                  <c:v>0.16%</c:v>
                </c:pt>
                <c:pt idx="1741">
                  <c:v>-0.83%</c:v>
                </c:pt>
                <c:pt idx="1742">
                  <c:v>-0.82%</c:v>
                </c:pt>
                <c:pt idx="1743">
                  <c:v>0.18%</c:v>
                </c:pt>
                <c:pt idx="1744">
                  <c:v>1.21%</c:v>
                </c:pt>
                <c:pt idx="1745">
                  <c:v>-1.11%</c:v>
                </c:pt>
                <c:pt idx="1746">
                  <c:v>0.41%</c:v>
                </c:pt>
                <c:pt idx="1747">
                  <c:v>0.49%</c:v>
                </c:pt>
                <c:pt idx="1748">
                  <c:v>-0.26%</c:v>
                </c:pt>
                <c:pt idx="1749">
                  <c:v>-0.10%</c:v>
                </c:pt>
                <c:pt idx="1750">
                  <c:v>0.76%</c:v>
                </c:pt>
                <c:pt idx="1751">
                  <c:v>-0.85%</c:v>
                </c:pt>
                <c:pt idx="1752">
                  <c:v>1.61%</c:v>
                </c:pt>
                <c:pt idx="1753">
                  <c:v>-1.94%</c:v>
                </c:pt>
                <c:pt idx="1754">
                  <c:v>0.78%</c:v>
                </c:pt>
                <c:pt idx="1755">
                  <c:v>0.82%</c:v>
                </c:pt>
                <c:pt idx="1756">
                  <c:v>1.60%</c:v>
                </c:pt>
                <c:pt idx="1757">
                  <c:v>-2.28%</c:v>
                </c:pt>
                <c:pt idx="1758">
                  <c:v>-1.17%</c:v>
                </c:pt>
                <c:pt idx="1759">
                  <c:v>1.26%</c:v>
                </c:pt>
                <c:pt idx="1760">
                  <c:v>-0.85%</c:v>
                </c:pt>
                <c:pt idx="1761">
                  <c:v>0.00%</c:v>
                </c:pt>
                <c:pt idx="1762">
                  <c:v>1.25%</c:v>
                </c:pt>
                <c:pt idx="1763">
                  <c:v>-1.17%</c:v>
                </c:pt>
                <c:pt idx="1764">
                  <c:v>-1.15%</c:v>
                </c:pt>
                <c:pt idx="1765">
                  <c:v>-1.08%</c:v>
                </c:pt>
                <c:pt idx="1766">
                  <c:v>-0.01%</c:v>
                </c:pt>
                <c:pt idx="1767">
                  <c:v>-0.81%</c:v>
                </c:pt>
                <c:pt idx="1768">
                  <c:v>0.10%</c:v>
                </c:pt>
                <c:pt idx="1769">
                  <c:v>-0.09%</c:v>
                </c:pt>
                <c:pt idx="1770">
                  <c:v>0.60%</c:v>
                </c:pt>
                <c:pt idx="1771">
                  <c:v>-0.71%</c:v>
                </c:pt>
                <c:pt idx="1772">
                  <c:v>0.66%</c:v>
                </c:pt>
                <c:pt idx="1773">
                  <c:v>1.00%</c:v>
                </c:pt>
                <c:pt idx="1774">
                  <c:v>1.04%</c:v>
                </c:pt>
                <c:pt idx="1775">
                  <c:v>0.53%</c:v>
                </c:pt>
                <c:pt idx="1776">
                  <c:v>-0.45%</c:v>
                </c:pt>
                <c:pt idx="1777">
                  <c:v>0.15%</c:v>
                </c:pt>
                <c:pt idx="1778">
                  <c:v>-1.55%</c:v>
                </c:pt>
                <c:pt idx="1779">
                  <c:v>0.38%</c:v>
                </c:pt>
                <c:pt idx="1780">
                  <c:v>1.06%</c:v>
                </c:pt>
                <c:pt idx="1781">
                  <c:v>-0.71%</c:v>
                </c:pt>
                <c:pt idx="1782">
                  <c:v>1.61%</c:v>
                </c:pt>
                <c:pt idx="1783">
                  <c:v>0.98%</c:v>
                </c:pt>
                <c:pt idx="1784">
                  <c:v>2.26%</c:v>
                </c:pt>
                <c:pt idx="1785">
                  <c:v>-1.24%</c:v>
                </c:pt>
                <c:pt idx="1786">
                  <c:v>0.12%</c:v>
                </c:pt>
                <c:pt idx="1787">
                  <c:v>-0.72%</c:v>
                </c:pt>
                <c:pt idx="1788">
                  <c:v>-0.43%</c:v>
                </c:pt>
                <c:pt idx="1789">
                  <c:v>0.91%</c:v>
                </c:pt>
                <c:pt idx="1790">
                  <c:v>1.34%</c:v>
                </c:pt>
                <c:pt idx="1791">
                  <c:v>0.01%</c:v>
                </c:pt>
                <c:pt idx="1792">
                  <c:v>-0.35%</c:v>
                </c:pt>
                <c:pt idx="1793">
                  <c:v>-1.20%</c:v>
                </c:pt>
                <c:pt idx="1794">
                  <c:v>-0.02%</c:v>
                </c:pt>
                <c:pt idx="1795">
                  <c:v>0.35%</c:v>
                </c:pt>
                <c:pt idx="1796">
                  <c:v>0.75%</c:v>
                </c:pt>
                <c:pt idx="1797">
                  <c:v>1.10%</c:v>
                </c:pt>
                <c:pt idx="1798">
                  <c:v>-0.60%</c:v>
                </c:pt>
                <c:pt idx="1799">
                  <c:v>-0.73%</c:v>
                </c:pt>
                <c:pt idx="1800">
                  <c:v>1.54%</c:v>
                </c:pt>
                <c:pt idx="1801">
                  <c:v>0.34%</c:v>
                </c:pt>
                <c:pt idx="1802">
                  <c:v>-1.91%</c:v>
                </c:pt>
                <c:pt idx="1803">
                  <c:v>1.85%</c:v>
                </c:pt>
                <c:pt idx="1804">
                  <c:v>-0.74%</c:v>
                </c:pt>
                <c:pt idx="1805">
                  <c:v>0.96%</c:v>
                </c:pt>
                <c:pt idx="1806">
                  <c:v>-0.34%</c:v>
                </c:pt>
                <c:pt idx="1807">
                  <c:v>0.10%</c:v>
                </c:pt>
                <c:pt idx="1808">
                  <c:v>1.93%</c:v>
                </c:pt>
                <c:pt idx="1809">
                  <c:v>-2.03%</c:v>
                </c:pt>
                <c:pt idx="1810">
                  <c:v>-0.33%</c:v>
                </c:pt>
                <c:pt idx="1811">
                  <c:v>-0.79%</c:v>
                </c:pt>
                <c:pt idx="1812">
                  <c:v>-0.28%</c:v>
                </c:pt>
                <c:pt idx="1813">
                  <c:v>-0.32%</c:v>
                </c:pt>
                <c:pt idx="1814">
                  <c:v>1.08%</c:v>
                </c:pt>
                <c:pt idx="1815">
                  <c:v>0.52%</c:v>
                </c:pt>
                <c:pt idx="1816">
                  <c:v>-0.50%</c:v>
                </c:pt>
                <c:pt idx="1817">
                  <c:v>1.74%</c:v>
                </c:pt>
                <c:pt idx="1818">
                  <c:v>0.99%</c:v>
                </c:pt>
                <c:pt idx="1819">
                  <c:v>-0.96%</c:v>
                </c:pt>
                <c:pt idx="1820">
                  <c:v>-0.39%</c:v>
                </c:pt>
                <c:pt idx="1821">
                  <c:v>-0.73%</c:v>
                </c:pt>
                <c:pt idx="1822">
                  <c:v>0.28%</c:v>
                </c:pt>
                <c:pt idx="1823">
                  <c:v>-0.40%</c:v>
                </c:pt>
                <c:pt idx="1824">
                  <c:v>0.88%</c:v>
                </c:pt>
                <c:pt idx="1825">
                  <c:v>0.00%</c:v>
                </c:pt>
                <c:pt idx="1827">
                  <c:v>📊 CHART INSTRUCTIONS: Select columns A-E (rows 2 onwards) → Insert → Scatter Chart. Each company's returns plotted against KSE-100 returns. Slope of trendline = Beta.</c:v>
                </c:pt>
              </c:strCache>
            </c:strRef>
          </c:xVal>
          <c:yVal>
            <c:numRef>
              <c:f>'Scatter Data'!$C$2:$C$1830</c:f>
              <c:numCache>
                <c:formatCode>0.00%</c:formatCode>
                <c:ptCount val="1829"/>
                <c:pt idx="0" formatCode="General">
                  <c:v>0</c:v>
                </c:pt>
                <c:pt idx="1">
                  <c:v>-6.800000000000017E-3</c:v>
                </c:pt>
                <c:pt idx="2">
                  <c:v>5.3472705305166103E-2</c:v>
                </c:pt>
                <c:pt idx="3">
                  <c:v>-2.863746155316527E-2</c:v>
                </c:pt>
                <c:pt idx="4">
                  <c:v>-1.5850015205996555E-2</c:v>
                </c:pt>
                <c:pt idx="5">
                  <c:v>1.3033283042189954E-2</c:v>
                </c:pt>
                <c:pt idx="6">
                  <c:v>4.2185537412524662E-2</c:v>
                </c:pt>
                <c:pt idx="7">
                  <c:v>-1.6907422392865027E-2</c:v>
                </c:pt>
                <c:pt idx="8">
                  <c:v>3.2855216378570536E-2</c:v>
                </c:pt>
                <c:pt idx="9">
                  <c:v>-1.5565917761763375E-2</c:v>
                </c:pt>
                <c:pt idx="10">
                  <c:v>2.3408030039443851E-2</c:v>
                </c:pt>
                <c:pt idx="11">
                  <c:v>1.918675104348974E-3</c:v>
                </c:pt>
                <c:pt idx="12">
                  <c:v>3.9929447337477067E-2</c:v>
                </c:pt>
                <c:pt idx="13">
                  <c:v>3.203191884601083E-2</c:v>
                </c:pt>
                <c:pt idx="14">
                  <c:v>-1.0831115980591579E-2</c:v>
                </c:pt>
                <c:pt idx="15">
                  <c:v>5.2375075160606382E-2</c:v>
                </c:pt>
                <c:pt idx="16">
                  <c:v>-1.9230769230769346E-2</c:v>
                </c:pt>
                <c:pt idx="17">
                  <c:v>-4.9364546444064968E-3</c:v>
                </c:pt>
                <c:pt idx="18">
                  <c:v>3.2477236661685067E-2</c:v>
                </c:pt>
                <c:pt idx="19">
                  <c:v>-1.2370364843691656E-2</c:v>
                </c:pt>
                <c:pt idx="20">
                  <c:v>-1.0712235215906736E-2</c:v>
                </c:pt>
                <c:pt idx="21">
                  <c:v>2.901782305236919E-3</c:v>
                </c:pt>
                <c:pt idx="22">
                  <c:v>8.5735605403018198E-3</c:v>
                </c:pt>
                <c:pt idx="23">
                  <c:v>7.4286577079874273E-3</c:v>
                </c:pt>
                <c:pt idx="24">
                  <c:v>-1.2559575552291591E-2</c:v>
                </c:pt>
                <c:pt idx="25">
                  <c:v>4.0677554489708424E-3</c:v>
                </c:pt>
                <c:pt idx="26">
                  <c:v>1.1836376829120875E-2</c:v>
                </c:pt>
                <c:pt idx="27">
                  <c:v>2.713079853589298E-2</c:v>
                </c:pt>
                <c:pt idx="28">
                  <c:v>6.3708164244883642E-3</c:v>
                </c:pt>
                <c:pt idx="29">
                  <c:v>-2.1491855641792776E-2</c:v>
                </c:pt>
                <c:pt idx="30">
                  <c:v>1.0930253168296492E-3</c:v>
                </c:pt>
                <c:pt idx="31">
                  <c:v>-1.0357648725212438E-2</c:v>
                </c:pt>
                <c:pt idx="32">
                  <c:v>2.386915943584696E-2</c:v>
                </c:pt>
                <c:pt idx="33">
                  <c:v>-2.8962504550418617E-2</c:v>
                </c:pt>
                <c:pt idx="34">
                  <c:v>1.0466964580271748E-2</c:v>
                </c:pt>
                <c:pt idx="35">
                  <c:v>-1.8194230084292991E-2</c:v>
                </c:pt>
                <c:pt idx="36">
                  <c:v>2.3035762870703479E-2</c:v>
                </c:pt>
                <c:pt idx="37">
                  <c:v>1.4198752991932713E-2</c:v>
                </c:pt>
                <c:pt idx="38">
                  <c:v>4.4578471220664299E-3</c:v>
                </c:pt>
                <c:pt idx="39">
                  <c:v>9.4997751961594136E-3</c:v>
                </c:pt>
                <c:pt idx="40">
                  <c:v>-5.3445204298602292E-3</c:v>
                </c:pt>
                <c:pt idx="41">
                  <c:v>1.2508666512595286E-2</c:v>
                </c:pt>
                <c:pt idx="42">
                  <c:v>-2.7104910268489052E-4</c:v>
                </c:pt>
                <c:pt idx="43">
                  <c:v>1.3484781460922739E-2</c:v>
                </c:pt>
                <c:pt idx="44">
                  <c:v>1.6332507321468351E-3</c:v>
                </c:pt>
                <c:pt idx="45">
                  <c:v>-4.3168400337362842E-2</c:v>
                </c:pt>
                <c:pt idx="46">
                  <c:v>-8.4620017922991432E-3</c:v>
                </c:pt>
                <c:pt idx="47">
                  <c:v>2.7350984546545623E-2</c:v>
                </c:pt>
                <c:pt idx="48">
                  <c:v>2.6219010946220835E-2</c:v>
                </c:pt>
                <c:pt idx="49">
                  <c:v>2.4452970192671069E-3</c:v>
                </c:pt>
                <c:pt idx="50">
                  <c:v>-1.6262214184575687E-3</c:v>
                </c:pt>
                <c:pt idx="51">
                  <c:v>-5.3219125184300548E-3</c:v>
                </c:pt>
                <c:pt idx="52">
                  <c:v>1.1717205940482176E-2</c:v>
                </c:pt>
                <c:pt idx="53">
                  <c:v>1.0814054084224039E-2</c:v>
                </c:pt>
                <c:pt idx="54">
                  <c:v>-1.6675639485926378E-2</c:v>
                </c:pt>
                <c:pt idx="55">
                  <c:v>1.2255555711538057E-2</c:v>
                </c:pt>
                <c:pt idx="56">
                  <c:v>2.2342107452916562E-2</c:v>
                </c:pt>
                <c:pt idx="57">
                  <c:v>-1.6237774190485117E-2</c:v>
                </c:pt>
                <c:pt idx="58">
                  <c:v>-2.7027027027027527E-3</c:v>
                </c:pt>
                <c:pt idx="59">
                  <c:v>8.766108069244001E-3</c:v>
                </c:pt>
                <c:pt idx="60">
                  <c:v>1.3350146659722043E-2</c:v>
                </c:pt>
                <c:pt idx="61">
                  <c:v>-6.8306010928962666E-3</c:v>
                </c:pt>
                <c:pt idx="62">
                  <c:v>-8.7297588080678338E-3</c:v>
                </c:pt>
                <c:pt idx="63">
                  <c:v>-7.5838760201137334E-3</c:v>
                </c:pt>
                <c:pt idx="64">
                  <c:v>7.3926405847660626E-3</c:v>
                </c:pt>
                <c:pt idx="65">
                  <c:v>8.1629287598945343E-3</c:v>
                </c:pt>
                <c:pt idx="66">
                  <c:v>2.5898966767528268E-4</c:v>
                </c:pt>
                <c:pt idx="67">
                  <c:v>-2.346656491462356E-2</c:v>
                </c:pt>
                <c:pt idx="68">
                  <c:v>-1.8629899942784609E-2</c:v>
                </c:pt>
                <c:pt idx="69">
                  <c:v>1.1816733974176589E-2</c:v>
                </c:pt>
                <c:pt idx="70">
                  <c:v>-2.0940200969713975E-2</c:v>
                </c:pt>
                <c:pt idx="71">
                  <c:v>4.5934113256298655E-3</c:v>
                </c:pt>
                <c:pt idx="72">
                  <c:v>-5.7726655711939374E-3</c:v>
                </c:pt>
                <c:pt idx="73">
                  <c:v>-1.0031474109311314E-2</c:v>
                </c:pt>
                <c:pt idx="74">
                  <c:v>1.0742853824601266E-3</c:v>
                </c:pt>
                <c:pt idx="75">
                  <c:v>3.0163725220064611E-2</c:v>
                </c:pt>
                <c:pt idx="76">
                  <c:v>5.6871771048889507E-3</c:v>
                </c:pt>
                <c:pt idx="77">
                  <c:v>-4.6191962598507224E-3</c:v>
                </c:pt>
                <c:pt idx="78">
                  <c:v>-2.5396914682679274E-2</c:v>
                </c:pt>
                <c:pt idx="79">
                  <c:v>9.6385542168675627E-3</c:v>
                </c:pt>
                <c:pt idx="80">
                  <c:v>2.0636531233475683E-2</c:v>
                </c:pt>
                <c:pt idx="81">
                  <c:v>1.1313832840920288E-2</c:v>
                </c:pt>
                <c:pt idx="82">
                  <c:v>2.1156109380408409E-2</c:v>
                </c:pt>
                <c:pt idx="83">
                  <c:v>9.0030236058194057E-3</c:v>
                </c:pt>
                <c:pt idx="84">
                  <c:v>-2.2387357727400956E-2</c:v>
                </c:pt>
                <c:pt idx="85">
                  <c:v>-2.0618273288336555E-4</c:v>
                </c:pt>
                <c:pt idx="86">
                  <c:v>9.8575670919489097E-3</c:v>
                </c:pt>
                <c:pt idx="87">
                  <c:v>1.3314636570323843E-2</c:v>
                </c:pt>
                <c:pt idx="88">
                  <c:v>-8.1014631000523619E-3</c:v>
                </c:pt>
                <c:pt idx="89">
                  <c:v>-5.2825486265371726E-4</c:v>
                </c:pt>
                <c:pt idx="90">
                  <c:v>7.0471208445703907E-3</c:v>
                </c:pt>
                <c:pt idx="91">
                  <c:v>2.3025474706966871E-2</c:v>
                </c:pt>
                <c:pt idx="92">
                  <c:v>1.832412523020251E-2</c:v>
                </c:pt>
                <c:pt idx="93">
                  <c:v>1.200056837998781E-2</c:v>
                </c:pt>
                <c:pt idx="94">
                  <c:v>7.5821398483572732E-3</c:v>
                </c:pt>
                <c:pt idx="95">
                  <c:v>-1.7495185973446917E-2</c:v>
                </c:pt>
                <c:pt idx="96">
                  <c:v>-1.8825349751788938E-2</c:v>
                </c:pt>
                <c:pt idx="97">
                  <c:v>-1.0250344963533562E-3</c:v>
                </c:pt>
                <c:pt idx="98">
                  <c:v>1.8969441046081895E-2</c:v>
                </c:pt>
                <c:pt idx="99">
                  <c:v>7.5652926064111508E-3</c:v>
                </c:pt>
                <c:pt idx="100">
                  <c:v>1.0493945800499635E-2</c:v>
                </c:pt>
                <c:pt idx="101">
                  <c:v>-2.5892675999188423E-2</c:v>
                </c:pt>
                <c:pt idx="102">
                  <c:v>-2.5175080055192565E-2</c:v>
                </c:pt>
                <c:pt idx="103">
                  <c:v>2.0337036641384493E-2</c:v>
                </c:pt>
                <c:pt idx="104">
                  <c:v>-1.3087120964247169E-5</c:v>
                </c:pt>
                <c:pt idx="105">
                  <c:v>-2.2575579112681585E-2</c:v>
                </c:pt>
                <c:pt idx="106">
                  <c:v>1.6161210417085004E-2</c:v>
                </c:pt>
                <c:pt idx="107">
                  <c:v>5.138881568544894E-3</c:v>
                </c:pt>
                <c:pt idx="108">
                  <c:v>5.2659867334364535E-2</c:v>
                </c:pt>
                <c:pt idx="109">
                  <c:v>2.2640381573867607E-2</c:v>
                </c:pt>
                <c:pt idx="110">
                  <c:v>6.709938258825811E-3</c:v>
                </c:pt>
                <c:pt idx="111">
                  <c:v>-2.0685150239511331E-3</c:v>
                </c:pt>
                <c:pt idx="112">
                  <c:v>4.6910796756245736E-3</c:v>
                </c:pt>
                <c:pt idx="113">
                  <c:v>-1.2185705323102057E-3</c:v>
                </c:pt>
                <c:pt idx="114">
                  <c:v>-2.4775618182477067E-2</c:v>
                </c:pt>
                <c:pt idx="115">
                  <c:v>1.6957340335926201E-2</c:v>
                </c:pt>
                <c:pt idx="116">
                  <c:v>5.4445134651222608E-3</c:v>
                </c:pt>
                <c:pt idx="117">
                  <c:v>-4.7996317294180357E-2</c:v>
                </c:pt>
                <c:pt idx="118">
                  <c:v>-1.0612577303845509E-2</c:v>
                </c:pt>
                <c:pt idx="119">
                  <c:v>-1.4031793394382097E-2</c:v>
                </c:pt>
                <c:pt idx="120">
                  <c:v>1.7896974993803924E-2</c:v>
                </c:pt>
                <c:pt idx="121">
                  <c:v>-1.7941127471708936E-4</c:v>
                </c:pt>
                <c:pt idx="122">
                  <c:v>2.6826798600340877E-2</c:v>
                </c:pt>
                <c:pt idx="123">
                  <c:v>-2.7474036349111233E-2</c:v>
                </c:pt>
                <c:pt idx="124">
                  <c:v>-1.8379946349039351E-2</c:v>
                </c:pt>
                <c:pt idx="125">
                  <c:v>1.9417094888793032E-2</c:v>
                </c:pt>
                <c:pt idx="126">
                  <c:v>-1.0953773536503982E-2</c:v>
                </c:pt>
                <c:pt idx="127">
                  <c:v>-1.8078070289197321E-2</c:v>
                </c:pt>
                <c:pt idx="128">
                  <c:v>-8.703576522795603E-3</c:v>
                </c:pt>
                <c:pt idx="129">
                  <c:v>-1.2803602595360876E-2</c:v>
                </c:pt>
                <c:pt idx="130">
                  <c:v>1.0108507881667039E-2</c:v>
                </c:pt>
                <c:pt idx="131">
                  <c:v>2.032199879751476E-2</c:v>
                </c:pt>
                <c:pt idx="132">
                  <c:v>-2.7394390173637432E-2</c:v>
                </c:pt>
                <c:pt idx="133">
                  <c:v>-4.5372539515846789E-3</c:v>
                </c:pt>
                <c:pt idx="134">
                  <c:v>8.5207676805928762E-4</c:v>
                </c:pt>
                <c:pt idx="135">
                  <c:v>2.0405405405405281E-3</c:v>
                </c:pt>
                <c:pt idx="136">
                  <c:v>1.5293118096856458E-2</c:v>
                </c:pt>
                <c:pt idx="137">
                  <c:v>2.7097031281131216E-3</c:v>
                </c:pt>
                <c:pt idx="138">
                  <c:v>-9.6305421982010378E-3</c:v>
                </c:pt>
                <c:pt idx="139">
                  <c:v>-1.9020357935849799E-2</c:v>
                </c:pt>
                <c:pt idx="140">
                  <c:v>-3.1592582492500625E-2</c:v>
                </c:pt>
                <c:pt idx="141">
                  <c:v>-5.9417371837292531E-3</c:v>
                </c:pt>
                <c:pt idx="142">
                  <c:v>8.4984631945726372E-4</c:v>
                </c:pt>
                <c:pt idx="143">
                  <c:v>1.6840973096899248E-2</c:v>
                </c:pt>
                <c:pt idx="144">
                  <c:v>-6.0681131786614155E-3</c:v>
                </c:pt>
                <c:pt idx="145">
                  <c:v>4.1587901701323315E-2</c:v>
                </c:pt>
                <c:pt idx="146">
                  <c:v>-7.5283995429193935E-4</c:v>
                </c:pt>
                <c:pt idx="147">
                  <c:v>-7.9242287666993864E-3</c:v>
                </c:pt>
                <c:pt idx="148">
                  <c:v>7.2959045294277132E-3</c:v>
                </c:pt>
                <c:pt idx="149">
                  <c:v>-1.6519023129324944E-2</c:v>
                </c:pt>
                <c:pt idx="150">
                  <c:v>4.2846778278189147E-3</c:v>
                </c:pt>
                <c:pt idx="151">
                  <c:v>-3.5821383784962614E-2</c:v>
                </c:pt>
                <c:pt idx="152">
                  <c:v>1.2525446731508728E-2</c:v>
                </c:pt>
                <c:pt idx="153">
                  <c:v>1.7731981793303478E-3</c:v>
                </c:pt>
                <c:pt idx="154">
                  <c:v>4.3066802324771523E-3</c:v>
                </c:pt>
                <c:pt idx="155">
                  <c:v>3.3306503094728927E-3</c:v>
                </c:pt>
                <c:pt idx="156">
                  <c:v>-2.1867824836095132E-2</c:v>
                </c:pt>
                <c:pt idx="157">
                  <c:v>-1.5258000197972148E-2</c:v>
                </c:pt>
                <c:pt idx="158">
                  <c:v>2.821735259484761E-2</c:v>
                </c:pt>
                <c:pt idx="159">
                  <c:v>9.3152521542394489E-3</c:v>
                </c:pt>
                <c:pt idx="160">
                  <c:v>-9.9349660993497488E-3</c:v>
                </c:pt>
                <c:pt idx="161">
                  <c:v>8.0221377459749679E-3</c:v>
                </c:pt>
                <c:pt idx="162">
                  <c:v>7.7919196960874086E-3</c:v>
                </c:pt>
                <c:pt idx="163">
                  <c:v>3.5067686550737408E-2</c:v>
                </c:pt>
                <c:pt idx="164">
                  <c:v>2.0176243071892752E-2</c:v>
                </c:pt>
                <c:pt idx="165">
                  <c:v>7.856165722102907E-3</c:v>
                </c:pt>
                <c:pt idx="166">
                  <c:v>-7.3295586752502298E-3</c:v>
                </c:pt>
                <c:pt idx="167">
                  <c:v>3.2048026461434301E-2</c:v>
                </c:pt>
                <c:pt idx="168">
                  <c:v>-1.186089940947788E-3</c:v>
                </c:pt>
                <c:pt idx="169">
                  <c:v>-1.4767932489451545E-2</c:v>
                </c:pt>
                <c:pt idx="170">
                  <c:v>-2.0926028029593837E-2</c:v>
                </c:pt>
                <c:pt idx="171">
                  <c:v>-1.4615555875689303E-2</c:v>
                </c:pt>
                <c:pt idx="172">
                  <c:v>-5.8212942411716958E-3</c:v>
                </c:pt>
                <c:pt idx="173">
                  <c:v>1.4090343970161729E-2</c:v>
                </c:pt>
                <c:pt idx="174">
                  <c:v>1.6702479665686696E-2</c:v>
                </c:pt>
                <c:pt idx="175">
                  <c:v>2.0901405528758889E-2</c:v>
                </c:pt>
                <c:pt idx="176">
                  <c:v>3.2894736842105669E-3</c:v>
                </c:pt>
                <c:pt idx="177">
                  <c:v>1.526678903728077E-2</c:v>
                </c:pt>
                <c:pt idx="178">
                  <c:v>4.0435904789217172E-2</c:v>
                </c:pt>
                <c:pt idx="179">
                  <c:v>1.6657878337567683E-2</c:v>
                </c:pt>
                <c:pt idx="180">
                  <c:v>2.886814249003938E-2</c:v>
                </c:pt>
                <c:pt idx="181">
                  <c:v>-2.6053183323213006E-2</c:v>
                </c:pt>
                <c:pt idx="182">
                  <c:v>-1.2492794880542064E-2</c:v>
                </c:pt>
                <c:pt idx="183">
                  <c:v>-1.2650839219984042E-2</c:v>
                </c:pt>
                <c:pt idx="184">
                  <c:v>-4.66188091934608E-2</c:v>
                </c:pt>
                <c:pt idx="185">
                  <c:v>1.8982295845408181E-3</c:v>
                </c:pt>
                <c:pt idx="186">
                  <c:v>2.5148097156787168E-2</c:v>
                </c:pt>
                <c:pt idx="187">
                  <c:v>-8.8465045218204946E-3</c:v>
                </c:pt>
                <c:pt idx="188">
                  <c:v>4.0400775694893337E-3</c:v>
                </c:pt>
                <c:pt idx="189">
                  <c:v>-1.446099369807731E-2</c:v>
                </c:pt>
                <c:pt idx="190">
                  <c:v>-8.0777879674877821E-3</c:v>
                </c:pt>
                <c:pt idx="191">
                  <c:v>5.6232427366447232E-3</c:v>
                </c:pt>
                <c:pt idx="192">
                  <c:v>-2.0490667741366694E-2</c:v>
                </c:pt>
                <c:pt idx="193">
                  <c:v>2.1292189006750169E-2</c:v>
                </c:pt>
                <c:pt idx="194">
                  <c:v>-3.3248983394392577E-2</c:v>
                </c:pt>
                <c:pt idx="195">
                  <c:v>6.2898814949863798E-3</c:v>
                </c:pt>
                <c:pt idx="196">
                  <c:v>-8.0752656167095999E-3</c:v>
                </c:pt>
                <c:pt idx="197">
                  <c:v>2.6862711842294135E-2</c:v>
                </c:pt>
                <c:pt idx="198">
                  <c:v>1.4026528434212485E-2</c:v>
                </c:pt>
                <c:pt idx="199">
                  <c:v>-3.6159975943467162E-2</c:v>
                </c:pt>
                <c:pt idx="200">
                  <c:v>-4.2131399006837697E-2</c:v>
                </c:pt>
                <c:pt idx="201">
                  <c:v>-1.7072674221347683E-2</c:v>
                </c:pt>
                <c:pt idx="202">
                  <c:v>-8.2565893934582659E-3</c:v>
                </c:pt>
                <c:pt idx="203">
                  <c:v>-2.7426248451181468E-3</c:v>
                </c:pt>
                <c:pt idx="204">
                  <c:v>1.1307795398703727E-3</c:v>
                </c:pt>
                <c:pt idx="205">
                  <c:v>1.2466358958626824E-2</c:v>
                </c:pt>
                <c:pt idx="206">
                  <c:v>-2.3496357100555122E-2</c:v>
                </c:pt>
                <c:pt idx="207">
                  <c:v>-3.1156119095640446E-2</c:v>
                </c:pt>
                <c:pt idx="208">
                  <c:v>5.0515343853724266E-3</c:v>
                </c:pt>
                <c:pt idx="209">
                  <c:v>-5.7793421109807635E-3</c:v>
                </c:pt>
                <c:pt idx="210">
                  <c:v>-1.2237762237762703E-3</c:v>
                </c:pt>
                <c:pt idx="211">
                  <c:v>-1.0735748876830474E-2</c:v>
                </c:pt>
                <c:pt idx="212">
                  <c:v>-2.4476555588323233E-3</c:v>
                </c:pt>
                <c:pt idx="213">
                  <c:v>2.6812900937121215E-2</c:v>
                </c:pt>
                <c:pt idx="214">
                  <c:v>-2.8041688259342296E-2</c:v>
                </c:pt>
                <c:pt idx="215">
                  <c:v>-2.1015995260663587E-2</c:v>
                </c:pt>
                <c:pt idx="216">
                  <c:v>1.1906022601776077E-2</c:v>
                </c:pt>
                <c:pt idx="217">
                  <c:v>2.8241239086233685E-2</c:v>
                </c:pt>
                <c:pt idx="218">
                  <c:v>-3.0242668333889632E-3</c:v>
                </c:pt>
                <c:pt idx="219">
                  <c:v>-2.1686184719042139E-2</c:v>
                </c:pt>
                <c:pt idx="220">
                  <c:v>-3.4703795354938859E-2</c:v>
                </c:pt>
                <c:pt idx="221">
                  <c:v>5.2043117027519605E-3</c:v>
                </c:pt>
                <c:pt idx="222">
                  <c:v>-2.1446897420534211E-2</c:v>
                </c:pt>
                <c:pt idx="223">
                  <c:v>3.896695188005328E-2</c:v>
                </c:pt>
                <c:pt idx="224">
                  <c:v>4.190277588890403E-2</c:v>
                </c:pt>
                <c:pt idx="225">
                  <c:v>4.5830311820159071E-3</c:v>
                </c:pt>
                <c:pt idx="226">
                  <c:v>9.153119856784039E-3</c:v>
                </c:pt>
                <c:pt idx="227">
                  <c:v>-1.4735336194563271E-3</c:v>
                </c:pt>
                <c:pt idx="228">
                  <c:v>2.0731550066621814E-2</c:v>
                </c:pt>
                <c:pt idx="229">
                  <c:v>5.3337824939643399E-4</c:v>
                </c:pt>
                <c:pt idx="230">
                  <c:v>1.7115120226703986E-3</c:v>
                </c:pt>
                <c:pt idx="231">
                  <c:v>2.4592459806173406E-2</c:v>
                </c:pt>
                <c:pt idx="232">
                  <c:v>1.1645708037178761E-2</c:v>
                </c:pt>
                <c:pt idx="233">
                  <c:v>3.8182997351780781E-2</c:v>
                </c:pt>
                <c:pt idx="234">
                  <c:v>-2.8280277987454149E-2</c:v>
                </c:pt>
                <c:pt idx="235">
                  <c:v>-9.2010982387999794E-3</c:v>
                </c:pt>
                <c:pt idx="236">
                  <c:v>-1.5355916623861167E-2</c:v>
                </c:pt>
                <c:pt idx="237">
                  <c:v>1.5444386480327284E-2</c:v>
                </c:pt>
                <c:pt idx="238">
                  <c:v>-8.1117254992091065E-3</c:v>
                </c:pt>
                <c:pt idx="239">
                  <c:v>1.1231207491106369E-2</c:v>
                </c:pt>
                <c:pt idx="240">
                  <c:v>-2.0029383617959071E-2</c:v>
                </c:pt>
                <c:pt idx="241">
                  <c:v>-1.0728285537445468E-3</c:v>
                </c:pt>
                <c:pt idx="242">
                  <c:v>4.1114186184201484E-2</c:v>
                </c:pt>
                <c:pt idx="243">
                  <c:v>2.9492283073016486E-2</c:v>
                </c:pt>
                <c:pt idx="244">
                  <c:v>-3.2539855863725611E-2</c:v>
                </c:pt>
                <c:pt idx="245">
                  <c:v>7.0242995618111318E-3</c:v>
                </c:pt>
                <c:pt idx="246">
                  <c:v>1.5176887880905592E-2</c:v>
                </c:pt>
                <c:pt idx="247">
                  <c:v>-8.1049486946356795E-3</c:v>
                </c:pt>
                <c:pt idx="248">
                  <c:v>-1.8856559201738964E-2</c:v>
                </c:pt>
                <c:pt idx="249">
                  <c:v>1.2278781731308286E-2</c:v>
                </c:pt>
                <c:pt idx="250">
                  <c:v>2.3732299659836439E-3</c:v>
                </c:pt>
                <c:pt idx="251">
                  <c:v>1.0338568384500058E-2</c:v>
                </c:pt>
                <c:pt idx="252">
                  <c:v>-2.2001770556684562E-3</c:v>
                </c:pt>
                <c:pt idx="253">
                  <c:v>4.1725924089610296E-2</c:v>
                </c:pt>
                <c:pt idx="254">
                  <c:v>-1.5530867599353688E-2</c:v>
                </c:pt>
                <c:pt idx="255">
                  <c:v>-8.1551125303748907E-3</c:v>
                </c:pt>
                <c:pt idx="256">
                  <c:v>9.6844535659311882E-3</c:v>
                </c:pt>
                <c:pt idx="257">
                  <c:v>1.3491710601537197E-2</c:v>
                </c:pt>
                <c:pt idx="258">
                  <c:v>-2.3716108652869824E-2</c:v>
                </c:pt>
                <c:pt idx="259">
                  <c:v>2.3470501380240063E-2</c:v>
                </c:pt>
                <c:pt idx="260">
                  <c:v>-2.5115100422766653E-2</c:v>
                </c:pt>
                <c:pt idx="261">
                  <c:v>7.077505115105384E-4</c:v>
                </c:pt>
                <c:pt idx="262">
                  <c:v>-4.8221587840444414E-3</c:v>
                </c:pt>
                <c:pt idx="263">
                  <c:v>-1.1887687198769795E-2</c:v>
                </c:pt>
                <c:pt idx="264">
                  <c:v>2.0582966091721056E-2</c:v>
                </c:pt>
                <c:pt idx="265">
                  <c:v>-4.0796976103530051E-2</c:v>
                </c:pt>
                <c:pt idx="266">
                  <c:v>-1.2302801191541705E-2</c:v>
                </c:pt>
                <c:pt idx="267">
                  <c:v>-1.5323235055450267E-2</c:v>
                </c:pt>
                <c:pt idx="268">
                  <c:v>1.6028678561127305E-2</c:v>
                </c:pt>
                <c:pt idx="269">
                  <c:v>2.7942249979722548E-2</c:v>
                </c:pt>
                <c:pt idx="270">
                  <c:v>1.4268618245420264E-2</c:v>
                </c:pt>
                <c:pt idx="271">
                  <c:v>2.5205507870238383E-2</c:v>
                </c:pt>
                <c:pt idx="272">
                  <c:v>-3.8636651068673408E-2</c:v>
                </c:pt>
                <c:pt idx="273">
                  <c:v>3.472998750246644E-3</c:v>
                </c:pt>
                <c:pt idx="274">
                  <c:v>-2.3794229080087544E-2</c:v>
                </c:pt>
                <c:pt idx="275">
                  <c:v>-6.0163300386764321E-3</c:v>
                </c:pt>
                <c:pt idx="276">
                  <c:v>4.9043450064850782E-3</c:v>
                </c:pt>
                <c:pt idx="277">
                  <c:v>2.2721467080762778E-3</c:v>
                </c:pt>
                <c:pt idx="278">
                  <c:v>2.4856468315716012E-2</c:v>
                </c:pt>
                <c:pt idx="279">
                  <c:v>-3.4305833693276312E-2</c:v>
                </c:pt>
                <c:pt idx="280">
                  <c:v>-1.4150176199511984E-2</c:v>
                </c:pt>
                <c:pt idx="281">
                  <c:v>-2.5516937967443986E-2</c:v>
                </c:pt>
                <c:pt idx="282">
                  <c:v>-2.8301354401805794E-2</c:v>
                </c:pt>
                <c:pt idx="283">
                  <c:v>1.8323315039056834E-2</c:v>
                </c:pt>
                <c:pt idx="284">
                  <c:v>3.8211474848864348E-3</c:v>
                </c:pt>
                <c:pt idx="285">
                  <c:v>2.805238338730754E-2</c:v>
                </c:pt>
                <c:pt idx="286">
                  <c:v>2.149794829992133E-2</c:v>
                </c:pt>
                <c:pt idx="287">
                  <c:v>1.7988773923039523E-3</c:v>
                </c:pt>
                <c:pt idx="288">
                  <c:v>-1.6511853972025578E-2</c:v>
                </c:pt>
                <c:pt idx="289">
                  <c:v>1.8093211613700252E-2</c:v>
                </c:pt>
                <c:pt idx="290">
                  <c:v>-1.1609562719954713E-2</c:v>
                </c:pt>
                <c:pt idx="291">
                  <c:v>-2.0558784207797789E-2</c:v>
                </c:pt>
                <c:pt idx="292">
                  <c:v>-1.9694964830420082E-2</c:v>
                </c:pt>
                <c:pt idx="293">
                  <c:v>2.7422173597988998E-3</c:v>
                </c:pt>
                <c:pt idx="294">
                  <c:v>2.2926290135177191E-2</c:v>
                </c:pt>
                <c:pt idx="295">
                  <c:v>1.5237145390071239E-3</c:v>
                </c:pt>
                <c:pt idx="296">
                  <c:v>2.2184725180492883E-2</c:v>
                </c:pt>
                <c:pt idx="297">
                  <c:v>2.2055042892324159E-3</c:v>
                </c:pt>
                <c:pt idx="298">
                  <c:v>-6.9259744292485504E-3</c:v>
                </c:pt>
                <c:pt idx="299">
                  <c:v>4.8588830278971137E-2</c:v>
                </c:pt>
                <c:pt idx="300">
                  <c:v>3.2723972513937521E-2</c:v>
                </c:pt>
                <c:pt idx="301">
                  <c:v>4.0675923368569174E-3</c:v>
                </c:pt>
                <c:pt idx="302">
                  <c:v>-1.4091375128160222E-2</c:v>
                </c:pt>
                <c:pt idx="303">
                  <c:v>-2.7786584824542451E-2</c:v>
                </c:pt>
                <c:pt idx="304">
                  <c:v>7.6832768066788237E-3</c:v>
                </c:pt>
                <c:pt idx="305">
                  <c:v>-3.9094357208507317E-3</c:v>
                </c:pt>
                <c:pt idx="306">
                  <c:v>8.8242556564907832E-3</c:v>
                </c:pt>
                <c:pt idx="307">
                  <c:v>6.2994357560610965E-3</c:v>
                </c:pt>
                <c:pt idx="308">
                  <c:v>8.2826601805031392E-3</c:v>
                </c:pt>
                <c:pt idx="309">
                  <c:v>2.0746045047103975E-2</c:v>
                </c:pt>
                <c:pt idx="310">
                  <c:v>6.1321458779043112E-3</c:v>
                </c:pt>
                <c:pt idx="311">
                  <c:v>-1.2164818454919745E-2</c:v>
                </c:pt>
                <c:pt idx="312">
                  <c:v>-1.2990426131030594E-2</c:v>
                </c:pt>
                <c:pt idx="313">
                  <c:v>1.0879074898246468E-2</c:v>
                </c:pt>
                <c:pt idx="314">
                  <c:v>-1.8312950768265942E-2</c:v>
                </c:pt>
                <c:pt idx="315">
                  <c:v>1.3275410464447693E-2</c:v>
                </c:pt>
                <c:pt idx="316">
                  <c:v>1.3189750832240539E-2</c:v>
                </c:pt>
                <c:pt idx="317">
                  <c:v>-1.866832607342592E-4</c:v>
                </c:pt>
                <c:pt idx="318">
                  <c:v>-1.3182299122424886E-2</c:v>
                </c:pt>
                <c:pt idx="319">
                  <c:v>-3.0740703365457395E-2</c:v>
                </c:pt>
                <c:pt idx="320">
                  <c:v>-1.922200965655459E-2</c:v>
                </c:pt>
                <c:pt idx="321">
                  <c:v>-2.8091080385340039E-2</c:v>
                </c:pt>
                <c:pt idx="322">
                  <c:v>1.0649191071062498E-3</c:v>
                </c:pt>
                <c:pt idx="323">
                  <c:v>-7.2010146884333324E-3</c:v>
                </c:pt>
                <c:pt idx="324">
                  <c:v>-1.5646679030153307E-2</c:v>
                </c:pt>
                <c:pt idx="325">
                  <c:v>1.5993078039522213E-2</c:v>
                </c:pt>
                <c:pt idx="326">
                  <c:v>2.8708002527403531E-3</c:v>
                </c:pt>
                <c:pt idx="327">
                  <c:v>1.4381394584377072E-3</c:v>
                </c:pt>
                <c:pt idx="328">
                  <c:v>1.0435472400021878E-2</c:v>
                </c:pt>
                <c:pt idx="329">
                  <c:v>1.888222634307455E-2</c:v>
                </c:pt>
                <c:pt idx="330">
                  <c:v>-2.7672237425937298E-2</c:v>
                </c:pt>
                <c:pt idx="331">
                  <c:v>1.3048052356164103E-2</c:v>
                </c:pt>
                <c:pt idx="332">
                  <c:v>-3.1303104685350573E-2</c:v>
                </c:pt>
                <c:pt idx="333">
                  <c:v>-1.3421510616080733E-2</c:v>
                </c:pt>
                <c:pt idx="334">
                  <c:v>1.8444560477554561E-2</c:v>
                </c:pt>
                <c:pt idx="335">
                  <c:v>1.2789602039685205E-2</c:v>
                </c:pt>
                <c:pt idx="336">
                  <c:v>1.232709909564788E-2</c:v>
                </c:pt>
                <c:pt idx="337">
                  <c:v>3.7977078603093025E-3</c:v>
                </c:pt>
                <c:pt idx="338">
                  <c:v>2.5527446043649826E-2</c:v>
                </c:pt>
                <c:pt idx="339">
                  <c:v>-2.6585618821305255E-2</c:v>
                </c:pt>
                <c:pt idx="340">
                  <c:v>-4.7879801467415675E-3</c:v>
                </c:pt>
                <c:pt idx="341">
                  <c:v>1.4365284798548011E-3</c:v>
                </c:pt>
                <c:pt idx="342">
                  <c:v>3.6484200554841223E-2</c:v>
                </c:pt>
                <c:pt idx="343">
                  <c:v>1.8709770077424293E-2</c:v>
                </c:pt>
                <c:pt idx="344">
                  <c:v>1.8904439659591921E-2</c:v>
                </c:pt>
                <c:pt idx="345">
                  <c:v>-1.2830350067296501E-2</c:v>
                </c:pt>
                <c:pt idx="346">
                  <c:v>4.0278291007785544E-2</c:v>
                </c:pt>
                <c:pt idx="347">
                  <c:v>8.9171974522292662E-3</c:v>
                </c:pt>
                <c:pt idx="348">
                  <c:v>-1.7154720279720276E-2</c:v>
                </c:pt>
                <c:pt idx="349">
                  <c:v>4.1961583595824879E-2</c:v>
                </c:pt>
                <c:pt idx="350">
                  <c:v>-2.456373292867985E-2</c:v>
                </c:pt>
                <c:pt idx="351">
                  <c:v>-1.4730189596499764E-2</c:v>
                </c:pt>
                <c:pt idx="352">
                  <c:v>-3.5279025016034687E-3</c:v>
                </c:pt>
                <c:pt idx="353">
                  <c:v>-1.6699264687677958E-2</c:v>
                </c:pt>
                <c:pt idx="354">
                  <c:v>9.8951317462515741E-3</c:v>
                </c:pt>
                <c:pt idx="355">
                  <c:v>5.4725189792941649E-3</c:v>
                </c:pt>
                <c:pt idx="356">
                  <c:v>2.6035855091868245E-3</c:v>
                </c:pt>
                <c:pt idx="357">
                  <c:v>3.3993668694662922E-2</c:v>
                </c:pt>
                <c:pt idx="358">
                  <c:v>-2.8223925756724003E-2</c:v>
                </c:pt>
                <c:pt idx="359">
                  <c:v>2.4699410512325014E-2</c:v>
                </c:pt>
                <c:pt idx="360">
                  <c:v>-1.3955611068408922E-2</c:v>
                </c:pt>
                <c:pt idx="361">
                  <c:v>2.6381817738910098E-2</c:v>
                </c:pt>
                <c:pt idx="362">
                  <c:v>3.4200408221388964E-2</c:v>
                </c:pt>
                <c:pt idx="363">
                  <c:v>4.1193344807802616E-2</c:v>
                </c:pt>
                <c:pt idx="364">
                  <c:v>-2.7661450297553352E-3</c:v>
                </c:pt>
                <c:pt idx="365">
                  <c:v>-1.9925073765872065E-2</c:v>
                </c:pt>
                <c:pt idx="366">
                  <c:v>6.3820670680828631E-3</c:v>
                </c:pt>
                <c:pt idx="367">
                  <c:v>-3.4733115224302584E-4</c:v>
                </c:pt>
                <c:pt idx="368">
                  <c:v>-3.0497304446262689E-2</c:v>
                </c:pt>
                <c:pt idx="369">
                  <c:v>1.3572254335260126E-2</c:v>
                </c:pt>
                <c:pt idx="370">
                  <c:v>-1.5683098752195635E-2</c:v>
                </c:pt>
                <c:pt idx="371">
                  <c:v>2.6037381661432955E-2</c:v>
                </c:pt>
                <c:pt idx="372">
                  <c:v>1.7617961285659327E-2</c:v>
                </c:pt>
                <c:pt idx="373">
                  <c:v>-4.372627793931526E-3</c:v>
                </c:pt>
                <c:pt idx="374">
                  <c:v>1.2372926698769548E-3</c:v>
                </c:pt>
                <c:pt idx="375">
                  <c:v>-3.6850249935985874E-3</c:v>
                </c:pt>
                <c:pt idx="376">
                  <c:v>-7.4755285388637431E-3</c:v>
                </c:pt>
                <c:pt idx="377">
                  <c:v>5.5244700133974235E-2</c:v>
                </c:pt>
                <c:pt idx="378">
                  <c:v>-1.5918062520004224E-2</c:v>
                </c:pt>
                <c:pt idx="379">
                  <c:v>1.5720202085908687E-3</c:v>
                </c:pt>
                <c:pt idx="380">
                  <c:v>1.8087743415996366E-2</c:v>
                </c:pt>
                <c:pt idx="381">
                  <c:v>-6.1879345907669388E-3</c:v>
                </c:pt>
                <c:pt idx="382">
                  <c:v>-1.0495121533721391E-2</c:v>
                </c:pt>
                <c:pt idx="383">
                  <c:v>-2.2845466045344948E-2</c:v>
                </c:pt>
                <c:pt idx="384">
                  <c:v>2.1620305826639312E-2</c:v>
                </c:pt>
                <c:pt idx="385">
                  <c:v>1.3159034787505932E-2</c:v>
                </c:pt>
                <c:pt idx="386">
                  <c:v>8.8832351652110113E-3</c:v>
                </c:pt>
                <c:pt idx="387">
                  <c:v>-2.6023013837970656E-2</c:v>
                </c:pt>
                <c:pt idx="388">
                  <c:v>9.4863036052305512E-3</c:v>
                </c:pt>
                <c:pt idx="389">
                  <c:v>5.6253637088603935E-3</c:v>
                </c:pt>
                <c:pt idx="390">
                  <c:v>-5.3688542157829212E-3</c:v>
                </c:pt>
                <c:pt idx="391">
                  <c:v>-2.3692291116737606E-2</c:v>
                </c:pt>
                <c:pt idx="392">
                  <c:v>-3.9728083340691891E-4</c:v>
                </c:pt>
                <c:pt idx="393">
                  <c:v>-1.4771472731287255E-2</c:v>
                </c:pt>
                <c:pt idx="394">
                  <c:v>2.0057820308824067E-3</c:v>
                </c:pt>
                <c:pt idx="395">
                  <c:v>1.7110074814640551E-3</c:v>
                </c:pt>
                <c:pt idx="396">
                  <c:v>-5.3698617902517018E-3</c:v>
                </c:pt>
                <c:pt idx="397">
                  <c:v>1.6162885973084407E-2</c:v>
                </c:pt>
                <c:pt idx="398">
                  <c:v>-5.743761943159903E-4</c:v>
                </c:pt>
                <c:pt idx="399">
                  <c:v>9.9247355798455124E-3</c:v>
                </c:pt>
                <c:pt idx="400">
                  <c:v>7.9777629433459302E-3</c:v>
                </c:pt>
                <c:pt idx="401">
                  <c:v>1.838059669084113E-2</c:v>
                </c:pt>
                <c:pt idx="402">
                  <c:v>-1.6407074551443999E-2</c:v>
                </c:pt>
                <c:pt idx="403">
                  <c:v>-5.4952201339663678E-3</c:v>
                </c:pt>
                <c:pt idx="404">
                  <c:v>1.6849218026265638E-2</c:v>
                </c:pt>
                <c:pt idx="405">
                  <c:v>3.3118616092003643E-3</c:v>
                </c:pt>
                <c:pt idx="406">
                  <c:v>2.0446533490011735E-2</c:v>
                </c:pt>
                <c:pt idx="407">
                  <c:v>1.374523679912901E-2</c:v>
                </c:pt>
                <c:pt idx="408">
                  <c:v>-7.2492952074103721E-3</c:v>
                </c:pt>
                <c:pt idx="409">
                  <c:v>1.6123160139387319E-2</c:v>
                </c:pt>
                <c:pt idx="410">
                  <c:v>-3.9514766852638723E-3</c:v>
                </c:pt>
                <c:pt idx="411">
                  <c:v>1.7471916463684109E-2</c:v>
                </c:pt>
                <c:pt idx="412">
                  <c:v>3.3293265588541336E-2</c:v>
                </c:pt>
                <c:pt idx="413">
                  <c:v>1.985434283200542E-2</c:v>
                </c:pt>
                <c:pt idx="414">
                  <c:v>4.0977321089661255E-2</c:v>
                </c:pt>
                <c:pt idx="415">
                  <c:v>-2.6776917339619274E-2</c:v>
                </c:pt>
                <c:pt idx="416">
                  <c:v>-9.0734485727532992E-3</c:v>
                </c:pt>
                <c:pt idx="417">
                  <c:v>-4.1056390474916975E-3</c:v>
                </c:pt>
                <c:pt idx="418">
                  <c:v>-6.4618806565424234E-3</c:v>
                </c:pt>
                <c:pt idx="419">
                  <c:v>7.160088777381138E-3</c:v>
                </c:pt>
                <c:pt idx="420">
                  <c:v>-5.8923849308244458E-3</c:v>
                </c:pt>
                <c:pt idx="421">
                  <c:v>2.0104667636882456E-2</c:v>
                </c:pt>
                <c:pt idx="422">
                  <c:v>1.7960564231928412E-2</c:v>
                </c:pt>
                <c:pt idx="423">
                  <c:v>7.8890703890703885E-3</c:v>
                </c:pt>
                <c:pt idx="424">
                  <c:v>-1.7256938689062019E-2</c:v>
                </c:pt>
                <c:pt idx="425">
                  <c:v>1.0251124437781161E-2</c:v>
                </c:pt>
                <c:pt idx="426">
                  <c:v>1.2484463984269027E-2</c:v>
                </c:pt>
                <c:pt idx="427">
                  <c:v>6.8431659948699416E-3</c:v>
                </c:pt>
                <c:pt idx="428">
                  <c:v>1.1191279900279493E-3</c:v>
                </c:pt>
                <c:pt idx="429">
                  <c:v>2.5293101881305239E-2</c:v>
                </c:pt>
                <c:pt idx="430">
                  <c:v>-9.076968079919874E-3</c:v>
                </c:pt>
                <c:pt idx="431">
                  <c:v>-5.8681981232502059E-3</c:v>
                </c:pt>
                <c:pt idx="432">
                  <c:v>1.2354566150468375E-2</c:v>
                </c:pt>
                <c:pt idx="433">
                  <c:v>9.9639130357492365E-3</c:v>
                </c:pt>
                <c:pt idx="434">
                  <c:v>1.5630087919244539E-2</c:v>
                </c:pt>
                <c:pt idx="435">
                  <c:v>-4.4106305728619866E-3</c:v>
                </c:pt>
                <c:pt idx="436">
                  <c:v>-2.2594739499016515E-2</c:v>
                </c:pt>
                <c:pt idx="437">
                  <c:v>-2.1238134249942038E-2</c:v>
                </c:pt>
                <c:pt idx="438">
                  <c:v>-7.0328350604569228E-3</c:v>
                </c:pt>
                <c:pt idx="439">
                  <c:v>1.4568444200109824E-2</c:v>
                </c:pt>
                <c:pt idx="440">
                  <c:v>1.4575995665131491E-2</c:v>
                </c:pt>
                <c:pt idx="441">
                  <c:v>-3.143915117852325E-2</c:v>
                </c:pt>
                <c:pt idx="442">
                  <c:v>1.0017277506157494E-2</c:v>
                </c:pt>
                <c:pt idx="443">
                  <c:v>-9.4629761059850017E-4</c:v>
                </c:pt>
                <c:pt idx="444">
                  <c:v>-1.7787209238783925E-2</c:v>
                </c:pt>
                <c:pt idx="445">
                  <c:v>3.9241504010385217E-2</c:v>
                </c:pt>
                <c:pt idx="446">
                  <c:v>5.246393104740588E-3</c:v>
                </c:pt>
                <c:pt idx="447">
                  <c:v>1.5186615186615097E-2</c:v>
                </c:pt>
                <c:pt idx="448">
                  <c:v>4.5883751836049536E-2</c:v>
                </c:pt>
                <c:pt idx="449">
                  <c:v>-9.6552531264628792E-3</c:v>
                </c:pt>
                <c:pt idx="450">
                  <c:v>-6.3982982890040049E-3</c:v>
                </c:pt>
                <c:pt idx="451">
                  <c:v>2.6853904902685501E-2</c:v>
                </c:pt>
                <c:pt idx="452">
                  <c:v>-2.2470050963002253E-2</c:v>
                </c:pt>
                <c:pt idx="453">
                  <c:v>1.9042621618876739E-3</c:v>
                </c:pt>
                <c:pt idx="454">
                  <c:v>1.4106993520920357E-3</c:v>
                </c:pt>
                <c:pt idx="455">
                  <c:v>1.7705908155346364E-2</c:v>
                </c:pt>
                <c:pt idx="456">
                  <c:v>7.7415932430975635E-3</c:v>
                </c:pt>
                <c:pt idx="457">
                  <c:v>-1.5504067247349429E-2</c:v>
                </c:pt>
                <c:pt idx="458">
                  <c:v>1.7736599385108957E-2</c:v>
                </c:pt>
                <c:pt idx="459">
                  <c:v>1.5506612269021969E-2</c:v>
                </c:pt>
                <c:pt idx="460">
                  <c:v>-1.7945484528082114E-2</c:v>
                </c:pt>
                <c:pt idx="461">
                  <c:v>-1.1532003160806183E-2</c:v>
                </c:pt>
                <c:pt idx="462">
                  <c:v>-8.6853697735806857E-3</c:v>
                </c:pt>
                <c:pt idx="463">
                  <c:v>-1.9673398071301428E-2</c:v>
                </c:pt>
                <c:pt idx="464">
                  <c:v>1.9374132405614409E-2</c:v>
                </c:pt>
                <c:pt idx="465">
                  <c:v>-5.1192387549071098E-3</c:v>
                </c:pt>
                <c:pt idx="466">
                  <c:v>-4.3006573499838772E-3</c:v>
                </c:pt>
                <c:pt idx="467">
                  <c:v>-1.7709703423989236E-2</c:v>
                </c:pt>
                <c:pt idx="468">
                  <c:v>-6.3667305931338581E-3</c:v>
                </c:pt>
                <c:pt idx="469">
                  <c:v>2.6786412915902266E-2</c:v>
                </c:pt>
                <c:pt idx="470">
                  <c:v>1.3793161843152499E-2</c:v>
                </c:pt>
                <c:pt idx="471">
                  <c:v>-2.792927479098985E-2</c:v>
                </c:pt>
                <c:pt idx="472">
                  <c:v>-1.686614484435537E-2</c:v>
                </c:pt>
                <c:pt idx="473">
                  <c:v>1.180696357407536E-2</c:v>
                </c:pt>
                <c:pt idx="474">
                  <c:v>-8.1882962643057815E-3</c:v>
                </c:pt>
                <c:pt idx="475">
                  <c:v>-9.1616083325350151E-3</c:v>
                </c:pt>
                <c:pt idx="476">
                  <c:v>-1.4581410678971583E-2</c:v>
                </c:pt>
                <c:pt idx="477">
                  <c:v>-2.2887009882621642E-2</c:v>
                </c:pt>
                <c:pt idx="478">
                  <c:v>2.2820629849383844E-3</c:v>
                </c:pt>
                <c:pt idx="479">
                  <c:v>-6.1111111111111444E-3</c:v>
                </c:pt>
                <c:pt idx="480">
                  <c:v>2.0709435622062088E-2</c:v>
                </c:pt>
                <c:pt idx="481">
                  <c:v>-5.8354056504689947E-4</c:v>
                </c:pt>
                <c:pt idx="482">
                  <c:v>-1.6429521037691748E-2</c:v>
                </c:pt>
                <c:pt idx="483">
                  <c:v>1.2831636147769263E-2</c:v>
                </c:pt>
                <c:pt idx="484">
                  <c:v>2.4337240757439142E-2</c:v>
                </c:pt>
                <c:pt idx="485">
                  <c:v>-1.2376869514696385E-2</c:v>
                </c:pt>
                <c:pt idx="486">
                  <c:v>-2.9440339415114997E-2</c:v>
                </c:pt>
                <c:pt idx="487">
                  <c:v>-7.8519606942787958E-3</c:v>
                </c:pt>
                <c:pt idx="488">
                  <c:v>-2.3214698940158218E-2</c:v>
                </c:pt>
                <c:pt idx="489">
                  <c:v>2.9546940593402696E-2</c:v>
                </c:pt>
                <c:pt idx="490">
                  <c:v>-2.3875926181600674E-2</c:v>
                </c:pt>
                <c:pt idx="491">
                  <c:v>-5.1861840058085263E-3</c:v>
                </c:pt>
                <c:pt idx="492">
                  <c:v>2.6587425711604586E-2</c:v>
                </c:pt>
                <c:pt idx="493">
                  <c:v>1.5954794748213371E-2</c:v>
                </c:pt>
                <c:pt idx="494">
                  <c:v>-8.4610211389206484E-3</c:v>
                </c:pt>
                <c:pt idx="495">
                  <c:v>-1.3216868463745335E-2</c:v>
                </c:pt>
                <c:pt idx="496">
                  <c:v>-2.6100444915056944E-3</c:v>
                </c:pt>
                <c:pt idx="497">
                  <c:v>-3.6319612590797763E-3</c:v>
                </c:pt>
                <c:pt idx="498">
                  <c:v>2.6983830264510598E-2</c:v>
                </c:pt>
                <c:pt idx="499">
                  <c:v>-2.1296540677302059E-3</c:v>
                </c:pt>
                <c:pt idx="500">
                  <c:v>-2.322081665040179E-2</c:v>
                </c:pt>
                <c:pt idx="501">
                  <c:v>1.7983697022325548E-2</c:v>
                </c:pt>
                <c:pt idx="502">
                  <c:v>1.8876750777358838E-2</c:v>
                </c:pt>
                <c:pt idx="503">
                  <c:v>-3.4029221919139843E-3</c:v>
                </c:pt>
                <c:pt idx="504">
                  <c:v>1.4218223535044226E-2</c:v>
                </c:pt>
                <c:pt idx="505">
                  <c:v>1.4962993311186295E-3</c:v>
                </c:pt>
                <c:pt idx="506">
                  <c:v>-2.0694561785761911E-2</c:v>
                </c:pt>
                <c:pt idx="507">
                  <c:v>-8.3546740768999862E-4</c:v>
                </c:pt>
                <c:pt idx="508">
                  <c:v>-1.958627960663839E-2</c:v>
                </c:pt>
                <c:pt idx="509">
                  <c:v>-1.0595989654309372E-2</c:v>
                </c:pt>
                <c:pt idx="510">
                  <c:v>-1.5965819653699091E-2</c:v>
                </c:pt>
                <c:pt idx="511">
                  <c:v>6.4651889092016716E-3</c:v>
                </c:pt>
                <c:pt idx="512">
                  <c:v>3.8882529351107606E-3</c:v>
                </c:pt>
                <c:pt idx="513">
                  <c:v>-2.2683152081723581E-2</c:v>
                </c:pt>
                <c:pt idx="514">
                  <c:v>-1.5630574599593012E-2</c:v>
                </c:pt>
                <c:pt idx="515">
                  <c:v>5.4855709891654626E-4</c:v>
                </c:pt>
                <c:pt idx="516">
                  <c:v>8.7818918760158814E-3</c:v>
                </c:pt>
                <c:pt idx="517">
                  <c:v>1.8730771843669253E-3</c:v>
                </c:pt>
                <c:pt idx="518">
                  <c:v>-3.8331137631742035E-2</c:v>
                </c:pt>
                <c:pt idx="519">
                  <c:v>2.3298917149332656E-2</c:v>
                </c:pt>
                <c:pt idx="520">
                  <c:v>3.1854156002677492E-2</c:v>
                </c:pt>
                <c:pt idx="521">
                  <c:v>2.8533541936961081E-2</c:v>
                </c:pt>
                <c:pt idx="522">
                  <c:v>1.0193386820015774E-2</c:v>
                </c:pt>
                <c:pt idx="523">
                  <c:v>1.2441008502120897E-2</c:v>
                </c:pt>
                <c:pt idx="524">
                  <c:v>-1.0936890694574127E-2</c:v>
                </c:pt>
                <c:pt idx="525">
                  <c:v>3.9151682972226893E-3</c:v>
                </c:pt>
                <c:pt idx="526">
                  <c:v>-1.9344232349986355E-2</c:v>
                </c:pt>
                <c:pt idx="527">
                  <c:v>2.7381440226502763E-3</c:v>
                </c:pt>
                <c:pt idx="528">
                  <c:v>-2.4613155499414854E-2</c:v>
                </c:pt>
                <c:pt idx="529">
                  <c:v>1.0912622838424438E-2</c:v>
                </c:pt>
                <c:pt idx="530">
                  <c:v>-5.6611593602230474E-3</c:v>
                </c:pt>
                <c:pt idx="531">
                  <c:v>1.4124534629266569E-2</c:v>
                </c:pt>
                <c:pt idx="532">
                  <c:v>3.8205731793893791E-3</c:v>
                </c:pt>
                <c:pt idx="533">
                  <c:v>-7.5097011939214576E-3</c:v>
                </c:pt>
                <c:pt idx="534">
                  <c:v>1.5470587132221951E-2</c:v>
                </c:pt>
                <c:pt idx="535">
                  <c:v>-2.0100827300930699E-2</c:v>
                </c:pt>
                <c:pt idx="536">
                  <c:v>-4.0800173377179482E-3</c:v>
                </c:pt>
                <c:pt idx="537">
                  <c:v>-8.884137226332715E-3</c:v>
                </c:pt>
                <c:pt idx="538">
                  <c:v>1.3717722304424723E-2</c:v>
                </c:pt>
                <c:pt idx="539">
                  <c:v>-7.4393551303296251E-4</c:v>
                </c:pt>
                <c:pt idx="540">
                  <c:v>5.3622082120002509E-3</c:v>
                </c:pt>
                <c:pt idx="541">
                  <c:v>9.8610824693950074E-3</c:v>
                </c:pt>
                <c:pt idx="542">
                  <c:v>-4.0785638702730644E-2</c:v>
                </c:pt>
                <c:pt idx="543">
                  <c:v>-1.5744145538997573E-2</c:v>
                </c:pt>
                <c:pt idx="544">
                  <c:v>2.6446963514988788E-3</c:v>
                </c:pt>
                <c:pt idx="545">
                  <c:v>1.8454237022219655E-2</c:v>
                </c:pt>
                <c:pt idx="546">
                  <c:v>1.0696680274204631E-2</c:v>
                </c:pt>
                <c:pt idx="547">
                  <c:v>2.3710407239819101E-2</c:v>
                </c:pt>
                <c:pt idx="548">
                  <c:v>-3.3127372887666313E-3</c:v>
                </c:pt>
                <c:pt idx="549">
                  <c:v>2.3714381745527542E-3</c:v>
                </c:pt>
                <c:pt idx="550">
                  <c:v>-8.2245114658817155E-3</c:v>
                </c:pt>
                <c:pt idx="551">
                  <c:v>-7.0906000244179181E-3</c:v>
                </c:pt>
                <c:pt idx="552">
                  <c:v>-1.4046006583178757E-2</c:v>
                </c:pt>
                <c:pt idx="553">
                  <c:v>-8.9889580675180276E-3</c:v>
                </c:pt>
                <c:pt idx="554">
                  <c:v>-2.7685814408238952E-3</c:v>
                </c:pt>
                <c:pt idx="555">
                  <c:v>-1.0891511998136238E-2</c:v>
                </c:pt>
                <c:pt idx="556">
                  <c:v>1.0599250201188757E-3</c:v>
                </c:pt>
                <c:pt idx="557">
                  <c:v>-3.1479774906374401E-2</c:v>
                </c:pt>
                <c:pt idx="558">
                  <c:v>8.1383931734672968E-3</c:v>
                </c:pt>
                <c:pt idx="559">
                  <c:v>3.7250866007328908E-3</c:v>
                </c:pt>
                <c:pt idx="560">
                  <c:v>8.4728807794650449E-3</c:v>
                </c:pt>
                <c:pt idx="561">
                  <c:v>-7.5783877079344791E-3</c:v>
                </c:pt>
                <c:pt idx="562">
                  <c:v>-8.3758958110525788E-3</c:v>
                </c:pt>
                <c:pt idx="563">
                  <c:v>1.7921399844775251E-2</c:v>
                </c:pt>
                <c:pt idx="564">
                  <c:v>-2.128944736555444E-3</c:v>
                </c:pt>
                <c:pt idx="565">
                  <c:v>3.5634191358882329E-2</c:v>
                </c:pt>
                <c:pt idx="566">
                  <c:v>-2.4203516504575386E-2</c:v>
                </c:pt>
                <c:pt idx="567">
                  <c:v>-3.770657606614393E-3</c:v>
                </c:pt>
                <c:pt idx="568">
                  <c:v>-1.9289340101522782E-2</c:v>
                </c:pt>
                <c:pt idx="569">
                  <c:v>-1.3276648776859872E-2</c:v>
                </c:pt>
                <c:pt idx="570">
                  <c:v>-1.3343247400103918E-2</c:v>
                </c:pt>
                <c:pt idx="571">
                  <c:v>-7.8871029349520342E-3</c:v>
                </c:pt>
                <c:pt idx="572">
                  <c:v>1.4411620865113496E-2</c:v>
                </c:pt>
                <c:pt idx="573">
                  <c:v>-1.9581897259149876E-2</c:v>
                </c:pt>
                <c:pt idx="574">
                  <c:v>1.1351865995668529E-2</c:v>
                </c:pt>
                <c:pt idx="575">
                  <c:v>-2.4817926011752058E-2</c:v>
                </c:pt>
                <c:pt idx="576">
                  <c:v>-6.5559857847556887E-3</c:v>
                </c:pt>
                <c:pt idx="577">
                  <c:v>2.3876899420162967E-2</c:v>
                </c:pt>
                <c:pt idx="578">
                  <c:v>8.7398183202444593E-3</c:v>
                </c:pt>
                <c:pt idx="579">
                  <c:v>5.3969665326039987E-3</c:v>
                </c:pt>
                <c:pt idx="580">
                  <c:v>1.1712925351953457E-2</c:v>
                </c:pt>
                <c:pt idx="581">
                  <c:v>1.0753999715395018E-2</c:v>
                </c:pt>
                <c:pt idx="582">
                  <c:v>1.1665325824617883E-2</c:v>
                </c:pt>
                <c:pt idx="583">
                  <c:v>2.5357852882703768E-2</c:v>
                </c:pt>
                <c:pt idx="584">
                  <c:v>-1.7721592616649351E-2</c:v>
                </c:pt>
                <c:pt idx="585">
                  <c:v>-6.5138221331777397E-4</c:v>
                </c:pt>
                <c:pt idx="586">
                  <c:v>1.1831280800339634E-2</c:v>
                </c:pt>
                <c:pt idx="587">
                  <c:v>1.3820701771509524E-2</c:v>
                </c:pt>
                <c:pt idx="588">
                  <c:v>1.043602160371992E-2</c:v>
                </c:pt>
                <c:pt idx="589">
                  <c:v>2.3648230193892561E-2</c:v>
                </c:pt>
                <c:pt idx="590">
                  <c:v>-8.246693411022181E-3</c:v>
                </c:pt>
                <c:pt idx="591">
                  <c:v>-2.3209542848025844E-2</c:v>
                </c:pt>
                <c:pt idx="592">
                  <c:v>2.3040411998693305E-2</c:v>
                </c:pt>
                <c:pt idx="593">
                  <c:v>5.7289905706440884E-4</c:v>
                </c:pt>
                <c:pt idx="594">
                  <c:v>-9.0766588133698589E-3</c:v>
                </c:pt>
                <c:pt idx="595">
                  <c:v>1.2219380505825174E-3</c:v>
                </c:pt>
                <c:pt idx="596">
                  <c:v>-7.0293947908684692E-3</c:v>
                </c:pt>
                <c:pt idx="597">
                  <c:v>1.8341019093715463E-2</c:v>
                </c:pt>
                <c:pt idx="598">
                  <c:v>1.6298500201158365E-2</c:v>
                </c:pt>
                <c:pt idx="599">
                  <c:v>6.0944735461181251E-3</c:v>
                </c:pt>
                <c:pt idx="600">
                  <c:v>1.0138628357048228E-2</c:v>
                </c:pt>
                <c:pt idx="601">
                  <c:v>1.1685523538629836E-3</c:v>
                </c:pt>
                <c:pt idx="602">
                  <c:v>1.8702158846202632E-2</c:v>
                </c:pt>
                <c:pt idx="603">
                  <c:v>-4.1087495225998978E-2</c:v>
                </c:pt>
                <c:pt idx="604">
                  <c:v>-2.0016116632550155E-2</c:v>
                </c:pt>
                <c:pt idx="605">
                  <c:v>-1.039677888885843E-4</c:v>
                </c:pt>
                <c:pt idx="606">
                  <c:v>-6.7018933557676406E-3</c:v>
                </c:pt>
                <c:pt idx="607">
                  <c:v>-1.6168325688509934E-2</c:v>
                </c:pt>
                <c:pt idx="608">
                  <c:v>1.1529942060106666E-2</c:v>
                </c:pt>
                <c:pt idx="609">
                  <c:v>-1.6657901027970427E-2</c:v>
                </c:pt>
                <c:pt idx="610">
                  <c:v>4.4246496747154919E-3</c:v>
                </c:pt>
                <c:pt idx="611">
                  <c:v>2.7883200371774859E-3</c:v>
                </c:pt>
                <c:pt idx="612">
                  <c:v>1.612342627635816E-3</c:v>
                </c:pt>
                <c:pt idx="613">
                  <c:v>-1.4025042653480299E-2</c:v>
                </c:pt>
                <c:pt idx="614">
                  <c:v>-2.8155795401220039E-3</c:v>
                </c:pt>
                <c:pt idx="615">
                  <c:v>2.223529411764712E-2</c:v>
                </c:pt>
                <c:pt idx="616">
                  <c:v>1.0185291748187258E-2</c:v>
                </c:pt>
                <c:pt idx="617">
                  <c:v>1.7573340928510386E-2</c:v>
                </c:pt>
                <c:pt idx="618">
                  <c:v>-8.1171103087290743E-4</c:v>
                </c:pt>
                <c:pt idx="619">
                  <c:v>-2.9432087698657235E-2</c:v>
                </c:pt>
                <c:pt idx="620">
                  <c:v>-7.6388755267361164E-3</c:v>
                </c:pt>
                <c:pt idx="621">
                  <c:v>-2.0552991817583649E-3</c:v>
                </c:pt>
                <c:pt idx="622">
                  <c:v>2.354861273024016E-2</c:v>
                </c:pt>
                <c:pt idx="623">
                  <c:v>2.063401670463175E-2</c:v>
                </c:pt>
                <c:pt idx="624">
                  <c:v>8.0904644112560174E-3</c:v>
                </c:pt>
                <c:pt idx="625">
                  <c:v>-1.4519759418471652E-2</c:v>
                </c:pt>
                <c:pt idx="626">
                  <c:v>2.8643639427126701E-3</c:v>
                </c:pt>
                <c:pt idx="627">
                  <c:v>-4.0229241338111798E-3</c:v>
                </c:pt>
                <c:pt idx="628">
                  <c:v>-3.701794667541395E-3</c:v>
                </c:pt>
                <c:pt idx="629">
                  <c:v>-2.1155112407111289E-2</c:v>
                </c:pt>
                <c:pt idx="630">
                  <c:v>8.7737000413220228E-3</c:v>
                </c:pt>
                <c:pt idx="631">
                  <c:v>6.6683178691805912E-5</c:v>
                </c:pt>
                <c:pt idx="632">
                  <c:v>1.4783627513550054E-2</c:v>
                </c:pt>
                <c:pt idx="633">
                  <c:v>-2.5184684557836474E-2</c:v>
                </c:pt>
                <c:pt idx="634">
                  <c:v>-1.9277804525758287E-2</c:v>
                </c:pt>
                <c:pt idx="635">
                  <c:v>6.4910454795381253E-2</c:v>
                </c:pt>
                <c:pt idx="636">
                  <c:v>-1.4927299716943572E-2</c:v>
                </c:pt>
                <c:pt idx="637">
                  <c:v>5.66267315612126E-3</c:v>
                </c:pt>
                <c:pt idx="638">
                  <c:v>8.3205360882312382E-3</c:v>
                </c:pt>
                <c:pt idx="639">
                  <c:v>-1.6734509271822805E-2</c:v>
                </c:pt>
                <c:pt idx="640">
                  <c:v>3.1072226498695069E-2</c:v>
                </c:pt>
                <c:pt idx="641">
                  <c:v>-5.644779489419597E-4</c:v>
                </c:pt>
                <c:pt idx="642">
                  <c:v>3.2339169566563616E-3</c:v>
                </c:pt>
                <c:pt idx="643">
                  <c:v>3.2670776997884315E-2</c:v>
                </c:pt>
                <c:pt idx="644">
                  <c:v>-1.3365339804971595E-2</c:v>
                </c:pt>
                <c:pt idx="645">
                  <c:v>-8.0030657623856079E-3</c:v>
                </c:pt>
                <c:pt idx="646">
                  <c:v>-5.4982076921002718E-3</c:v>
                </c:pt>
                <c:pt idx="647">
                  <c:v>-2.361400941308265E-2</c:v>
                </c:pt>
                <c:pt idx="648">
                  <c:v>5.4587677988213604E-3</c:v>
                </c:pt>
                <c:pt idx="649">
                  <c:v>8.9350620669347829E-3</c:v>
                </c:pt>
                <c:pt idx="650">
                  <c:v>3.8305789646492696E-3</c:v>
                </c:pt>
                <c:pt idx="651">
                  <c:v>1.2165649076900596E-2</c:v>
                </c:pt>
                <c:pt idx="652">
                  <c:v>1.5861332280100244E-2</c:v>
                </c:pt>
                <c:pt idx="653">
                  <c:v>6.5741804365114908E-3</c:v>
                </c:pt>
                <c:pt idx="654">
                  <c:v>-3.6694348368067693E-3</c:v>
                </c:pt>
                <c:pt idx="655">
                  <c:v>2.2124127722562822E-2</c:v>
                </c:pt>
                <c:pt idx="656">
                  <c:v>-1.1688949804753115E-2</c:v>
                </c:pt>
                <c:pt idx="657">
                  <c:v>2.5224376586335986E-2</c:v>
                </c:pt>
                <c:pt idx="658">
                  <c:v>-2.8074832189070847E-3</c:v>
                </c:pt>
                <c:pt idx="659">
                  <c:v>1.4085468335423536E-2</c:v>
                </c:pt>
                <c:pt idx="660">
                  <c:v>3.2810607080360744E-2</c:v>
                </c:pt>
                <c:pt idx="661">
                  <c:v>-3.9351927275097072E-2</c:v>
                </c:pt>
                <c:pt idx="662">
                  <c:v>-2.7981989773854261E-3</c:v>
                </c:pt>
                <c:pt idx="663">
                  <c:v>-6.5304456518966896E-3</c:v>
                </c:pt>
                <c:pt idx="664">
                  <c:v>3.0709975606624824E-2</c:v>
                </c:pt>
                <c:pt idx="665">
                  <c:v>-6.5768167210583303E-3</c:v>
                </c:pt>
                <c:pt idx="666">
                  <c:v>4.8724828848709753E-2</c:v>
                </c:pt>
                <c:pt idx="667">
                  <c:v>-2.6351028216164474E-2</c:v>
                </c:pt>
                <c:pt idx="668">
                  <c:v>6.7619562191987091E-3</c:v>
                </c:pt>
                <c:pt idx="669">
                  <c:v>-6.2205236623840169E-3</c:v>
                </c:pt>
                <c:pt idx="670">
                  <c:v>9.5078345538599108E-3</c:v>
                </c:pt>
                <c:pt idx="671">
                  <c:v>-9.3777608468352588E-3</c:v>
                </c:pt>
                <c:pt idx="672">
                  <c:v>-7.3555882834233418E-3</c:v>
                </c:pt>
                <c:pt idx="673">
                  <c:v>-3.1560900421196629E-2</c:v>
                </c:pt>
                <c:pt idx="674">
                  <c:v>2.5022980288018138E-3</c:v>
                </c:pt>
                <c:pt idx="675">
                  <c:v>-2.582649890479331E-2</c:v>
                </c:pt>
                <c:pt idx="676">
                  <c:v>-2.2502265913686259E-2</c:v>
                </c:pt>
                <c:pt idx="677">
                  <c:v>2.1308464542359267E-3</c:v>
                </c:pt>
                <c:pt idx="678">
                  <c:v>-1.5480289321269465E-3</c:v>
                </c:pt>
                <c:pt idx="679">
                  <c:v>1.8712074634446258E-2</c:v>
                </c:pt>
                <c:pt idx="680">
                  <c:v>-2.3275341782780883E-2</c:v>
                </c:pt>
                <c:pt idx="681">
                  <c:v>8.0239285010655064E-3</c:v>
                </c:pt>
                <c:pt idx="682">
                  <c:v>6.2809829249659424E-3</c:v>
                </c:pt>
                <c:pt idx="683">
                  <c:v>-4.7320979261758532E-3</c:v>
                </c:pt>
                <c:pt idx="684">
                  <c:v>-1.3580761622594934E-2</c:v>
                </c:pt>
                <c:pt idx="685">
                  <c:v>-8.0034531753014578E-4</c:v>
                </c:pt>
                <c:pt idx="686">
                  <c:v>1.6181724910676328E-2</c:v>
                </c:pt>
                <c:pt idx="687">
                  <c:v>-5.995872855611927E-3</c:v>
                </c:pt>
                <c:pt idx="688">
                  <c:v>1.5538963237521656E-2</c:v>
                </c:pt>
                <c:pt idx="689">
                  <c:v>-4.228886276298879E-3</c:v>
                </c:pt>
                <c:pt idx="690">
                  <c:v>3.1014308874321602E-2</c:v>
                </c:pt>
                <c:pt idx="691">
                  <c:v>1.0682299856429889E-3</c:v>
                </c:pt>
                <c:pt idx="692">
                  <c:v>-2.5012591663039103E-3</c:v>
                </c:pt>
                <c:pt idx="693">
                  <c:v>-2.7813912090921537E-2</c:v>
                </c:pt>
                <c:pt idx="694">
                  <c:v>-2.4577897498195455E-2</c:v>
                </c:pt>
                <c:pt idx="695">
                  <c:v>7.3190982437775281E-3</c:v>
                </c:pt>
                <c:pt idx="696">
                  <c:v>-3.4134585233433728E-3</c:v>
                </c:pt>
                <c:pt idx="697">
                  <c:v>5.5557553310080048E-3</c:v>
                </c:pt>
                <c:pt idx="698">
                  <c:v>-1.1479249736263271E-2</c:v>
                </c:pt>
                <c:pt idx="699">
                  <c:v>-2.0620421452473298E-3</c:v>
                </c:pt>
                <c:pt idx="700">
                  <c:v>-1.0404016602925465E-2</c:v>
                </c:pt>
                <c:pt idx="701">
                  <c:v>5.797021814385339E-3</c:v>
                </c:pt>
                <c:pt idx="702">
                  <c:v>-3.250566800513477E-3</c:v>
                </c:pt>
                <c:pt idx="703">
                  <c:v>3.3488627021101537E-2</c:v>
                </c:pt>
                <c:pt idx="704">
                  <c:v>-1.1543628906802385E-2</c:v>
                </c:pt>
                <c:pt idx="705">
                  <c:v>2.0325494053474041E-2</c:v>
                </c:pt>
                <c:pt idx="706">
                  <c:v>-1.8001279545673616E-2</c:v>
                </c:pt>
                <c:pt idx="707">
                  <c:v>-7.6127408544475837E-3</c:v>
                </c:pt>
                <c:pt idx="708">
                  <c:v>-1.4245116730817785E-2</c:v>
                </c:pt>
                <c:pt idx="709">
                  <c:v>2.2807721782286614E-2</c:v>
                </c:pt>
                <c:pt idx="710">
                  <c:v>8.3041958041959584E-3</c:v>
                </c:pt>
                <c:pt idx="711">
                  <c:v>3.0165512238704336E-3</c:v>
                </c:pt>
                <c:pt idx="712">
                  <c:v>4.7272983842518591E-3</c:v>
                </c:pt>
                <c:pt idx="713">
                  <c:v>-1.8530547752809101E-2</c:v>
                </c:pt>
                <c:pt idx="714">
                  <c:v>2.5346796769490962E-2</c:v>
                </c:pt>
                <c:pt idx="715">
                  <c:v>2.5104018561970615E-2</c:v>
                </c:pt>
                <c:pt idx="716">
                  <c:v>-1.7018235038828642E-5</c:v>
                </c:pt>
                <c:pt idx="717">
                  <c:v>8.3390770854076203E-4</c:v>
                </c:pt>
                <c:pt idx="718">
                  <c:v>1.2047578156218782E-2</c:v>
                </c:pt>
                <c:pt idx="719">
                  <c:v>-2.5034863988440434E-3</c:v>
                </c:pt>
                <c:pt idx="720">
                  <c:v>-2.9308718501547897E-3</c:v>
                </c:pt>
                <c:pt idx="721">
                  <c:v>-8.1004831570768536E-3</c:v>
                </c:pt>
                <c:pt idx="722">
                  <c:v>-5.5011964676528252E-3</c:v>
                </c:pt>
                <c:pt idx="723">
                  <c:v>-7.8007929236274974E-3</c:v>
                </c:pt>
                <c:pt idx="724">
                  <c:v>1.3463131731565787E-2</c:v>
                </c:pt>
                <c:pt idx="725">
                  <c:v>-5.1944955378431003E-3</c:v>
                </c:pt>
                <c:pt idx="726">
                  <c:v>-6.9593056102447391E-3</c:v>
                </c:pt>
                <c:pt idx="727">
                  <c:v>-1.0456085303726334E-2</c:v>
                </c:pt>
                <c:pt idx="728">
                  <c:v>-2.5854559392313375E-2</c:v>
                </c:pt>
                <c:pt idx="729">
                  <c:v>2.8114604571305983E-2</c:v>
                </c:pt>
                <c:pt idx="730">
                  <c:v>9.5588491110879248E-3</c:v>
                </c:pt>
                <c:pt idx="731">
                  <c:v>1.5886827889826101E-2</c:v>
                </c:pt>
                <c:pt idx="732">
                  <c:v>-8.7520671670272346E-3</c:v>
                </c:pt>
                <c:pt idx="733">
                  <c:v>2.6291248513470752E-2</c:v>
                </c:pt>
                <c:pt idx="734">
                  <c:v>3.1594918136649804E-3</c:v>
                </c:pt>
                <c:pt idx="735">
                  <c:v>2.6218473428346021E-2</c:v>
                </c:pt>
                <c:pt idx="736">
                  <c:v>3.5630415418238495E-4</c:v>
                </c:pt>
                <c:pt idx="737">
                  <c:v>-1.9427849822721609E-4</c:v>
                </c:pt>
                <c:pt idx="738">
                  <c:v>-8.7118451947210684E-3</c:v>
                </c:pt>
                <c:pt idx="739">
                  <c:v>1.9602398026692678E-3</c:v>
                </c:pt>
                <c:pt idx="740">
                  <c:v>4.5649444870142887E-3</c:v>
                </c:pt>
                <c:pt idx="741">
                  <c:v>2.6924387750133946E-2</c:v>
                </c:pt>
                <c:pt idx="742">
                  <c:v>2.7751438144004138E-2</c:v>
                </c:pt>
                <c:pt idx="743">
                  <c:v>2.1835404108745834E-3</c:v>
                </c:pt>
                <c:pt idx="744">
                  <c:v>2.2094700340626595E-2</c:v>
                </c:pt>
                <c:pt idx="745">
                  <c:v>-4.7339898519830621E-2</c:v>
                </c:pt>
                <c:pt idx="746">
                  <c:v>-7.6977017199675243E-3</c:v>
                </c:pt>
                <c:pt idx="747">
                  <c:v>5.0022232103156599E-3</c:v>
                </c:pt>
                <c:pt idx="748">
                  <c:v>1.6235561805742059E-2</c:v>
                </c:pt>
                <c:pt idx="749">
                  <c:v>8.0619455954723425E-3</c:v>
                </c:pt>
                <c:pt idx="750">
                  <c:v>-3.9331821757437635E-4</c:v>
                </c:pt>
                <c:pt idx="751">
                  <c:v>-7.545422983451143E-3</c:v>
                </c:pt>
                <c:pt idx="752">
                  <c:v>-1.3510887225292787E-2</c:v>
                </c:pt>
                <c:pt idx="753">
                  <c:v>3.4145265132112884E-2</c:v>
                </c:pt>
                <c:pt idx="754">
                  <c:v>2.0383747866374057E-2</c:v>
                </c:pt>
                <c:pt idx="755">
                  <c:v>2.3665678418603998E-2</c:v>
                </c:pt>
                <c:pt idx="756">
                  <c:v>7.805888704076106E-4</c:v>
                </c:pt>
                <c:pt idx="757">
                  <c:v>-8.8276244141037158E-3</c:v>
                </c:pt>
                <c:pt idx="758">
                  <c:v>1.0377136469273011E-2</c:v>
                </c:pt>
                <c:pt idx="759">
                  <c:v>1.6013626140062983E-4</c:v>
                </c:pt>
                <c:pt idx="760">
                  <c:v>-1.6666060187038054E-3</c:v>
                </c:pt>
                <c:pt idx="761">
                  <c:v>1.6037790867209082E-4</c:v>
                </c:pt>
                <c:pt idx="762">
                  <c:v>-1.0568667181737343E-2</c:v>
                </c:pt>
                <c:pt idx="763">
                  <c:v>-1.4777381618882006E-2</c:v>
                </c:pt>
                <c:pt idx="764">
                  <c:v>-3.6787247087676812E-3</c:v>
                </c:pt>
                <c:pt idx="765">
                  <c:v>-2.3842401500938071E-2</c:v>
                </c:pt>
                <c:pt idx="766">
                  <c:v>1.1147586355354301E-2</c:v>
                </c:pt>
                <c:pt idx="767">
                  <c:v>1.5388943378724641E-2</c:v>
                </c:pt>
                <c:pt idx="768">
                  <c:v>-1.298419283098828E-2</c:v>
                </c:pt>
                <c:pt idx="769">
                  <c:v>-3.1635726369933198E-2</c:v>
                </c:pt>
                <c:pt idx="770">
                  <c:v>7.5366451744317275E-3</c:v>
                </c:pt>
                <c:pt idx="771">
                  <c:v>4.8054119202208812E-3</c:v>
                </c:pt>
                <c:pt idx="772">
                  <c:v>9.5184293817665447E-4</c:v>
                </c:pt>
                <c:pt idx="773">
                  <c:v>-2.2938475097799754E-2</c:v>
                </c:pt>
                <c:pt idx="774">
                  <c:v>-3.3233369468028712E-2</c:v>
                </c:pt>
                <c:pt idx="775">
                  <c:v>3.078270406534685E-2</c:v>
                </c:pt>
                <c:pt idx="776">
                  <c:v>-3.2158170557409732E-3</c:v>
                </c:pt>
                <c:pt idx="777">
                  <c:v>9.4873939538774703E-3</c:v>
                </c:pt>
                <c:pt idx="778">
                  <c:v>-6.5495636254590795E-4</c:v>
                </c:pt>
                <c:pt idx="779">
                  <c:v>7.8962121870138884E-3</c:v>
                </c:pt>
                <c:pt idx="780">
                  <c:v>-2.1951850081868948E-2</c:v>
                </c:pt>
                <c:pt idx="781">
                  <c:v>-7.2652413870444507E-3</c:v>
                </c:pt>
                <c:pt idx="782">
                  <c:v>-2.3310794455113103E-2</c:v>
                </c:pt>
                <c:pt idx="783">
                  <c:v>-1.8579866991614697E-2</c:v>
                </c:pt>
                <c:pt idx="784">
                  <c:v>-1.191117546045329E-2</c:v>
                </c:pt>
                <c:pt idx="785">
                  <c:v>-3.1274226663599761E-2</c:v>
                </c:pt>
                <c:pt idx="786">
                  <c:v>-7.5367162078972269E-3</c:v>
                </c:pt>
                <c:pt idx="787">
                  <c:v>-1.1944742275349364E-2</c:v>
                </c:pt>
                <c:pt idx="788">
                  <c:v>-2.033092686426604E-2</c:v>
                </c:pt>
                <c:pt idx="789">
                  <c:v>-1.7484758051228343E-3</c:v>
                </c:pt>
                <c:pt idx="790">
                  <c:v>3.9432538263323489E-4</c:v>
                </c:pt>
                <c:pt idx="791">
                  <c:v>-1.4162618021816889E-2</c:v>
                </c:pt>
                <c:pt idx="792">
                  <c:v>3.6077920870333305E-2</c:v>
                </c:pt>
                <c:pt idx="793">
                  <c:v>1.3264527709221425E-2</c:v>
                </c:pt>
                <c:pt idx="794">
                  <c:v>2.0380326474938655E-2</c:v>
                </c:pt>
                <c:pt idx="795">
                  <c:v>-5.1907919863893775E-3</c:v>
                </c:pt>
                <c:pt idx="796">
                  <c:v>1.63516744324032E-2</c:v>
                </c:pt>
                <c:pt idx="797">
                  <c:v>1.4096840659340722E-2</c:v>
                </c:pt>
                <c:pt idx="798">
                  <c:v>-1.7363403938301072E-2</c:v>
                </c:pt>
                <c:pt idx="799">
                  <c:v>-1.1441273013931105E-2</c:v>
                </c:pt>
                <c:pt idx="800">
                  <c:v>5.2011887435398967E-2</c:v>
                </c:pt>
                <c:pt idx="801">
                  <c:v>-6.6522520731333292E-3</c:v>
                </c:pt>
                <c:pt idx="802">
                  <c:v>9.1820395636654697E-3</c:v>
                </c:pt>
                <c:pt idx="803">
                  <c:v>-3.1898453834011522E-3</c:v>
                </c:pt>
                <c:pt idx="804">
                  <c:v>1.5254138928728428E-2</c:v>
                </c:pt>
                <c:pt idx="805">
                  <c:v>-1.6943893257555343E-2</c:v>
                </c:pt>
                <c:pt idx="806">
                  <c:v>-1.7136259427850041E-2</c:v>
                </c:pt>
                <c:pt idx="807">
                  <c:v>2.060426790619067E-2</c:v>
                </c:pt>
                <c:pt idx="808">
                  <c:v>4.0989375884996375E-3</c:v>
                </c:pt>
                <c:pt idx="809">
                  <c:v>-4.3106434214649741E-2</c:v>
                </c:pt>
                <c:pt idx="810">
                  <c:v>1.0083512164853123E-3</c:v>
                </c:pt>
                <c:pt idx="811">
                  <c:v>-2.6173502772324649E-3</c:v>
                </c:pt>
                <c:pt idx="812">
                  <c:v>1.312972618348817E-2</c:v>
                </c:pt>
                <c:pt idx="813">
                  <c:v>6.2625143782217086E-3</c:v>
                </c:pt>
                <c:pt idx="814">
                  <c:v>6.6299745977984144E-3</c:v>
                </c:pt>
                <c:pt idx="815">
                  <c:v>2.1365544274622645E-3</c:v>
                </c:pt>
                <c:pt idx="816">
                  <c:v>5.7161083458540781E-3</c:v>
                </c:pt>
                <c:pt idx="817">
                  <c:v>-1.9738269709058814E-2</c:v>
                </c:pt>
                <c:pt idx="818">
                  <c:v>-1.3775723055179573E-2</c:v>
                </c:pt>
                <c:pt idx="819">
                  <c:v>-1.443432468597557E-2</c:v>
                </c:pt>
                <c:pt idx="820">
                  <c:v>-2.3063514448639359E-2</c:v>
                </c:pt>
                <c:pt idx="821">
                  <c:v>1.4498341253474467E-2</c:v>
                </c:pt>
                <c:pt idx="822">
                  <c:v>1.9602817573599003E-2</c:v>
                </c:pt>
                <c:pt idx="823">
                  <c:v>1.1424608850171053E-2</c:v>
                </c:pt>
                <c:pt idx="824">
                  <c:v>-1.0010027167624964E-2</c:v>
                </c:pt>
                <c:pt idx="825">
                  <c:v>-8.8733064969917317E-3</c:v>
                </c:pt>
                <c:pt idx="826">
                  <c:v>-7.1709319591230988E-3</c:v>
                </c:pt>
                <c:pt idx="827">
                  <c:v>2.0225391267627943E-2</c:v>
                </c:pt>
                <c:pt idx="828">
                  <c:v>9.8906594922737543E-3</c:v>
                </c:pt>
                <c:pt idx="829">
                  <c:v>3.1259872774623144E-2</c:v>
                </c:pt>
                <c:pt idx="830">
                  <c:v>-1.6501622838974682E-2</c:v>
                </c:pt>
                <c:pt idx="831">
                  <c:v>-3.3843226724362763E-3</c:v>
                </c:pt>
                <c:pt idx="832">
                  <c:v>-2.1641986467422891E-2</c:v>
                </c:pt>
                <c:pt idx="833">
                  <c:v>-2.4400141600255561E-2</c:v>
                </c:pt>
                <c:pt idx="834">
                  <c:v>-2.1505756993796636E-3</c:v>
                </c:pt>
                <c:pt idx="835">
                  <c:v>-5.3215077605321508E-3</c:v>
                </c:pt>
                <c:pt idx="836">
                  <c:v>-8.4529647793134353E-3</c:v>
                </c:pt>
                <c:pt idx="837">
                  <c:v>-2.6474343986618996E-2</c:v>
                </c:pt>
                <c:pt idx="838">
                  <c:v>4.0643647582627529E-3</c:v>
                </c:pt>
                <c:pt idx="839">
                  <c:v>-4.4067048151759589E-3</c:v>
                </c:pt>
                <c:pt idx="840">
                  <c:v>1.6734584499949082E-2</c:v>
                </c:pt>
                <c:pt idx="841">
                  <c:v>1.0297191674997869E-2</c:v>
                </c:pt>
                <c:pt idx="842">
                  <c:v>-2.2534476399521584E-2</c:v>
                </c:pt>
                <c:pt idx="843">
                  <c:v>7.5742237110935397E-3</c:v>
                </c:pt>
                <c:pt idx="844">
                  <c:v>-9.9743334459859202E-3</c:v>
                </c:pt>
                <c:pt idx="845">
                  <c:v>2.76319552722138E-2</c:v>
                </c:pt>
                <c:pt idx="846">
                  <c:v>7.1823601235504762E-5</c:v>
                </c:pt>
                <c:pt idx="847">
                  <c:v>-8.2860528583740458E-3</c:v>
                </c:pt>
                <c:pt idx="848">
                  <c:v>-6.5810317826720454E-3</c:v>
                </c:pt>
                <c:pt idx="849">
                  <c:v>-2.5869767272329737E-2</c:v>
                </c:pt>
                <c:pt idx="850">
                  <c:v>2.3067640758444648E-2</c:v>
                </c:pt>
                <c:pt idx="851">
                  <c:v>3.798151212866531E-2</c:v>
                </c:pt>
                <c:pt idx="852">
                  <c:v>-2.9914642847704901E-2</c:v>
                </c:pt>
                <c:pt idx="853">
                  <c:v>-3.8501003386998732E-3</c:v>
                </c:pt>
                <c:pt idx="854">
                  <c:v>-1.349097107645204E-3</c:v>
                </c:pt>
                <c:pt idx="855">
                  <c:v>-9.8854456665601088E-3</c:v>
                </c:pt>
                <c:pt idx="856">
                  <c:v>2.2070211667527154E-2</c:v>
                </c:pt>
                <c:pt idx="857">
                  <c:v>2.2594844226363316E-2</c:v>
                </c:pt>
                <c:pt idx="858">
                  <c:v>-3.7311128948320275E-3</c:v>
                </c:pt>
                <c:pt idx="859">
                  <c:v>3.7132131600382527E-2</c:v>
                </c:pt>
                <c:pt idx="860">
                  <c:v>1.1695207525907795E-3</c:v>
                </c:pt>
                <c:pt idx="861">
                  <c:v>-3.6749972288303494E-3</c:v>
                </c:pt>
                <c:pt idx="862">
                  <c:v>5.5371080377927115E-3</c:v>
                </c:pt>
                <c:pt idx="863">
                  <c:v>-1.2562236690923009E-2</c:v>
                </c:pt>
                <c:pt idx="864">
                  <c:v>2.6219843301528063E-2</c:v>
                </c:pt>
                <c:pt idx="865">
                  <c:v>1.1473110422388593E-2</c:v>
                </c:pt>
                <c:pt idx="866">
                  <c:v>-5.6631818446029013E-3</c:v>
                </c:pt>
                <c:pt idx="867">
                  <c:v>-2.6806964800200729E-3</c:v>
                </c:pt>
                <c:pt idx="868">
                  <c:v>-1.541566184351561E-2</c:v>
                </c:pt>
                <c:pt idx="869">
                  <c:v>5.2303479244449379E-3</c:v>
                </c:pt>
                <c:pt idx="870">
                  <c:v>-2.2225418365792976E-2</c:v>
                </c:pt>
                <c:pt idx="871">
                  <c:v>6.4895172664422736E-4</c:v>
                </c:pt>
                <c:pt idx="872">
                  <c:v>-8.5260190581603577E-3</c:v>
                </c:pt>
                <c:pt idx="873">
                  <c:v>1.0596546310832105E-2</c:v>
                </c:pt>
                <c:pt idx="874">
                  <c:v>1.8985976267529667E-2</c:v>
                </c:pt>
                <c:pt idx="875">
                  <c:v>1.4473851365657351E-2</c:v>
                </c:pt>
                <c:pt idx="876">
                  <c:v>-1.5694917518198439E-3</c:v>
                </c:pt>
                <c:pt idx="877">
                  <c:v>-1.1915114217866818E-2</c:v>
                </c:pt>
                <c:pt idx="878">
                  <c:v>-4.6965837642060698E-3</c:v>
                </c:pt>
                <c:pt idx="879">
                  <c:v>3.0608080533252275E-4</c:v>
                </c:pt>
                <c:pt idx="880">
                  <c:v>9.2051133852377575E-3</c:v>
                </c:pt>
                <c:pt idx="881">
                  <c:v>-9.432770455215244E-3</c:v>
                </c:pt>
                <c:pt idx="882">
                  <c:v>-1.6460485482294031E-2</c:v>
                </c:pt>
                <c:pt idx="883">
                  <c:v>3.6480260029910592E-3</c:v>
                </c:pt>
                <c:pt idx="884">
                  <c:v>2.456481856314759E-2</c:v>
                </c:pt>
                <c:pt idx="885">
                  <c:v>3.3618319840609326E-2</c:v>
                </c:pt>
                <c:pt idx="886">
                  <c:v>1.4591059925824757E-2</c:v>
                </c:pt>
                <c:pt idx="887">
                  <c:v>-1.6874288554342386E-2</c:v>
                </c:pt>
                <c:pt idx="888">
                  <c:v>2.5440105674284959E-2</c:v>
                </c:pt>
                <c:pt idx="889">
                  <c:v>-1.4320814879016541E-2</c:v>
                </c:pt>
                <c:pt idx="890">
                  <c:v>-1.2996127783155778E-2</c:v>
                </c:pt>
                <c:pt idx="891">
                  <c:v>8.1406468381433738E-3</c:v>
                </c:pt>
                <c:pt idx="892">
                  <c:v>-2.3754509708541045E-2</c:v>
                </c:pt>
                <c:pt idx="893">
                  <c:v>1.4732383839222695E-2</c:v>
                </c:pt>
                <c:pt idx="894">
                  <c:v>-3.4372979564451195E-4</c:v>
                </c:pt>
                <c:pt idx="895">
                  <c:v>7.6301505562968684E-3</c:v>
                </c:pt>
                <c:pt idx="896">
                  <c:v>-1.3926014998496798E-2</c:v>
                </c:pt>
                <c:pt idx="897">
                  <c:v>1.5523421085156279E-2</c:v>
                </c:pt>
                <c:pt idx="898">
                  <c:v>9.6471370964471108E-3</c:v>
                </c:pt>
                <c:pt idx="899">
                  <c:v>-5.8181584403478107E-3</c:v>
                </c:pt>
                <c:pt idx="900">
                  <c:v>1.7273711948526352E-2</c:v>
                </c:pt>
                <c:pt idx="901">
                  <c:v>-4.6332567877887303E-2</c:v>
                </c:pt>
                <c:pt idx="902">
                  <c:v>6.9905015830693824E-3</c:v>
                </c:pt>
                <c:pt idx="903">
                  <c:v>-1.2990344120007086E-3</c:v>
                </c:pt>
                <c:pt idx="904">
                  <c:v>-1.342976918360925E-2</c:v>
                </c:pt>
                <c:pt idx="905">
                  <c:v>3.7201568680142625E-3</c:v>
                </c:pt>
                <c:pt idx="906">
                  <c:v>9.4123355978715569E-3</c:v>
                </c:pt>
                <c:pt idx="907">
                  <c:v>-1.2407893973427071E-2</c:v>
                </c:pt>
                <c:pt idx="908">
                  <c:v>-1.5106754397743677E-3</c:v>
                </c:pt>
                <c:pt idx="909">
                  <c:v>-1.3448542514211902E-4</c:v>
                </c:pt>
                <c:pt idx="910">
                  <c:v>7.5237903090218617E-3</c:v>
                </c:pt>
                <c:pt idx="911">
                  <c:v>2.223594296251186E-2</c:v>
                </c:pt>
                <c:pt idx="912">
                  <c:v>-7.5908452773516778E-3</c:v>
                </c:pt>
                <c:pt idx="913">
                  <c:v>2.3826756369976831E-2</c:v>
                </c:pt>
                <c:pt idx="914">
                  <c:v>-2.2412698922744362E-2</c:v>
                </c:pt>
                <c:pt idx="915">
                  <c:v>5.9000928566144608E-3</c:v>
                </c:pt>
                <c:pt idx="916">
                  <c:v>-2.9735889748470207E-2</c:v>
                </c:pt>
                <c:pt idx="917">
                  <c:v>1.8607235773042546E-3</c:v>
                </c:pt>
                <c:pt idx="918">
                  <c:v>1.3337031060911565E-2</c:v>
                </c:pt>
                <c:pt idx="919">
                  <c:v>3.6274973254049221E-2</c:v>
                </c:pt>
                <c:pt idx="920">
                  <c:v>1.4645506710522574E-3</c:v>
                </c:pt>
                <c:pt idx="921">
                  <c:v>-1.2602288709883632E-2</c:v>
                </c:pt>
                <c:pt idx="922">
                  <c:v>1.8703615276912347E-2</c:v>
                </c:pt>
                <c:pt idx="923">
                  <c:v>1.3188210057995188E-3</c:v>
                </c:pt>
                <c:pt idx="924">
                  <c:v>2.3326668570884945E-3</c:v>
                </c:pt>
                <c:pt idx="925">
                  <c:v>1.676561386843985E-2</c:v>
                </c:pt>
                <c:pt idx="926">
                  <c:v>1.9875747384155436E-2</c:v>
                </c:pt>
                <c:pt idx="927">
                  <c:v>-2.9961603346539339E-2</c:v>
                </c:pt>
                <c:pt idx="928">
                  <c:v>1.5030375523309529E-3</c:v>
                </c:pt>
                <c:pt idx="929">
                  <c:v>3.0644236133473143E-4</c:v>
                </c:pt>
                <c:pt idx="930">
                  <c:v>-1.8263082651249745E-2</c:v>
                </c:pt>
                <c:pt idx="931">
                  <c:v>-2.8052263944119464E-2</c:v>
                </c:pt>
                <c:pt idx="932">
                  <c:v>-5.8448240378681734E-4</c:v>
                </c:pt>
                <c:pt idx="933">
                  <c:v>-7.5862409805278544E-3</c:v>
                </c:pt>
                <c:pt idx="934">
                  <c:v>-1.2184291559804982E-2</c:v>
                </c:pt>
                <c:pt idx="935">
                  <c:v>-1.8232995840861005E-3</c:v>
                </c:pt>
                <c:pt idx="936">
                  <c:v>-5.5977373356454578E-3</c:v>
                </c:pt>
                <c:pt idx="937">
                  <c:v>9.0575876342780068E-4</c:v>
                </c:pt>
                <c:pt idx="938">
                  <c:v>2.8408322056833489E-2</c:v>
                </c:pt>
                <c:pt idx="939">
                  <c:v>5.7566262880398965E-5</c:v>
                </c:pt>
                <c:pt idx="940">
                  <c:v>3.3764781343025796E-2</c:v>
                </c:pt>
                <c:pt idx="941">
                  <c:v>2.2535637011582153E-2</c:v>
                </c:pt>
                <c:pt idx="942">
                  <c:v>1.7666964876113449E-2</c:v>
                </c:pt>
                <c:pt idx="943">
                  <c:v>-1.2253852739726005E-2</c:v>
                </c:pt>
                <c:pt idx="944">
                  <c:v>-4.5815823485253595E-3</c:v>
                </c:pt>
                <c:pt idx="945">
                  <c:v>-1.5627308137862509E-2</c:v>
                </c:pt>
                <c:pt idx="946">
                  <c:v>7.9298007282149197E-3</c:v>
                </c:pt>
                <c:pt idx="947">
                  <c:v>-5.8770520706813456E-4</c:v>
                </c:pt>
                <c:pt idx="948">
                  <c:v>8.3895248549473236E-3</c:v>
                </c:pt>
                <c:pt idx="949">
                  <c:v>5.9248891999067873E-3</c:v>
                </c:pt>
                <c:pt idx="950">
                  <c:v>3.5556380051324156E-3</c:v>
                </c:pt>
                <c:pt idx="951">
                  <c:v>-5.6996734241172159E-3</c:v>
                </c:pt>
                <c:pt idx="952">
                  <c:v>-1.6561831871843419E-2</c:v>
                </c:pt>
                <c:pt idx="953">
                  <c:v>-7.1994580714273464E-3</c:v>
                </c:pt>
                <c:pt idx="954">
                  <c:v>1.3233894001904027E-2</c:v>
                </c:pt>
                <c:pt idx="955">
                  <c:v>-2.2942963635792877E-3</c:v>
                </c:pt>
                <c:pt idx="956">
                  <c:v>-4.6305380057304514E-4</c:v>
                </c:pt>
                <c:pt idx="957">
                  <c:v>1.5900310939413926E-2</c:v>
                </c:pt>
                <c:pt idx="958">
                  <c:v>9.1976410755830393E-3</c:v>
                </c:pt>
                <c:pt idx="959">
                  <c:v>-2.5419120631687015E-2</c:v>
                </c:pt>
                <c:pt idx="960">
                  <c:v>-8.2513437902740586E-4</c:v>
                </c:pt>
                <c:pt idx="961">
                  <c:v>-1.4770305237245056E-2</c:v>
                </c:pt>
                <c:pt idx="962">
                  <c:v>-3.5922694361737177E-4</c:v>
                </c:pt>
                <c:pt idx="963">
                  <c:v>7.4825911965756492E-3</c:v>
                </c:pt>
                <c:pt idx="964">
                  <c:v>9.5750667797498083E-3</c:v>
                </c:pt>
                <c:pt idx="965">
                  <c:v>2.9944491987846236E-2</c:v>
                </c:pt>
                <c:pt idx="966">
                  <c:v>-8.240397002660365E-3</c:v>
                </c:pt>
                <c:pt idx="967">
                  <c:v>-4.6040798757897719E-3</c:v>
                </c:pt>
                <c:pt idx="968">
                  <c:v>1.0717898427063549E-2</c:v>
                </c:pt>
                <c:pt idx="969">
                  <c:v>1.7564232834954282E-2</c:v>
                </c:pt>
                <c:pt idx="970">
                  <c:v>-1.759891883775062E-2</c:v>
                </c:pt>
                <c:pt idx="971">
                  <c:v>1.2709597542148695E-2</c:v>
                </c:pt>
                <c:pt idx="972">
                  <c:v>1.233123787818197E-2</c:v>
                </c:pt>
                <c:pt idx="973">
                  <c:v>-2.0575057960534587E-3</c:v>
                </c:pt>
                <c:pt idx="974">
                  <c:v>-4.3625389379011595E-3</c:v>
                </c:pt>
                <c:pt idx="975">
                  <c:v>1.3520103839199285E-2</c:v>
                </c:pt>
                <c:pt idx="976">
                  <c:v>8.1282155679757336E-3</c:v>
                </c:pt>
                <c:pt idx="977">
                  <c:v>7.6661551001226697E-3</c:v>
                </c:pt>
                <c:pt idx="978">
                  <c:v>-1.2315360679749678E-2</c:v>
                </c:pt>
                <c:pt idx="979">
                  <c:v>-2.9785224698790656E-2</c:v>
                </c:pt>
                <c:pt idx="980">
                  <c:v>-1.0570342205323954E-3</c:v>
                </c:pt>
                <c:pt idx="981">
                  <c:v>-4.1869352395307591E-3</c:v>
                </c:pt>
                <c:pt idx="982">
                  <c:v>8.676640343702087E-3</c:v>
                </c:pt>
                <c:pt idx="983">
                  <c:v>-1.2891637488063292E-2</c:v>
                </c:pt>
                <c:pt idx="984">
                  <c:v>1.1785481208491618E-2</c:v>
                </c:pt>
                <c:pt idx="985">
                  <c:v>7.8236454697222235E-3</c:v>
                </c:pt>
                <c:pt idx="986">
                  <c:v>-1.2461317210170811E-2</c:v>
                </c:pt>
                <c:pt idx="987">
                  <c:v>1.7269511116533055E-2</c:v>
                </c:pt>
                <c:pt idx="988">
                  <c:v>-5.4564124088411665E-3</c:v>
                </c:pt>
                <c:pt idx="989">
                  <c:v>-1.1688634667993029E-2</c:v>
                </c:pt>
                <c:pt idx="990">
                  <c:v>5.0174619877689274E-3</c:v>
                </c:pt>
                <c:pt idx="991">
                  <c:v>3.3383915022765898E-4</c:v>
                </c:pt>
                <c:pt idx="992">
                  <c:v>-1.5366645429446914E-2</c:v>
                </c:pt>
                <c:pt idx="993">
                  <c:v>1.1531528755642536E-2</c:v>
                </c:pt>
                <c:pt idx="994">
                  <c:v>4.3407074591625958E-4</c:v>
                </c:pt>
                <c:pt idx="995">
                  <c:v>-1.277288920013395E-2</c:v>
                </c:pt>
                <c:pt idx="996">
                  <c:v>-3.03406479867998E-2</c:v>
                </c:pt>
                <c:pt idx="997">
                  <c:v>8.1107515167900875E-3</c:v>
                </c:pt>
                <c:pt idx="998">
                  <c:v>2.342659273223505E-3</c:v>
                </c:pt>
                <c:pt idx="999">
                  <c:v>2.6991721489502845E-3</c:v>
                </c:pt>
                <c:pt idx="1000">
                  <c:v>2.4886398417818405E-2</c:v>
                </c:pt>
                <c:pt idx="1001">
                  <c:v>-4.3341756642928352E-2</c:v>
                </c:pt>
                <c:pt idx="1002">
                  <c:v>2.2988873769310837E-2</c:v>
                </c:pt>
                <c:pt idx="1003">
                  <c:v>2.4647501604043755E-2</c:v>
                </c:pt>
                <c:pt idx="1004">
                  <c:v>-1.6693139470951111E-2</c:v>
                </c:pt>
                <c:pt idx="1005">
                  <c:v>1.849090598449897E-2</c:v>
                </c:pt>
                <c:pt idx="1006">
                  <c:v>-1.3725056615858541E-2</c:v>
                </c:pt>
                <c:pt idx="1007">
                  <c:v>-1.7789357310181133E-2</c:v>
                </c:pt>
                <c:pt idx="1008">
                  <c:v>-1.1964170457944223E-3</c:v>
                </c:pt>
                <c:pt idx="1009">
                  <c:v>3.2830551483915595E-2</c:v>
                </c:pt>
                <c:pt idx="1010">
                  <c:v>6.9739050816420732E-3</c:v>
                </c:pt>
                <c:pt idx="1011">
                  <c:v>1.4775637625593263E-3</c:v>
                </c:pt>
                <c:pt idx="1012">
                  <c:v>1.6214089536880687E-2</c:v>
                </c:pt>
                <c:pt idx="1013">
                  <c:v>-1.0378819465125847E-2</c:v>
                </c:pt>
                <c:pt idx="1014">
                  <c:v>2.7009133450698823E-2</c:v>
                </c:pt>
                <c:pt idx="1015">
                  <c:v>2.8298707768042979E-2</c:v>
                </c:pt>
                <c:pt idx="1016">
                  <c:v>8.1640794751052827E-3</c:v>
                </c:pt>
                <c:pt idx="1017">
                  <c:v>-1.3312888204244115E-2</c:v>
                </c:pt>
                <c:pt idx="1018">
                  <c:v>1.9508282426074074E-2</c:v>
                </c:pt>
                <c:pt idx="1019">
                  <c:v>5.7882647147664036E-3</c:v>
                </c:pt>
                <c:pt idx="1020">
                  <c:v>1.1949909555038817E-2</c:v>
                </c:pt>
                <c:pt idx="1021">
                  <c:v>2.0642961654197507E-2</c:v>
                </c:pt>
                <c:pt idx="1022">
                  <c:v>8.2970997342493615E-3</c:v>
                </c:pt>
                <c:pt idx="1023">
                  <c:v>-1.532425725974107E-2</c:v>
                </c:pt>
                <c:pt idx="1024">
                  <c:v>2.6882342925251167E-2</c:v>
                </c:pt>
                <c:pt idx="1025">
                  <c:v>5.5182659910327754E-3</c:v>
                </c:pt>
                <c:pt idx="1026">
                  <c:v>6.3124983509669514E-3</c:v>
                </c:pt>
                <c:pt idx="1027">
                  <c:v>1.1444602486874128E-2</c:v>
                </c:pt>
                <c:pt idx="1028">
                  <c:v>6.0917521564155166E-3</c:v>
                </c:pt>
                <c:pt idx="1029">
                  <c:v>1.379092671678041E-2</c:v>
                </c:pt>
                <c:pt idx="1030">
                  <c:v>4.0790911632397923E-3</c:v>
                </c:pt>
                <c:pt idx="1031">
                  <c:v>-2.5374928810985198E-3</c:v>
                </c:pt>
                <c:pt idx="1032">
                  <c:v>-9.1099987946379798E-3</c:v>
                </c:pt>
                <c:pt idx="1033">
                  <c:v>-8.4254736127739923E-3</c:v>
                </c:pt>
                <c:pt idx="1034">
                  <c:v>-4.4874319621377255E-3</c:v>
                </c:pt>
                <c:pt idx="1035">
                  <c:v>1.8050096639037082E-2</c:v>
                </c:pt>
                <c:pt idx="1036">
                  <c:v>-5.3515114834517827E-3</c:v>
                </c:pt>
                <c:pt idx="1037">
                  <c:v>-1.3578863090471678E-3</c:v>
                </c:pt>
                <c:pt idx="1038">
                  <c:v>-1.1929730041754872E-3</c:v>
                </c:pt>
                <c:pt idx="1039">
                  <c:v>1.0017530678687644E-2</c:v>
                </c:pt>
                <c:pt idx="1040">
                  <c:v>1.2041681766452443E-2</c:v>
                </c:pt>
                <c:pt idx="1041">
                  <c:v>3.5418799982410029E-2</c:v>
                </c:pt>
                <c:pt idx="1042">
                  <c:v>-2.3977818091360813E-2</c:v>
                </c:pt>
                <c:pt idx="1043">
                  <c:v>-3.4251897530257857E-3</c:v>
                </c:pt>
                <c:pt idx="1044">
                  <c:v>1.0703859876743341E-2</c:v>
                </c:pt>
                <c:pt idx="1045">
                  <c:v>-2.9130048385504127E-2</c:v>
                </c:pt>
                <c:pt idx="1046">
                  <c:v>3.1313567941415925E-2</c:v>
                </c:pt>
                <c:pt idx="1047">
                  <c:v>-1.4546530405947602E-3</c:v>
                </c:pt>
                <c:pt idx="1048">
                  <c:v>-1.3407241885902661E-2</c:v>
                </c:pt>
                <c:pt idx="1049">
                  <c:v>1.7718826252893661E-2</c:v>
                </c:pt>
                <c:pt idx="1050">
                  <c:v>-3.8177324759316809E-2</c:v>
                </c:pt>
                <c:pt idx="1051">
                  <c:v>4.3399892618822154E-3</c:v>
                </c:pt>
                <c:pt idx="1052">
                  <c:v>-1.6896729480497138E-2</c:v>
                </c:pt>
                <c:pt idx="1053">
                  <c:v>3.366218700639464E-4</c:v>
                </c:pt>
                <c:pt idx="1054">
                  <c:v>7.1896355353075992E-3</c:v>
                </c:pt>
                <c:pt idx="1055">
                  <c:v>1.4578608189463969E-2</c:v>
                </c:pt>
                <c:pt idx="1056">
                  <c:v>7.8463409073638458E-3</c:v>
                </c:pt>
                <c:pt idx="1057">
                  <c:v>3.7399385473807223E-2</c:v>
                </c:pt>
                <c:pt idx="1058">
                  <c:v>1.6838381819393048E-3</c:v>
                </c:pt>
                <c:pt idx="1059">
                  <c:v>-5.4360642652847794E-3</c:v>
                </c:pt>
                <c:pt idx="1060">
                  <c:v>2.2227896739989511E-2</c:v>
                </c:pt>
                <c:pt idx="1061">
                  <c:v>-5.5907787835882529E-4</c:v>
                </c:pt>
                <c:pt idx="1062">
                  <c:v>7.9742918352772325E-3</c:v>
                </c:pt>
                <c:pt idx="1063">
                  <c:v>-6.8857007911205512E-2</c:v>
                </c:pt>
                <c:pt idx="1064">
                  <c:v>8.5913376490802853E-3</c:v>
                </c:pt>
                <c:pt idx="1065">
                  <c:v>-7.2294306980492538E-4</c:v>
                </c:pt>
                <c:pt idx="1066">
                  <c:v>-7.0773857080845765E-3</c:v>
                </c:pt>
                <c:pt idx="1067">
                  <c:v>-1.0980029398347564E-2</c:v>
                </c:pt>
                <c:pt idx="1068">
                  <c:v>1.6527972632752262E-2</c:v>
                </c:pt>
                <c:pt idx="1069">
                  <c:v>-3.5417415032865121E-2</c:v>
                </c:pt>
                <c:pt idx="1070">
                  <c:v>5.6141749260089288E-2</c:v>
                </c:pt>
                <c:pt idx="1071">
                  <c:v>2.0952416301685175E-2</c:v>
                </c:pt>
                <c:pt idx="1072">
                  <c:v>7.1134701494798254E-3</c:v>
                </c:pt>
                <c:pt idx="1073">
                  <c:v>3.4118871568409093E-2</c:v>
                </c:pt>
                <c:pt idx="1074">
                  <c:v>5.4397151567336906E-3</c:v>
                </c:pt>
                <c:pt idx="1075">
                  <c:v>-1.518930210219941E-2</c:v>
                </c:pt>
                <c:pt idx="1076">
                  <c:v>1.8708062563897621E-2</c:v>
                </c:pt>
                <c:pt idx="1077">
                  <c:v>-2.8261947882661006E-2</c:v>
                </c:pt>
                <c:pt idx="1078">
                  <c:v>1.1182468927693775E-2</c:v>
                </c:pt>
                <c:pt idx="1079">
                  <c:v>2.1724328195254938E-2</c:v>
                </c:pt>
                <c:pt idx="1080">
                  <c:v>1.0030850898812388E-2</c:v>
                </c:pt>
                <c:pt idx="1081">
                  <c:v>-2.4998720202037337E-2</c:v>
                </c:pt>
                <c:pt idx="1082">
                  <c:v>4.2120246887650944E-3</c:v>
                </c:pt>
                <c:pt idx="1083">
                  <c:v>-1.5743365710832187E-3</c:v>
                </c:pt>
                <c:pt idx="1084">
                  <c:v>-1.2498181712390548E-2</c:v>
                </c:pt>
                <c:pt idx="1085">
                  <c:v>-4.0184542503108142E-2</c:v>
                </c:pt>
                <c:pt idx="1086">
                  <c:v>-2.0313449603123396E-2</c:v>
                </c:pt>
                <c:pt idx="1087">
                  <c:v>-8.2399679173873284E-3</c:v>
                </c:pt>
                <c:pt idx="1088">
                  <c:v>2.0452003816190941E-2</c:v>
                </c:pt>
                <c:pt idx="1089">
                  <c:v>4.9154851092811654E-2</c:v>
                </c:pt>
                <c:pt idx="1090">
                  <c:v>1.5709741574160892E-2</c:v>
                </c:pt>
                <c:pt idx="1091">
                  <c:v>-1.3311177089203976E-2</c:v>
                </c:pt>
                <c:pt idx="1092">
                  <c:v>-6.83076198327649E-3</c:v>
                </c:pt>
                <c:pt idx="1093">
                  <c:v>1.9684572512747568E-2</c:v>
                </c:pt>
                <c:pt idx="1094">
                  <c:v>1.1419932550296604E-2</c:v>
                </c:pt>
                <c:pt idx="1095">
                  <c:v>7.4909166168421861E-3</c:v>
                </c:pt>
                <c:pt idx="1096">
                  <c:v>4.7932346916066257E-3</c:v>
                </c:pt>
                <c:pt idx="1097">
                  <c:v>2.1750611913429262E-2</c:v>
                </c:pt>
                <c:pt idx="1098">
                  <c:v>4.0035127308703441E-2</c:v>
                </c:pt>
                <c:pt idx="1099">
                  <c:v>7.6421547669947823E-4</c:v>
                </c:pt>
                <c:pt idx="1100">
                  <c:v>3.3962929142435502E-3</c:v>
                </c:pt>
                <c:pt idx="1101">
                  <c:v>9.4891404424717139E-3</c:v>
                </c:pt>
                <c:pt idx="1102">
                  <c:v>-7.5547495281576152E-3</c:v>
                </c:pt>
                <c:pt idx="1103">
                  <c:v>-3.8077227501872556E-2</c:v>
                </c:pt>
                <c:pt idx="1104">
                  <c:v>9.2997056565847034E-3</c:v>
                </c:pt>
                <c:pt idx="1105">
                  <c:v>-1.2343720077695495E-2</c:v>
                </c:pt>
                <c:pt idx="1106">
                  <c:v>2.3821526904475677E-2</c:v>
                </c:pt>
                <c:pt idx="1107">
                  <c:v>3.8093382898020073E-3</c:v>
                </c:pt>
                <c:pt idx="1108">
                  <c:v>2.7006193636025456E-2</c:v>
                </c:pt>
                <c:pt idx="1109">
                  <c:v>-1.4528429638416392E-2</c:v>
                </c:pt>
                <c:pt idx="1110">
                  <c:v>2.0548054645681955E-2</c:v>
                </c:pt>
                <c:pt idx="1111">
                  <c:v>-2.8181803948583863E-2</c:v>
                </c:pt>
                <c:pt idx="1112">
                  <c:v>1.7130919967993569E-2</c:v>
                </c:pt>
                <c:pt idx="1113">
                  <c:v>-3.590228243480808E-3</c:v>
                </c:pt>
                <c:pt idx="1114">
                  <c:v>1.713092733795029E-2</c:v>
                </c:pt>
                <c:pt idx="1115">
                  <c:v>-5.7200608472775111E-3</c:v>
                </c:pt>
                <c:pt idx="1116">
                  <c:v>1.2632428297477773E-2</c:v>
                </c:pt>
                <c:pt idx="1117">
                  <c:v>9.4583197512275487E-3</c:v>
                </c:pt>
                <c:pt idx="1118">
                  <c:v>7.3553155609773135E-3</c:v>
                </c:pt>
                <c:pt idx="1119">
                  <c:v>8.4057558056703143E-3</c:v>
                </c:pt>
                <c:pt idx="1120">
                  <c:v>3.0234529528115325E-2</c:v>
                </c:pt>
                <c:pt idx="1121">
                  <c:v>-9.3056970456860746E-3</c:v>
                </c:pt>
                <c:pt idx="1122">
                  <c:v>2.5346556190551626E-2</c:v>
                </c:pt>
                <c:pt idx="1123">
                  <c:v>-5.6508343659446847E-3</c:v>
                </c:pt>
                <c:pt idx="1124">
                  <c:v>2.188807696224131E-2</c:v>
                </c:pt>
                <c:pt idx="1125">
                  <c:v>4.1861016868727736E-2</c:v>
                </c:pt>
                <c:pt idx="1126">
                  <c:v>-1.3485633086939352E-2</c:v>
                </c:pt>
                <c:pt idx="1127">
                  <c:v>-3.7432019426977985E-2</c:v>
                </c:pt>
                <c:pt idx="1128">
                  <c:v>3.4820477894271233E-3</c:v>
                </c:pt>
                <c:pt idx="1129">
                  <c:v>-1.1604787213703852E-2</c:v>
                </c:pt>
                <c:pt idx="1130">
                  <c:v>-8.6897232054779852E-3</c:v>
                </c:pt>
                <c:pt idx="1131">
                  <c:v>-5.2146595837052031E-3</c:v>
                </c:pt>
                <c:pt idx="1132">
                  <c:v>-8.8216544892855443E-3</c:v>
                </c:pt>
                <c:pt idx="1133">
                  <c:v>2.5839678228475601E-2</c:v>
                </c:pt>
                <c:pt idx="1134">
                  <c:v>2.0443299864000633E-2</c:v>
                </c:pt>
                <c:pt idx="1135">
                  <c:v>2.1040393585799146E-2</c:v>
                </c:pt>
                <c:pt idx="1136">
                  <c:v>4.1375639334398084E-2</c:v>
                </c:pt>
                <c:pt idx="1137">
                  <c:v>-1.2996479749671191E-2</c:v>
                </c:pt>
                <c:pt idx="1138">
                  <c:v>-4.3447716833288311E-2</c:v>
                </c:pt>
                <c:pt idx="1139">
                  <c:v>3.6287968664670517E-2</c:v>
                </c:pt>
                <c:pt idx="1140">
                  <c:v>5.0154461202980031E-3</c:v>
                </c:pt>
                <c:pt idx="1141">
                  <c:v>-3.8874624814652691E-4</c:v>
                </c:pt>
                <c:pt idx="1142">
                  <c:v>-3.1202235708019426E-2</c:v>
                </c:pt>
                <c:pt idx="1143">
                  <c:v>-2.3249843631848666E-2</c:v>
                </c:pt>
                <c:pt idx="1144">
                  <c:v>1.280243910597971E-2</c:v>
                </c:pt>
                <c:pt idx="1145">
                  <c:v>-1.9298278725653714E-3</c:v>
                </c:pt>
                <c:pt idx="1146">
                  <c:v>-3.7380570801836141E-2</c:v>
                </c:pt>
                <c:pt idx="1147">
                  <c:v>-1.5990570670857452E-2</c:v>
                </c:pt>
                <c:pt idx="1148">
                  <c:v>1.910023756762691E-2</c:v>
                </c:pt>
                <c:pt idx="1149">
                  <c:v>2.3149893971820379E-2</c:v>
                </c:pt>
                <c:pt idx="1150">
                  <c:v>4.3701356513082216E-3</c:v>
                </c:pt>
                <c:pt idx="1151">
                  <c:v>5.0583564868870605E-2</c:v>
                </c:pt>
                <c:pt idx="1152">
                  <c:v>1.8703077865227163E-2</c:v>
                </c:pt>
                <c:pt idx="1153">
                  <c:v>3.2524669587830846E-2</c:v>
                </c:pt>
                <c:pt idx="1154">
                  <c:v>2.4112441346950175E-2</c:v>
                </c:pt>
                <c:pt idx="1155">
                  <c:v>1.5257113739824737E-2</c:v>
                </c:pt>
                <c:pt idx="1156">
                  <c:v>-2.3024978638328322E-2</c:v>
                </c:pt>
                <c:pt idx="1157">
                  <c:v>-2.7630713057507347E-2</c:v>
                </c:pt>
                <c:pt idx="1158">
                  <c:v>-1.2483244333637582E-2</c:v>
                </c:pt>
                <c:pt idx="1159">
                  <c:v>5.1510381663188833E-3</c:v>
                </c:pt>
                <c:pt idx="1160">
                  <c:v>6.1583668011247418E-4</c:v>
                </c:pt>
                <c:pt idx="1161">
                  <c:v>7.2052507330539767E-3</c:v>
                </c:pt>
                <c:pt idx="1162">
                  <c:v>2.4005726456937304E-4</c:v>
                </c:pt>
                <c:pt idx="1163">
                  <c:v>9.0239868742008379E-3</c:v>
                </c:pt>
                <c:pt idx="1164">
                  <c:v>1.8011979155404714E-2</c:v>
                </c:pt>
                <c:pt idx="1165">
                  <c:v>7.3916737468130063E-4</c:v>
                </c:pt>
                <c:pt idx="1166">
                  <c:v>-4.4869128172038125E-3</c:v>
                </c:pt>
                <c:pt idx="1167">
                  <c:v>-4.5638482498070586E-2</c:v>
                </c:pt>
                <c:pt idx="1168">
                  <c:v>1.5977552789369843E-2</c:v>
                </c:pt>
                <c:pt idx="1169">
                  <c:v>-1.3043669466555392E-2</c:v>
                </c:pt>
                <c:pt idx="1170">
                  <c:v>-1.5439525184472088E-2</c:v>
                </c:pt>
                <c:pt idx="1171">
                  <c:v>1.5898877167257117E-2</c:v>
                </c:pt>
                <c:pt idx="1172">
                  <c:v>1.679496774653421E-2</c:v>
                </c:pt>
                <c:pt idx="1173">
                  <c:v>1.2587516758528237E-2</c:v>
                </c:pt>
                <c:pt idx="1174">
                  <c:v>1.7406918633580692E-2</c:v>
                </c:pt>
                <c:pt idx="1175">
                  <c:v>-1.870391004431441E-2</c:v>
                </c:pt>
                <c:pt idx="1176">
                  <c:v>-3.4454364219468981E-3</c:v>
                </c:pt>
                <c:pt idx="1177">
                  <c:v>-9.1065254734826167E-3</c:v>
                </c:pt>
                <c:pt idx="1178">
                  <c:v>3.1103659847882995E-2</c:v>
                </c:pt>
                <c:pt idx="1179">
                  <c:v>1.5833964705581821E-2</c:v>
                </c:pt>
                <c:pt idx="1180">
                  <c:v>-3.7082352152452082E-3</c:v>
                </c:pt>
                <c:pt idx="1181">
                  <c:v>1.5439095271540517E-2</c:v>
                </c:pt>
                <c:pt idx="1182">
                  <c:v>7.2024983018836135E-3</c:v>
                </c:pt>
                <c:pt idx="1183">
                  <c:v>-1.4762545079220774E-3</c:v>
                </c:pt>
                <c:pt idx="1184">
                  <c:v>8.8294402530227894E-3</c:v>
                </c:pt>
                <c:pt idx="1185">
                  <c:v>1.5597955651350396E-2</c:v>
                </c:pt>
                <c:pt idx="1186">
                  <c:v>-1.9092483992459474E-3</c:v>
                </c:pt>
                <c:pt idx="1187">
                  <c:v>-2.1464758330178618E-2</c:v>
                </c:pt>
                <c:pt idx="1188">
                  <c:v>6.8523030322982731E-3</c:v>
                </c:pt>
                <c:pt idx="1189">
                  <c:v>-4.0629636744885945E-3</c:v>
                </c:pt>
                <c:pt idx="1190">
                  <c:v>-1.9605589870924044E-2</c:v>
                </c:pt>
                <c:pt idx="1191">
                  <c:v>-1.2956404524485415E-2</c:v>
                </c:pt>
                <c:pt idx="1192">
                  <c:v>-3.8043455210934633E-3</c:v>
                </c:pt>
                <c:pt idx="1193">
                  <c:v>1.0728608771914808E-3</c:v>
                </c:pt>
                <c:pt idx="1194">
                  <c:v>1.0504469715656261E-2</c:v>
                </c:pt>
                <c:pt idx="1195">
                  <c:v>-3.1522507659673842E-3</c:v>
                </c:pt>
                <c:pt idx="1196">
                  <c:v>8.5282805382104199E-3</c:v>
                </c:pt>
                <c:pt idx="1197">
                  <c:v>-5.9904805361710098E-3</c:v>
                </c:pt>
                <c:pt idx="1198">
                  <c:v>1.0221185270038064E-2</c:v>
                </c:pt>
                <c:pt idx="1199">
                  <c:v>7.7040125065138167E-3</c:v>
                </c:pt>
                <c:pt idx="1200">
                  <c:v>1.0636141368425858E-2</c:v>
                </c:pt>
                <c:pt idx="1201">
                  <c:v>2.5944149262773587E-2</c:v>
                </c:pt>
                <c:pt idx="1202">
                  <c:v>-4.3928947620416455E-3</c:v>
                </c:pt>
                <c:pt idx="1203">
                  <c:v>-2.7507604265602219E-2</c:v>
                </c:pt>
                <c:pt idx="1204">
                  <c:v>-7.7884508400395301E-4</c:v>
                </c:pt>
                <c:pt idx="1205">
                  <c:v>1.4871452255462327E-2</c:v>
                </c:pt>
                <c:pt idx="1206">
                  <c:v>1.0362315306967243E-3</c:v>
                </c:pt>
                <c:pt idx="1207">
                  <c:v>6.2068937521058236E-3</c:v>
                </c:pt>
                <c:pt idx="1208">
                  <c:v>-2.9790049542498302E-2</c:v>
                </c:pt>
                <c:pt idx="1209">
                  <c:v>-1.4117363317310203E-2</c:v>
                </c:pt>
                <c:pt idx="1210">
                  <c:v>1.0097473944383779E-2</c:v>
                </c:pt>
                <c:pt idx="1211">
                  <c:v>1.4314168437843271E-2</c:v>
                </c:pt>
                <c:pt idx="1212">
                  <c:v>-1.2642490459468709E-2</c:v>
                </c:pt>
                <c:pt idx="1213">
                  <c:v>7.0672114743161344E-3</c:v>
                </c:pt>
                <c:pt idx="1214">
                  <c:v>-1.194443869418507E-2</c:v>
                </c:pt>
                <c:pt idx="1215">
                  <c:v>-1.9731824848103978E-2</c:v>
                </c:pt>
                <c:pt idx="1216">
                  <c:v>1.8466194467836609E-3</c:v>
                </c:pt>
                <c:pt idx="1217">
                  <c:v>4.4245710896732519E-3</c:v>
                </c:pt>
                <c:pt idx="1218">
                  <c:v>7.586763518966963E-3</c:v>
                </c:pt>
                <c:pt idx="1219">
                  <c:v>1.3469873016408293E-2</c:v>
                </c:pt>
                <c:pt idx="1220">
                  <c:v>3.0179998419242061E-2</c:v>
                </c:pt>
                <c:pt idx="1221">
                  <c:v>1.7327152467635193E-2</c:v>
                </c:pt>
                <c:pt idx="1222">
                  <c:v>-5.7673148445840615E-3</c:v>
                </c:pt>
                <c:pt idx="1223">
                  <c:v>1.7166765142683765E-2</c:v>
                </c:pt>
                <c:pt idx="1224">
                  <c:v>-2.5288087164029253E-2</c:v>
                </c:pt>
                <c:pt idx="1225">
                  <c:v>2.3717388590689123E-3</c:v>
                </c:pt>
                <c:pt idx="1226">
                  <c:v>1.9178082191780733E-2</c:v>
                </c:pt>
                <c:pt idx="1227">
                  <c:v>1.2573707943114847E-2</c:v>
                </c:pt>
                <c:pt idx="1228">
                  <c:v>1.5204714785086434E-2</c:v>
                </c:pt>
                <c:pt idx="1229">
                  <c:v>3.4282975460122642E-2</c:v>
                </c:pt>
                <c:pt idx="1230">
                  <c:v>-1.2467515134888524E-2</c:v>
                </c:pt>
                <c:pt idx="1231">
                  <c:v>1.4610816208545607E-2</c:v>
                </c:pt>
                <c:pt idx="1232">
                  <c:v>-1.0508010508009365E-3</c:v>
                </c:pt>
                <c:pt idx="1233">
                  <c:v>2.0256605898083625E-2</c:v>
                </c:pt>
                <c:pt idx="1234">
                  <c:v>2.6719427855728421E-3</c:v>
                </c:pt>
                <c:pt idx="1235">
                  <c:v>1.4388593400943636E-2</c:v>
                </c:pt>
                <c:pt idx="1236">
                  <c:v>2.7876429960915855E-2</c:v>
                </c:pt>
                <c:pt idx="1237">
                  <c:v>1.1723239864571654E-2</c:v>
                </c:pt>
                <c:pt idx="1238">
                  <c:v>-3.1027866731195078E-3</c:v>
                </c:pt>
                <c:pt idx="1239">
                  <c:v>-5.8909198580118487E-3</c:v>
                </c:pt>
                <c:pt idx="1240">
                  <c:v>-1.1647317965200082E-2</c:v>
                </c:pt>
                <c:pt idx="1241">
                  <c:v>1.8905082120592984E-2</c:v>
                </c:pt>
                <c:pt idx="1242">
                  <c:v>2.3744015847686116E-2</c:v>
                </c:pt>
                <c:pt idx="1243">
                  <c:v>-3.7154989384288566E-3</c:v>
                </c:pt>
                <c:pt idx="1244">
                  <c:v>-3.1318492342345267E-2</c:v>
                </c:pt>
                <c:pt idx="1245">
                  <c:v>-1.0578603304116684E-2</c:v>
                </c:pt>
                <c:pt idx="1246">
                  <c:v>8.2500993881910196E-3</c:v>
                </c:pt>
                <c:pt idx="1247">
                  <c:v>-1.6103481003824388E-2</c:v>
                </c:pt>
                <c:pt idx="1248">
                  <c:v>-3.3950540662271392E-2</c:v>
                </c:pt>
                <c:pt idx="1249">
                  <c:v>-7.243131323514302E-3</c:v>
                </c:pt>
                <c:pt idx="1250">
                  <c:v>-3.5389001675153305E-2</c:v>
                </c:pt>
                <c:pt idx="1251">
                  <c:v>6.3330688165365093E-3</c:v>
                </c:pt>
                <c:pt idx="1252">
                  <c:v>-6.4798765737796296E-3</c:v>
                </c:pt>
                <c:pt idx="1253">
                  <c:v>1.6602506096531982E-3</c:v>
                </c:pt>
                <c:pt idx="1254">
                  <c:v>2.3465282482956162E-2</c:v>
                </c:pt>
                <c:pt idx="1255">
                  <c:v>-1.5417011074665256E-2</c:v>
                </c:pt>
                <c:pt idx="1256">
                  <c:v>-3.7292256263176747E-2</c:v>
                </c:pt>
                <c:pt idx="1257">
                  <c:v>9.4701453667227659E-5</c:v>
                </c:pt>
                <c:pt idx="1258">
                  <c:v>8.8695295361646467E-3</c:v>
                </c:pt>
                <c:pt idx="1259">
                  <c:v>-2.4622604614782963E-2</c:v>
                </c:pt>
                <c:pt idx="1260">
                  <c:v>-5.9020705361581211E-3</c:v>
                </c:pt>
                <c:pt idx="1261">
                  <c:v>-5.5297420260394126E-3</c:v>
                </c:pt>
                <c:pt idx="1262">
                  <c:v>1.0869521132700777E-3</c:v>
                </c:pt>
                <c:pt idx="1263">
                  <c:v>-1.0262165304725105E-2</c:v>
                </c:pt>
                <c:pt idx="1264">
                  <c:v>4.7573435504469908E-2</c:v>
                </c:pt>
                <c:pt idx="1265">
                  <c:v>-4.0325416735046814E-3</c:v>
                </c:pt>
                <c:pt idx="1266">
                  <c:v>3.8840893575951955E-3</c:v>
                </c:pt>
                <c:pt idx="1267">
                  <c:v>-7.9530710187748609E-3</c:v>
                </c:pt>
                <c:pt idx="1268">
                  <c:v>-4.6024873838347601E-2</c:v>
                </c:pt>
                <c:pt idx="1269">
                  <c:v>2.4950652053617916E-2</c:v>
                </c:pt>
                <c:pt idx="1270">
                  <c:v>-5.5084609186140131E-2</c:v>
                </c:pt>
                <c:pt idx="1271">
                  <c:v>2.4525856187747296E-2</c:v>
                </c:pt>
                <c:pt idx="1272">
                  <c:v>-2.2711003828866389E-2</c:v>
                </c:pt>
                <c:pt idx="1273">
                  <c:v>-2.3375052699267054E-2</c:v>
                </c:pt>
                <c:pt idx="1274">
                  <c:v>-1.3255775419257342E-3</c:v>
                </c:pt>
                <c:pt idx="1275">
                  <c:v>3.9326725756450992E-2</c:v>
                </c:pt>
                <c:pt idx="1276">
                  <c:v>6.2343249158744842E-3</c:v>
                </c:pt>
                <c:pt idx="1277">
                  <c:v>-2.7805495134037746E-3</c:v>
                </c:pt>
                <c:pt idx="1278">
                  <c:v>-1.2945092210755509E-2</c:v>
                </c:pt>
                <c:pt idx="1279">
                  <c:v>1.2075686176371949E-2</c:v>
                </c:pt>
                <c:pt idx="1280">
                  <c:v>-5.9343698922928022E-3</c:v>
                </c:pt>
                <c:pt idx="1281">
                  <c:v>1.3183301432582603E-2</c:v>
                </c:pt>
                <c:pt idx="1282">
                  <c:v>-3.4033646664253216E-2</c:v>
                </c:pt>
                <c:pt idx="1283">
                  <c:v>9.9163443065020465E-3</c:v>
                </c:pt>
                <c:pt idx="1284">
                  <c:v>6.2019074917677415E-3</c:v>
                </c:pt>
                <c:pt idx="1285">
                  <c:v>-2.3395704923314338E-2</c:v>
                </c:pt>
                <c:pt idx="1286">
                  <c:v>-1.7618793379604977E-2</c:v>
                </c:pt>
                <c:pt idx="1287">
                  <c:v>-2.0060091905266721E-3</c:v>
                </c:pt>
                <c:pt idx="1288">
                  <c:v>-7.9870365615010517E-3</c:v>
                </c:pt>
                <c:pt idx="1289">
                  <c:v>5.7127045192849222E-3</c:v>
                </c:pt>
                <c:pt idx="1290">
                  <c:v>-2.4709108821258482E-2</c:v>
                </c:pt>
                <c:pt idx="1291">
                  <c:v>-1.5006324678988218E-2</c:v>
                </c:pt>
                <c:pt idx="1292">
                  <c:v>3.7879487795413808E-2</c:v>
                </c:pt>
                <c:pt idx="1293">
                  <c:v>-1.4260535170645915E-2</c:v>
                </c:pt>
                <c:pt idx="1294">
                  <c:v>-6.9218682271347748E-3</c:v>
                </c:pt>
                <c:pt idx="1295">
                  <c:v>-2.5279736654253886E-3</c:v>
                </c:pt>
                <c:pt idx="1296">
                  <c:v>-4.3166517004507186E-3</c:v>
                </c:pt>
                <c:pt idx="1297">
                  <c:v>2.1882839824937154E-2</c:v>
                </c:pt>
                <c:pt idx="1298">
                  <c:v>-9.4975270589921067E-3</c:v>
                </c:pt>
                <c:pt idx="1299">
                  <c:v>1.5676448239678627E-2</c:v>
                </c:pt>
                <c:pt idx="1300">
                  <c:v>-1.449488337296592E-2</c:v>
                </c:pt>
                <c:pt idx="1301">
                  <c:v>1.4233621168783635E-2</c:v>
                </c:pt>
                <c:pt idx="1302">
                  <c:v>-3.1810101712133401E-3</c:v>
                </c:pt>
                <c:pt idx="1303">
                  <c:v>-2.4894633575127307E-3</c:v>
                </c:pt>
                <c:pt idx="1304">
                  <c:v>-9.6780263995067299E-4</c:v>
                </c:pt>
                <c:pt idx="1305">
                  <c:v>1.0301834327488118E-2</c:v>
                </c:pt>
                <c:pt idx="1306">
                  <c:v>-2.0455725871965234E-2</c:v>
                </c:pt>
                <c:pt idx="1307">
                  <c:v>-1.6523232680289511E-2</c:v>
                </c:pt>
                <c:pt idx="1308">
                  <c:v>3.6527765617727963E-2</c:v>
                </c:pt>
                <c:pt idx="1309">
                  <c:v>9.5314306037165702E-3</c:v>
                </c:pt>
                <c:pt idx="1310">
                  <c:v>-5.768790403551269E-3</c:v>
                </c:pt>
                <c:pt idx="1311">
                  <c:v>1.1918998644662499E-2</c:v>
                </c:pt>
                <c:pt idx="1312">
                  <c:v>-4.6396603418464335E-4</c:v>
                </c:pt>
                <c:pt idx="1313">
                  <c:v>-3.9118230505475991E-2</c:v>
                </c:pt>
                <c:pt idx="1314">
                  <c:v>3.4407955301558276E-3</c:v>
                </c:pt>
                <c:pt idx="1315">
                  <c:v>-1.5532675389793274E-3</c:v>
                </c:pt>
                <c:pt idx="1316">
                  <c:v>6.7549433903901996E-3</c:v>
                </c:pt>
                <c:pt idx="1317">
                  <c:v>-1.3071334333375432E-2</c:v>
                </c:pt>
                <c:pt idx="1318">
                  <c:v>-3.2916573197028145E-3</c:v>
                </c:pt>
                <c:pt idx="1319">
                  <c:v>2.0738406702432613E-2</c:v>
                </c:pt>
                <c:pt idx="1320">
                  <c:v>-2.0654555927048222E-3</c:v>
                </c:pt>
                <c:pt idx="1321">
                  <c:v>-6.9712492334331544E-3</c:v>
                </c:pt>
                <c:pt idx="1322">
                  <c:v>7.0338113358339484E-3</c:v>
                </c:pt>
                <c:pt idx="1323">
                  <c:v>-6.3579097357183353E-3</c:v>
                </c:pt>
                <c:pt idx="1324">
                  <c:v>1.9431750627379486E-2</c:v>
                </c:pt>
                <c:pt idx="1325">
                  <c:v>-2.483941186682838E-3</c:v>
                </c:pt>
                <c:pt idx="1326">
                  <c:v>7.0062699422095516E-3</c:v>
                </c:pt>
                <c:pt idx="1327">
                  <c:v>-1.1823358666991775E-2</c:v>
                </c:pt>
                <c:pt idx="1328">
                  <c:v>-2.14138043921843E-2</c:v>
                </c:pt>
                <c:pt idx="1329">
                  <c:v>1.3280662841640249E-2</c:v>
                </c:pt>
                <c:pt idx="1330">
                  <c:v>5.2145990683371175E-3</c:v>
                </c:pt>
                <c:pt idx="1331">
                  <c:v>1.1841827024740828E-2</c:v>
                </c:pt>
                <c:pt idx="1332">
                  <c:v>1.3588563551879946E-2</c:v>
                </c:pt>
                <c:pt idx="1333">
                  <c:v>-2.5321231317256887E-2</c:v>
                </c:pt>
                <c:pt idx="1334">
                  <c:v>2.7095270030020758E-3</c:v>
                </c:pt>
                <c:pt idx="1335">
                  <c:v>-3.4783038050821113E-2</c:v>
                </c:pt>
                <c:pt idx="1336">
                  <c:v>9.7520369061348065E-3</c:v>
                </c:pt>
                <c:pt idx="1337">
                  <c:v>-1.8551183858443482E-2</c:v>
                </c:pt>
                <c:pt idx="1338">
                  <c:v>8.8361856584436137E-3</c:v>
                </c:pt>
                <c:pt idx="1339">
                  <c:v>1.3400997283518748E-2</c:v>
                </c:pt>
                <c:pt idx="1340">
                  <c:v>-8.9183668785717263E-3</c:v>
                </c:pt>
                <c:pt idx="1341">
                  <c:v>1.8525208177031104E-4</c:v>
                </c:pt>
                <c:pt idx="1342">
                  <c:v>2.2156675711467719E-2</c:v>
                </c:pt>
                <c:pt idx="1343">
                  <c:v>-2.857569978300948E-2</c:v>
                </c:pt>
                <c:pt idx="1344">
                  <c:v>1.1947453588200069E-2</c:v>
                </c:pt>
                <c:pt idx="1345">
                  <c:v>2.6820152902519842E-3</c:v>
                </c:pt>
                <c:pt idx="1346">
                  <c:v>1.7317529402572945E-2</c:v>
                </c:pt>
                <c:pt idx="1347">
                  <c:v>-2.8538384737362862E-2</c:v>
                </c:pt>
                <c:pt idx="1348">
                  <c:v>6.5571025977280537E-4</c:v>
                </c:pt>
                <c:pt idx="1349">
                  <c:v>2.0072034390612319E-2</c:v>
                </c:pt>
                <c:pt idx="1350">
                  <c:v>2.4570147703354004E-2</c:v>
                </c:pt>
                <c:pt idx="1351">
                  <c:v>-1.2975405425836015E-2</c:v>
                </c:pt>
                <c:pt idx="1352">
                  <c:v>-4.3339385229468489E-3</c:v>
                </c:pt>
                <c:pt idx="1353">
                  <c:v>3.3075875424760259E-2</c:v>
                </c:pt>
                <c:pt idx="1354">
                  <c:v>-2.4448464196709034E-2</c:v>
                </c:pt>
                <c:pt idx="1355">
                  <c:v>-2.11013087300963E-4</c:v>
                </c:pt>
                <c:pt idx="1356">
                  <c:v>3.7226972266130027E-3</c:v>
                </c:pt>
                <c:pt idx="1357">
                  <c:v>3.6820465557429716E-3</c:v>
                </c:pt>
                <c:pt idx="1358">
                  <c:v>-1.588214317553718E-2</c:v>
                </c:pt>
                <c:pt idx="1359">
                  <c:v>1.7606000625065062E-2</c:v>
                </c:pt>
                <c:pt idx="1360">
                  <c:v>1.6264288003418424E-2</c:v>
                </c:pt>
                <c:pt idx="1361">
                  <c:v>3.2629928433150254E-2</c:v>
                </c:pt>
                <c:pt idx="1362">
                  <c:v>-1.3390281972108052E-2</c:v>
                </c:pt>
                <c:pt idx="1363">
                  <c:v>-7.9016039654187069E-3</c:v>
                </c:pt>
                <c:pt idx="1364">
                  <c:v>1.9937341023429849E-2</c:v>
                </c:pt>
                <c:pt idx="1365">
                  <c:v>3.2616176807973879E-2</c:v>
                </c:pt>
                <c:pt idx="1366">
                  <c:v>4.1966500857843896E-4</c:v>
                </c:pt>
                <c:pt idx="1367">
                  <c:v>-2.6357889888259715E-2</c:v>
                </c:pt>
                <c:pt idx="1368">
                  <c:v>-3.2144426046700771E-3</c:v>
                </c:pt>
                <c:pt idx="1369">
                  <c:v>1.7611438112067373E-2</c:v>
                </c:pt>
                <c:pt idx="1370">
                  <c:v>1.255522843020088E-2</c:v>
                </c:pt>
                <c:pt idx="1371">
                  <c:v>2.0225865089613923E-2</c:v>
                </c:pt>
                <c:pt idx="1372">
                  <c:v>3.4546422006514352E-2</c:v>
                </c:pt>
                <c:pt idx="1373">
                  <c:v>-7.013661053140172E-3</c:v>
                </c:pt>
                <c:pt idx="1374">
                  <c:v>-1.5358535877131662E-2</c:v>
                </c:pt>
                <c:pt idx="1375">
                  <c:v>-2.0615475355480462E-2</c:v>
                </c:pt>
                <c:pt idx="1376">
                  <c:v>-1.5706699761958564E-3</c:v>
                </c:pt>
                <c:pt idx="1377">
                  <c:v>1.8567952756868206E-2</c:v>
                </c:pt>
                <c:pt idx="1378">
                  <c:v>3.1061318395518699E-2</c:v>
                </c:pt>
                <c:pt idx="1379">
                  <c:v>4.4549998447735318E-3</c:v>
                </c:pt>
                <c:pt idx="1380">
                  <c:v>8.5382249764330933E-4</c:v>
                </c:pt>
                <c:pt idx="1381">
                  <c:v>-1.7486499110235198E-3</c:v>
                </c:pt>
                <c:pt idx="1382">
                  <c:v>2.2227034384618961E-2</c:v>
                </c:pt>
                <c:pt idx="1383">
                  <c:v>-1.284650768672075E-2</c:v>
                </c:pt>
                <c:pt idx="1384">
                  <c:v>-1.253084811232538E-3</c:v>
                </c:pt>
                <c:pt idx="1385">
                  <c:v>-7.712111852479055E-4</c:v>
                </c:pt>
                <c:pt idx="1386">
                  <c:v>1.1519498671407343E-4</c:v>
                </c:pt>
                <c:pt idx="1387">
                  <c:v>3.2488923358084565E-2</c:v>
                </c:pt>
                <c:pt idx="1388">
                  <c:v>-1.5138331102186538E-2</c:v>
                </c:pt>
                <c:pt idx="1389">
                  <c:v>4.3904262428780254E-2</c:v>
                </c:pt>
                <c:pt idx="1390">
                  <c:v>-1.096293724251925E-2</c:v>
                </c:pt>
                <c:pt idx="1391">
                  <c:v>-1.3878425722080343E-2</c:v>
                </c:pt>
                <c:pt idx="1392">
                  <c:v>-1.1058738888415085E-2</c:v>
                </c:pt>
                <c:pt idx="1393">
                  <c:v>1.2037394672796579E-2</c:v>
                </c:pt>
                <c:pt idx="1394">
                  <c:v>3.4459887579242415E-4</c:v>
                </c:pt>
                <c:pt idx="1395">
                  <c:v>2.0372483072318613E-2</c:v>
                </c:pt>
                <c:pt idx="1396">
                  <c:v>-1.3932450484985646E-2</c:v>
                </c:pt>
                <c:pt idx="1397">
                  <c:v>-2.8917587636304799E-2</c:v>
                </c:pt>
                <c:pt idx="1398">
                  <c:v>-5.9481611500536644E-3</c:v>
                </c:pt>
                <c:pt idx="1399">
                  <c:v>5.5299187674001755E-3</c:v>
                </c:pt>
                <c:pt idx="1400">
                  <c:v>-2.5328074034741618E-2</c:v>
                </c:pt>
                <c:pt idx="1401">
                  <c:v>-1.2841366321377301E-3</c:v>
                </c:pt>
                <c:pt idx="1402">
                  <c:v>1.0040833502174143E-2</c:v>
                </c:pt>
                <c:pt idx="1403">
                  <c:v>-1.3632733991953118E-2</c:v>
                </c:pt>
                <c:pt idx="1404">
                  <c:v>-1.393848139384809E-2</c:v>
                </c:pt>
                <c:pt idx="1405">
                  <c:v>-1.8720427079573641E-2</c:v>
                </c:pt>
                <c:pt idx="1406">
                  <c:v>-1.9360497310143701E-3</c:v>
                </c:pt>
                <c:pt idx="1407">
                  <c:v>8.6461050005669209E-3</c:v>
                </c:pt>
                <c:pt idx="1408">
                  <c:v>4.9055073534430428E-2</c:v>
                </c:pt>
                <c:pt idx="1409">
                  <c:v>2.1149319708364513E-2</c:v>
                </c:pt>
                <c:pt idx="1410">
                  <c:v>-2.1659526781129698E-2</c:v>
                </c:pt>
                <c:pt idx="1411">
                  <c:v>-2.6510159673909815E-2</c:v>
                </c:pt>
                <c:pt idx="1412">
                  <c:v>-1.3497985140409883E-3</c:v>
                </c:pt>
                <c:pt idx="1413">
                  <c:v>2.8321032119762418E-2</c:v>
                </c:pt>
                <c:pt idx="1414">
                  <c:v>1.2185962384463352E-2</c:v>
                </c:pt>
                <c:pt idx="1415">
                  <c:v>-8.703849532059332E-3</c:v>
                </c:pt>
                <c:pt idx="1416">
                  <c:v>1.8259451490812966E-2</c:v>
                </c:pt>
                <c:pt idx="1417">
                  <c:v>2.4889542341477368E-2</c:v>
                </c:pt>
                <c:pt idx="1418">
                  <c:v>2.6378387873553517E-2</c:v>
                </c:pt>
                <c:pt idx="1419">
                  <c:v>-1.8212806012935772E-2</c:v>
                </c:pt>
                <c:pt idx="1420">
                  <c:v>8.3093036600158741E-3</c:v>
                </c:pt>
                <c:pt idx="1421">
                  <c:v>-2.2003155142233576E-2</c:v>
                </c:pt>
                <c:pt idx="1422">
                  <c:v>-1.3611605219255132E-2</c:v>
                </c:pt>
                <c:pt idx="1423">
                  <c:v>-2.1957384528649867E-2</c:v>
                </c:pt>
                <c:pt idx="1424">
                  <c:v>-4.0235764784925573E-3</c:v>
                </c:pt>
                <c:pt idx="1425">
                  <c:v>-2.4733424810848594E-2</c:v>
                </c:pt>
                <c:pt idx="1426">
                  <c:v>1.4262190065592878E-2</c:v>
                </c:pt>
                <c:pt idx="1427">
                  <c:v>3.797301590991941E-4</c:v>
                </c:pt>
                <c:pt idx="1428">
                  <c:v>-1.465279499256336E-2</c:v>
                </c:pt>
                <c:pt idx="1429">
                  <c:v>9.1551261237533908E-3</c:v>
                </c:pt>
                <c:pt idx="1430">
                  <c:v>2.7597946416746663E-2</c:v>
                </c:pt>
                <c:pt idx="1431">
                  <c:v>6.686706569575436E-3</c:v>
                </c:pt>
                <c:pt idx="1432">
                  <c:v>-9.6998542762576547E-3</c:v>
                </c:pt>
                <c:pt idx="1433">
                  <c:v>-4.4107302420197756E-3</c:v>
                </c:pt>
                <c:pt idx="1434">
                  <c:v>-1.2412397120323869E-3</c:v>
                </c:pt>
                <c:pt idx="1435">
                  <c:v>-1.178157623035446E-2</c:v>
                </c:pt>
                <c:pt idx="1436">
                  <c:v>-2.9594201889106879E-2</c:v>
                </c:pt>
                <c:pt idx="1437">
                  <c:v>-6.0810029467942154E-3</c:v>
                </c:pt>
                <c:pt idx="1438">
                  <c:v>2.2515004653849813E-2</c:v>
                </c:pt>
                <c:pt idx="1439">
                  <c:v>-1.3995480013183147E-2</c:v>
                </c:pt>
                <c:pt idx="1440">
                  <c:v>-3.3453905873832637E-2</c:v>
                </c:pt>
                <c:pt idx="1441">
                  <c:v>-9.7161724867642974E-4</c:v>
                </c:pt>
                <c:pt idx="1442">
                  <c:v>2.0048792951396655E-2</c:v>
                </c:pt>
                <c:pt idx="1443">
                  <c:v>-2.9787130892886728E-2</c:v>
                </c:pt>
                <c:pt idx="1444">
                  <c:v>3.9475327920050042E-3</c:v>
                </c:pt>
                <c:pt idx="1445">
                  <c:v>7.8515790259561825E-3</c:v>
                </c:pt>
                <c:pt idx="1446">
                  <c:v>1.0066216444230461E-2</c:v>
                </c:pt>
                <c:pt idx="1447">
                  <c:v>1.0422226477670412E-2</c:v>
                </c:pt>
                <c:pt idx="1448">
                  <c:v>1.1318776588237734E-2</c:v>
                </c:pt>
                <c:pt idx="1449">
                  <c:v>-2.7340292342166395E-2</c:v>
                </c:pt>
                <c:pt idx="1450">
                  <c:v>1.14615999508086E-2</c:v>
                </c:pt>
                <c:pt idx="1451">
                  <c:v>2.4892498611904821E-2</c:v>
                </c:pt>
                <c:pt idx="1452">
                  <c:v>-3.3137854264620832E-3</c:v>
                </c:pt>
                <c:pt idx="1453">
                  <c:v>7.1455494058601521E-3</c:v>
                </c:pt>
                <c:pt idx="1454">
                  <c:v>-1.7297889271447986E-2</c:v>
                </c:pt>
                <c:pt idx="1455">
                  <c:v>2.3575394359704131E-2</c:v>
                </c:pt>
                <c:pt idx="1456">
                  <c:v>-1.0311902747751952E-2</c:v>
                </c:pt>
                <c:pt idx="1457">
                  <c:v>2.9690981112214632E-2</c:v>
                </c:pt>
                <c:pt idx="1458">
                  <c:v>-6.1067000760935079E-3</c:v>
                </c:pt>
                <c:pt idx="1459">
                  <c:v>1.2551379066341361E-2</c:v>
                </c:pt>
                <c:pt idx="1460">
                  <c:v>-8.8137690318983303E-3</c:v>
                </c:pt>
                <c:pt idx="1461">
                  <c:v>3.3715397507271969E-2</c:v>
                </c:pt>
                <c:pt idx="1462">
                  <c:v>-3.4188575730695558E-2</c:v>
                </c:pt>
                <c:pt idx="1463">
                  <c:v>7.1083188941586262E-3</c:v>
                </c:pt>
                <c:pt idx="1464">
                  <c:v>-3.6083916083916111E-2</c:v>
                </c:pt>
                <c:pt idx="1465">
                  <c:v>-2.0655276317986325E-2</c:v>
                </c:pt>
                <c:pt idx="1466">
                  <c:v>3.3966277266786395E-2</c:v>
                </c:pt>
                <c:pt idx="1467">
                  <c:v>1.6613669375416994E-2</c:v>
                </c:pt>
                <c:pt idx="1468">
                  <c:v>-3.4869980923842005E-2</c:v>
                </c:pt>
                <c:pt idx="1469">
                  <c:v>4.9213386041003875E-4</c:v>
                </c:pt>
                <c:pt idx="1470">
                  <c:v>-1.0337725700346068E-2</c:v>
                </c:pt>
                <c:pt idx="1471">
                  <c:v>1.0647755283468851E-2</c:v>
                </c:pt>
                <c:pt idx="1472">
                  <c:v>3.3234041702484909E-2</c:v>
                </c:pt>
                <c:pt idx="1473">
                  <c:v>1.2127685098116667E-2</c:v>
                </c:pt>
                <c:pt idx="1474">
                  <c:v>8.2622509567922397E-3</c:v>
                </c:pt>
                <c:pt idx="1475">
                  <c:v>9.5558791408810653E-3</c:v>
                </c:pt>
                <c:pt idx="1476">
                  <c:v>-1.8675440968779204E-2</c:v>
                </c:pt>
                <c:pt idx="1477">
                  <c:v>1.2964097068054769E-2</c:v>
                </c:pt>
                <c:pt idx="1478">
                  <c:v>1.6841301809580371E-2</c:v>
                </c:pt>
                <c:pt idx="1479">
                  <c:v>-1.0207949343004862E-2</c:v>
                </c:pt>
                <c:pt idx="1480">
                  <c:v>-1.0737468885743706E-2</c:v>
                </c:pt>
                <c:pt idx="1481">
                  <c:v>2.6171075951528875E-2</c:v>
                </c:pt>
                <c:pt idx="1482">
                  <c:v>4.2863535668453499E-3</c:v>
                </c:pt>
                <c:pt idx="1483">
                  <c:v>-1.946588498703752E-2</c:v>
                </c:pt>
                <c:pt idx="1484">
                  <c:v>-6.8840933502587369E-3</c:v>
                </c:pt>
                <c:pt idx="1485">
                  <c:v>-7.4763739775292734E-3</c:v>
                </c:pt>
                <c:pt idx="1486">
                  <c:v>-5.4104307007653578E-4</c:v>
                </c:pt>
                <c:pt idx="1487">
                  <c:v>-6.9001273283162377E-4</c:v>
                </c:pt>
                <c:pt idx="1488">
                  <c:v>-3.7995979140360188E-3</c:v>
                </c:pt>
                <c:pt idx="1489">
                  <c:v>3.0118290399292362E-2</c:v>
                </c:pt>
                <c:pt idx="1490">
                  <c:v>1.527497936818319E-2</c:v>
                </c:pt>
                <c:pt idx="1491">
                  <c:v>2.6754689485227509E-2</c:v>
                </c:pt>
                <c:pt idx="1492">
                  <c:v>-2.9295551640764729E-2</c:v>
                </c:pt>
                <c:pt idx="1493">
                  <c:v>2.5569152434027475E-3</c:v>
                </c:pt>
                <c:pt idx="1494">
                  <c:v>2.1315578290869545E-2</c:v>
                </c:pt>
                <c:pt idx="1495">
                  <c:v>1.3389974023737483E-2</c:v>
                </c:pt>
                <c:pt idx="1496">
                  <c:v>-1.1386166657225348E-2</c:v>
                </c:pt>
                <c:pt idx="1497">
                  <c:v>-1.2742092596837175E-2</c:v>
                </c:pt>
                <c:pt idx="1498">
                  <c:v>1.753157715272401E-2</c:v>
                </c:pt>
                <c:pt idx="1499">
                  <c:v>-3.1550014794641001E-3</c:v>
                </c:pt>
                <c:pt idx="1500">
                  <c:v>1.203052692563544E-2</c:v>
                </c:pt>
                <c:pt idx="1501">
                  <c:v>3.3570565328320126E-3</c:v>
                </c:pt>
                <c:pt idx="1502">
                  <c:v>-1.4792065817650008E-3</c:v>
                </c:pt>
                <c:pt idx="1503">
                  <c:v>2.7194232424272483E-3</c:v>
                </c:pt>
                <c:pt idx="1504">
                  <c:v>-1.4035112404014286E-2</c:v>
                </c:pt>
                <c:pt idx="1505">
                  <c:v>3.059968533377096E-2</c:v>
                </c:pt>
                <c:pt idx="1506">
                  <c:v>1.0263990528742668E-2</c:v>
                </c:pt>
                <c:pt idx="1507">
                  <c:v>2.52776359568118E-2</c:v>
                </c:pt>
                <c:pt idx="1508">
                  <c:v>-8.7395059087748105E-3</c:v>
                </c:pt>
                <c:pt idx="1509">
                  <c:v>-8.9379334526856671E-3</c:v>
                </c:pt>
                <c:pt idx="1510">
                  <c:v>-5.0348698758292849E-3</c:v>
                </c:pt>
                <c:pt idx="1511">
                  <c:v>-1.4603207166547009E-2</c:v>
                </c:pt>
                <c:pt idx="1512">
                  <c:v>1.2557295479859423E-2</c:v>
                </c:pt>
                <c:pt idx="1513">
                  <c:v>1.316231349676864E-2</c:v>
                </c:pt>
                <c:pt idx="1514">
                  <c:v>-8.4556871260472368E-3</c:v>
                </c:pt>
                <c:pt idx="1515">
                  <c:v>-5.0416326976146734E-3</c:v>
                </c:pt>
                <c:pt idx="1516">
                  <c:v>7.2373586212335144E-3</c:v>
                </c:pt>
                <c:pt idx="1517">
                  <c:v>-1.2679038231129506E-2</c:v>
                </c:pt>
                <c:pt idx="1518">
                  <c:v>-6.6260553596238989E-3</c:v>
                </c:pt>
                <c:pt idx="1519">
                  <c:v>2.812125839421132E-2</c:v>
                </c:pt>
                <c:pt idx="1520">
                  <c:v>-1.25739245497016E-2</c:v>
                </c:pt>
                <c:pt idx="1521">
                  <c:v>-8.5224067851074406E-3</c:v>
                </c:pt>
                <c:pt idx="1522">
                  <c:v>4.4774678481536274E-2</c:v>
                </c:pt>
                <c:pt idx="1523">
                  <c:v>-3.6908942102067119E-2</c:v>
                </c:pt>
                <c:pt idx="1524">
                  <c:v>-2.0295923682118484E-2</c:v>
                </c:pt>
                <c:pt idx="1525">
                  <c:v>3.2296989601586411E-2</c:v>
                </c:pt>
                <c:pt idx="1526">
                  <c:v>-6.6272959209603298E-3</c:v>
                </c:pt>
                <c:pt idx="1527">
                  <c:v>9.4103763127287854E-3</c:v>
                </c:pt>
                <c:pt idx="1528">
                  <c:v>3.7983280733647304E-2</c:v>
                </c:pt>
                <c:pt idx="1529">
                  <c:v>-1.2051291233027435E-2</c:v>
                </c:pt>
                <c:pt idx="1530">
                  <c:v>-9.8390365256932396E-3</c:v>
                </c:pt>
                <c:pt idx="1531">
                  <c:v>7.8402923137848718E-3</c:v>
                </c:pt>
                <c:pt idx="1532">
                  <c:v>-7.4292978488055337E-4</c:v>
                </c:pt>
                <c:pt idx="1533">
                  <c:v>-8.66404520371419E-3</c:v>
                </c:pt>
                <c:pt idx="1534">
                  <c:v>-1.756619823471368E-3</c:v>
                </c:pt>
                <c:pt idx="1535">
                  <c:v>-2.2829495026395627E-2</c:v>
                </c:pt>
                <c:pt idx="1536">
                  <c:v>8.8093383086616309E-3</c:v>
                </c:pt>
                <c:pt idx="1537">
                  <c:v>1.5313899370643123E-2</c:v>
                </c:pt>
                <c:pt idx="1538">
                  <c:v>-2.2519291526407622E-3</c:v>
                </c:pt>
                <c:pt idx="1539">
                  <c:v>-3.3504086027257955E-3</c:v>
                </c:pt>
                <c:pt idx="1540">
                  <c:v>1.0272892580837918E-2</c:v>
                </c:pt>
                <c:pt idx="1541">
                  <c:v>-8.8965489758509389E-3</c:v>
                </c:pt>
                <c:pt idx="1542">
                  <c:v>-4.8416982466015362E-3</c:v>
                </c:pt>
                <c:pt idx="1543">
                  <c:v>-6.0941940175888055E-4</c:v>
                </c:pt>
                <c:pt idx="1544">
                  <c:v>2.6557914986372326E-2</c:v>
                </c:pt>
                <c:pt idx="1545">
                  <c:v>-2.7239371722247911E-4</c:v>
                </c:pt>
                <c:pt idx="1546">
                  <c:v>-1.411580872094419E-3</c:v>
                </c:pt>
                <c:pt idx="1547">
                  <c:v>-2.2978832517512836E-3</c:v>
                </c:pt>
                <c:pt idx="1548">
                  <c:v>-6.1747513954148138E-3</c:v>
                </c:pt>
                <c:pt idx="1549">
                  <c:v>-1.6424640275843765E-2</c:v>
                </c:pt>
                <c:pt idx="1550">
                  <c:v>-1.5616889026716891E-2</c:v>
                </c:pt>
                <c:pt idx="1551">
                  <c:v>1.577219012919771E-2</c:v>
                </c:pt>
                <c:pt idx="1552">
                  <c:v>-9.4424536220792839E-3</c:v>
                </c:pt>
                <c:pt idx="1553">
                  <c:v>2.2223129751767112E-3</c:v>
                </c:pt>
                <c:pt idx="1554">
                  <c:v>-7.803294497964291E-3</c:v>
                </c:pt>
                <c:pt idx="1555">
                  <c:v>-2.2827377794813641E-2</c:v>
                </c:pt>
                <c:pt idx="1556">
                  <c:v>-7.60359060390933E-3</c:v>
                </c:pt>
                <c:pt idx="1557">
                  <c:v>2.523363166661961E-2</c:v>
                </c:pt>
                <c:pt idx="1558">
                  <c:v>-6.715960647430917E-3</c:v>
                </c:pt>
                <c:pt idx="1559">
                  <c:v>-1.1335951010393322E-2</c:v>
                </c:pt>
                <c:pt idx="1560">
                  <c:v>-6.9510656197421415E-3</c:v>
                </c:pt>
                <c:pt idx="1561">
                  <c:v>-5.3053862201151956E-3</c:v>
                </c:pt>
                <c:pt idx="1562">
                  <c:v>4.6239451514225802E-3</c:v>
                </c:pt>
                <c:pt idx="1563">
                  <c:v>-6.6655598611076389E-3</c:v>
                </c:pt>
                <c:pt idx="1564">
                  <c:v>-1.1272714341595508E-3</c:v>
                </c:pt>
                <c:pt idx="1565">
                  <c:v>-8.0635686898568627E-3</c:v>
                </c:pt>
                <c:pt idx="1566">
                  <c:v>6.9016753520823523E-3</c:v>
                </c:pt>
                <c:pt idx="1567">
                  <c:v>6.0844552327383285E-3</c:v>
                </c:pt>
                <c:pt idx="1568">
                  <c:v>4.3293724181423573E-3</c:v>
                </c:pt>
                <c:pt idx="1569">
                  <c:v>1.1764498377310535E-2</c:v>
                </c:pt>
                <c:pt idx="1570">
                  <c:v>-1.1575405749351198E-3</c:v>
                </c:pt>
                <c:pt idx="1571">
                  <c:v>2.1990833662032302E-2</c:v>
                </c:pt>
                <c:pt idx="1572">
                  <c:v>8.818818032467788E-3</c:v>
                </c:pt>
                <c:pt idx="1573">
                  <c:v>2.6837980126284421E-2</c:v>
                </c:pt>
                <c:pt idx="1574">
                  <c:v>-8.1109953444206777E-4</c:v>
                </c:pt>
                <c:pt idx="1575">
                  <c:v>5.3952205275766413E-3</c:v>
                </c:pt>
                <c:pt idx="1576">
                  <c:v>-1.1438192732726987E-2</c:v>
                </c:pt>
                <c:pt idx="1577">
                  <c:v>8.7318556687343432E-4</c:v>
                </c:pt>
                <c:pt idx="1578">
                  <c:v>1.5023601882843093E-2</c:v>
                </c:pt>
                <c:pt idx="1579">
                  <c:v>-5.8531707125770646E-3</c:v>
                </c:pt>
                <c:pt idx="1580">
                  <c:v>2.6916767752476228E-2</c:v>
                </c:pt>
                <c:pt idx="1581">
                  <c:v>1.0467852169598355E-3</c:v>
                </c:pt>
                <c:pt idx="1582">
                  <c:v>2.8518253217017668E-2</c:v>
                </c:pt>
                <c:pt idx="1583">
                  <c:v>-1.7902558840904262E-2</c:v>
                </c:pt>
                <c:pt idx="1584">
                  <c:v>-4.2897122885218473E-3</c:v>
                </c:pt>
                <c:pt idx="1585">
                  <c:v>-8.1585415096798748E-3</c:v>
                </c:pt>
                <c:pt idx="1586">
                  <c:v>1.8422765113751773E-2</c:v>
                </c:pt>
                <c:pt idx="1587">
                  <c:v>1.1920125402111405E-2</c:v>
                </c:pt>
                <c:pt idx="1588">
                  <c:v>-7.5275673826152791E-4</c:v>
                </c:pt>
                <c:pt idx="1589">
                  <c:v>-7.4460766460279658E-3</c:v>
                </c:pt>
                <c:pt idx="1590">
                  <c:v>1.223141843682073E-4</c:v>
                </c:pt>
                <c:pt idx="1591">
                  <c:v>1.3377653736398085E-2</c:v>
                </c:pt>
                <c:pt idx="1592">
                  <c:v>1.5336246271150759E-2</c:v>
                </c:pt>
                <c:pt idx="1593">
                  <c:v>-4.5716096942507436E-4</c:v>
                </c:pt>
                <c:pt idx="1594">
                  <c:v>-7.2904787749799842E-3</c:v>
                </c:pt>
                <c:pt idx="1595">
                  <c:v>2.3957907798913851E-3</c:v>
                </c:pt>
                <c:pt idx="1596">
                  <c:v>2.8742059929338822E-3</c:v>
                </c:pt>
                <c:pt idx="1597">
                  <c:v>5.0505822071625385E-3</c:v>
                </c:pt>
                <c:pt idx="1598">
                  <c:v>-7.4025208091395775E-3</c:v>
                </c:pt>
                <c:pt idx="1599">
                  <c:v>3.1291825290116176E-2</c:v>
                </c:pt>
                <c:pt idx="1600">
                  <c:v>-1.0495242394364434E-2</c:v>
                </c:pt>
                <c:pt idx="1601">
                  <c:v>2.727272727272724E-2</c:v>
                </c:pt>
                <c:pt idx="1602">
                  <c:v>2.5178437347528417E-2</c:v>
                </c:pt>
                <c:pt idx="1603">
                  <c:v>1.7301471950298533E-2</c:v>
                </c:pt>
                <c:pt idx="1604">
                  <c:v>3.3650263610540035E-2</c:v>
                </c:pt>
                <c:pt idx="1605">
                  <c:v>1.0398993977960715E-2</c:v>
                </c:pt>
                <c:pt idx="1606">
                  <c:v>-4.9917519413114082E-3</c:v>
                </c:pt>
                <c:pt idx="1607">
                  <c:v>-8.6291022606575923E-3</c:v>
                </c:pt>
                <c:pt idx="1608">
                  <c:v>-1.1243959940503643E-2</c:v>
                </c:pt>
                <c:pt idx="1609">
                  <c:v>1.5365025933809753E-2</c:v>
                </c:pt>
                <c:pt idx="1610">
                  <c:v>-2.5519697728904063E-2</c:v>
                </c:pt>
                <c:pt idx="1611">
                  <c:v>-2.4492541337417247E-2</c:v>
                </c:pt>
                <c:pt idx="1612">
                  <c:v>2.7626214131651911E-2</c:v>
                </c:pt>
                <c:pt idx="1613">
                  <c:v>1.8460241718815395E-2</c:v>
                </c:pt>
                <c:pt idx="1614">
                  <c:v>7.9030831007963522E-3</c:v>
                </c:pt>
                <c:pt idx="1615">
                  <c:v>1.6881489244465572E-2</c:v>
                </c:pt>
                <c:pt idx="1616">
                  <c:v>1.4253156890973669E-2</c:v>
                </c:pt>
                <c:pt idx="1617">
                  <c:v>-2.7000555200552964E-3</c:v>
                </c:pt>
                <c:pt idx="1618">
                  <c:v>-2.5309009934009634E-2</c:v>
                </c:pt>
                <c:pt idx="1619">
                  <c:v>2.3226240991446094E-2</c:v>
                </c:pt>
                <c:pt idx="1620">
                  <c:v>8.4650707221771929E-3</c:v>
                </c:pt>
                <c:pt idx="1621">
                  <c:v>-2.367817112302259E-2</c:v>
                </c:pt>
                <c:pt idx="1622">
                  <c:v>3.1047595616432834E-3</c:v>
                </c:pt>
                <c:pt idx="1623">
                  <c:v>-7.6725592703871196E-3</c:v>
                </c:pt>
                <c:pt idx="1624">
                  <c:v>-1.4399892538115729E-3</c:v>
                </c:pt>
                <c:pt idx="1625">
                  <c:v>-5.1898226743325639E-3</c:v>
                </c:pt>
                <c:pt idx="1626">
                  <c:v>1.0317503245348358E-2</c:v>
                </c:pt>
                <c:pt idx="1627">
                  <c:v>-3.0810412902362895E-3</c:v>
                </c:pt>
                <c:pt idx="1628">
                  <c:v>-1.977584688419641E-2</c:v>
                </c:pt>
                <c:pt idx="1629">
                  <c:v>1.2466478021360866E-2</c:v>
                </c:pt>
                <c:pt idx="1630">
                  <c:v>9.1637131030004298E-3</c:v>
                </c:pt>
                <c:pt idx="1631">
                  <c:v>-2.4552476293374995E-2</c:v>
                </c:pt>
                <c:pt idx="1632">
                  <c:v>7.8111472382015323E-3</c:v>
                </c:pt>
                <c:pt idx="1633">
                  <c:v>1.6251182908304535E-2</c:v>
                </c:pt>
                <c:pt idx="1634">
                  <c:v>-2.0931730356376615E-3</c:v>
                </c:pt>
                <c:pt idx="1635">
                  <c:v>3.9046953154412904E-3</c:v>
                </c:pt>
                <c:pt idx="1636">
                  <c:v>-1.2887343562489198E-2</c:v>
                </c:pt>
                <c:pt idx="1637">
                  <c:v>-3.0271288273301885E-2</c:v>
                </c:pt>
                <c:pt idx="1638">
                  <c:v>9.7972273370905971E-3</c:v>
                </c:pt>
                <c:pt idx="1639">
                  <c:v>-9.5331262280124265E-4</c:v>
                </c:pt>
                <c:pt idx="1640">
                  <c:v>8.1719153516058348E-3</c:v>
                </c:pt>
                <c:pt idx="1641">
                  <c:v>-3.5465773739919147E-3</c:v>
                </c:pt>
                <c:pt idx="1642">
                  <c:v>-3.9954716147558534E-3</c:v>
                </c:pt>
                <c:pt idx="1643">
                  <c:v>3.4570420251002318E-3</c:v>
                </c:pt>
                <c:pt idx="1644">
                  <c:v>-5.2215714443581409E-4</c:v>
                </c:pt>
                <c:pt idx="1645">
                  <c:v>1.5874683155919032E-2</c:v>
                </c:pt>
                <c:pt idx="1646">
                  <c:v>-6.8813705056133823E-3</c:v>
                </c:pt>
                <c:pt idx="1647">
                  <c:v>-2.4880474540049578E-2</c:v>
                </c:pt>
                <c:pt idx="1648">
                  <c:v>3.135677036504185E-3</c:v>
                </c:pt>
                <c:pt idx="1649">
                  <c:v>-2.2390902470449725E-2</c:v>
                </c:pt>
                <c:pt idx="1650">
                  <c:v>-4.4099866485591346E-2</c:v>
                </c:pt>
                <c:pt idx="1651">
                  <c:v>-1.8748089223520437E-2</c:v>
                </c:pt>
                <c:pt idx="1652">
                  <c:v>-7.1415698624530313E-3</c:v>
                </c:pt>
                <c:pt idx="1653">
                  <c:v>-1.3444457776095884E-2</c:v>
                </c:pt>
                <c:pt idx="1654">
                  <c:v>-2.6510036766654987E-2</c:v>
                </c:pt>
                <c:pt idx="1655">
                  <c:v>-3.3667552935899557E-3</c:v>
                </c:pt>
                <c:pt idx="1656">
                  <c:v>2.2052655093388746E-2</c:v>
                </c:pt>
                <c:pt idx="1657">
                  <c:v>1.5224227938864033E-2</c:v>
                </c:pt>
                <c:pt idx="1658">
                  <c:v>7.4034836643213197E-4</c:v>
                </c:pt>
                <c:pt idx="1659">
                  <c:v>1.684207267999762E-2</c:v>
                </c:pt>
                <c:pt idx="1660">
                  <c:v>-7.1719720792327571E-3</c:v>
                </c:pt>
                <c:pt idx="1661">
                  <c:v>-1.4962669978077154E-2</c:v>
                </c:pt>
                <c:pt idx="1662">
                  <c:v>1.2562837532877881E-2</c:v>
                </c:pt>
                <c:pt idx="1663">
                  <c:v>-1.8515159805841362E-2</c:v>
                </c:pt>
                <c:pt idx="1664">
                  <c:v>6.4865101886129265E-3</c:v>
                </c:pt>
                <c:pt idx="1665">
                  <c:v>1.4003466635971262E-4</c:v>
                </c:pt>
                <c:pt idx="1666">
                  <c:v>-5.8028463505852912E-3</c:v>
                </c:pt>
                <c:pt idx="1667">
                  <c:v>-7.4828888770658861E-3</c:v>
                </c:pt>
                <c:pt idx="1668">
                  <c:v>2.0653469467550402E-2</c:v>
                </c:pt>
                <c:pt idx="1669">
                  <c:v>-2.74400039544253E-2</c:v>
                </c:pt>
                <c:pt idx="1670">
                  <c:v>5.3397965731275601E-3</c:v>
                </c:pt>
                <c:pt idx="1671">
                  <c:v>-4.493075544967029E-3</c:v>
                </c:pt>
                <c:pt idx="1672">
                  <c:v>-1.2483138400012672E-2</c:v>
                </c:pt>
                <c:pt idx="1673">
                  <c:v>1.2824138950669752E-3</c:v>
                </c:pt>
                <c:pt idx="1674">
                  <c:v>6.1663205266891691E-3</c:v>
                </c:pt>
                <c:pt idx="1675">
                  <c:v>-4.625907634980214E-4</c:v>
                </c:pt>
                <c:pt idx="1676">
                  <c:v>4.9184984695521813E-3</c:v>
                </c:pt>
                <c:pt idx="1677">
                  <c:v>2.554883626384797E-2</c:v>
                </c:pt>
                <c:pt idx="1678">
                  <c:v>-1.0003344771626482E-2</c:v>
                </c:pt>
                <c:pt idx="1679">
                  <c:v>7.967790979221883E-3</c:v>
                </c:pt>
                <c:pt idx="1680">
                  <c:v>-3.0070544274058243E-2</c:v>
                </c:pt>
                <c:pt idx="1681">
                  <c:v>8.6554460514527663E-3</c:v>
                </c:pt>
                <c:pt idx="1682">
                  <c:v>-3.2335633277817383E-2</c:v>
                </c:pt>
                <c:pt idx="1683">
                  <c:v>1.1733195205748892E-2</c:v>
                </c:pt>
                <c:pt idx="1684">
                  <c:v>-7.7865014532859161E-3</c:v>
                </c:pt>
                <c:pt idx="1685">
                  <c:v>3.4910910230954301E-3</c:v>
                </c:pt>
                <c:pt idx="1686">
                  <c:v>-2.5078349502240631E-2</c:v>
                </c:pt>
                <c:pt idx="1687">
                  <c:v>1.0181225819589285E-3</c:v>
                </c:pt>
                <c:pt idx="1688">
                  <c:v>1.5129586895916942E-2</c:v>
                </c:pt>
                <c:pt idx="1689">
                  <c:v>1.1530387992628406E-2</c:v>
                </c:pt>
                <c:pt idx="1690">
                  <c:v>2.8903329728531893E-4</c:v>
                </c:pt>
                <c:pt idx="1691">
                  <c:v>4.8050075971066652E-4</c:v>
                </c:pt>
                <c:pt idx="1692">
                  <c:v>2.0800882658359266E-2</c:v>
                </c:pt>
                <c:pt idx="1693">
                  <c:v>1.3577264201926452E-2</c:v>
                </c:pt>
                <c:pt idx="1694">
                  <c:v>-1.0425258984885815E-2</c:v>
                </c:pt>
                <c:pt idx="1695">
                  <c:v>-9.6318106472867929E-3</c:v>
                </c:pt>
                <c:pt idx="1696">
                  <c:v>-1.1396002278560451E-2</c:v>
                </c:pt>
                <c:pt idx="1697">
                  <c:v>-3.5608270182646901E-5</c:v>
                </c:pt>
                <c:pt idx="1698">
                  <c:v>-1.987659676406418E-2</c:v>
                </c:pt>
                <c:pt idx="1699">
                  <c:v>-3.74744852460316E-2</c:v>
                </c:pt>
                <c:pt idx="1700">
                  <c:v>-3.2564683274997537E-3</c:v>
                </c:pt>
                <c:pt idx="1701">
                  <c:v>5.0573034829638945E-3</c:v>
                </c:pt>
                <c:pt idx="1702">
                  <c:v>3.8843597999587897E-3</c:v>
                </c:pt>
                <c:pt idx="1703">
                  <c:v>1.9732217801647498E-2</c:v>
                </c:pt>
                <c:pt idx="1704">
                  <c:v>-2.2204599524187196E-2</c:v>
                </c:pt>
                <c:pt idx="1705">
                  <c:v>-8.4559289031247015E-3</c:v>
                </c:pt>
                <c:pt idx="1706">
                  <c:v>-2.4845556514236335E-2</c:v>
                </c:pt>
                <c:pt idx="1707">
                  <c:v>4.9300834185686251E-3</c:v>
                </c:pt>
                <c:pt idx="1708">
                  <c:v>-1.2467247062800987E-3</c:v>
                </c:pt>
                <c:pt idx="1709">
                  <c:v>-7.8881483832292706E-3</c:v>
                </c:pt>
                <c:pt idx="1710">
                  <c:v>1.325736707978951E-3</c:v>
                </c:pt>
                <c:pt idx="1711">
                  <c:v>-1.187323853673437E-2</c:v>
                </c:pt>
                <c:pt idx="1712">
                  <c:v>-1.7429350422622229E-2</c:v>
                </c:pt>
                <c:pt idx="1713">
                  <c:v>2.8472300926044445E-2</c:v>
                </c:pt>
                <c:pt idx="1714">
                  <c:v>1.4887120223804501E-2</c:v>
                </c:pt>
                <c:pt idx="1715">
                  <c:v>-2.6514421813979309E-3</c:v>
                </c:pt>
                <c:pt idx="1716">
                  <c:v>-2.6595445797687786E-2</c:v>
                </c:pt>
                <c:pt idx="1717">
                  <c:v>-3.1821051682150857E-3</c:v>
                </c:pt>
                <c:pt idx="1718">
                  <c:v>1.0724122580014735E-2</c:v>
                </c:pt>
                <c:pt idx="1719">
                  <c:v>3.5916864812216031E-3</c:v>
                </c:pt>
                <c:pt idx="1720">
                  <c:v>1.8393700113109562E-2</c:v>
                </c:pt>
                <c:pt idx="1721">
                  <c:v>2.2234368321105497E-2</c:v>
                </c:pt>
                <c:pt idx="1722">
                  <c:v>-8.9457088017553036E-4</c:v>
                </c:pt>
                <c:pt idx="1723">
                  <c:v>-7.6604036377483043E-3</c:v>
                </c:pt>
                <c:pt idx="1724">
                  <c:v>-8.1274674521028267E-3</c:v>
                </c:pt>
                <c:pt idx="1725">
                  <c:v>-6.6953627380931758E-3</c:v>
                </c:pt>
                <c:pt idx="1726">
                  <c:v>1.6547716794037718E-2</c:v>
                </c:pt>
                <c:pt idx="1727">
                  <c:v>-6.8861965413688922E-3</c:v>
                </c:pt>
                <c:pt idx="1728">
                  <c:v>-2.9049580313852224E-2</c:v>
                </c:pt>
                <c:pt idx="1729">
                  <c:v>8.795197542928835E-3</c:v>
                </c:pt>
                <c:pt idx="1730">
                  <c:v>-1.1496944793373579E-3</c:v>
                </c:pt>
                <c:pt idx="1731">
                  <c:v>-7.645031795090405E-3</c:v>
                </c:pt>
                <c:pt idx="1732">
                  <c:v>-3.4037617509969975E-2</c:v>
                </c:pt>
                <c:pt idx="1733">
                  <c:v>2.1235592780639561E-2</c:v>
                </c:pt>
                <c:pt idx="1734">
                  <c:v>1.2875598780664835E-2</c:v>
                </c:pt>
                <c:pt idx="1735">
                  <c:v>-1.9458417530131687E-2</c:v>
                </c:pt>
                <c:pt idx="1736">
                  <c:v>3.2739324093731064E-3</c:v>
                </c:pt>
                <c:pt idx="1737">
                  <c:v>-1.8519665079960487E-2</c:v>
                </c:pt>
                <c:pt idx="1738">
                  <c:v>-2.3403639494151932E-2</c:v>
                </c:pt>
                <c:pt idx="1739">
                  <c:v>-3.642360200774377E-2</c:v>
                </c:pt>
                <c:pt idx="1740">
                  <c:v>1.434176541335608E-2</c:v>
                </c:pt>
                <c:pt idx="1741">
                  <c:v>1.6117745848106001E-2</c:v>
                </c:pt>
                <c:pt idx="1742">
                  <c:v>-4.8703410386490131E-3</c:v>
                </c:pt>
                <c:pt idx="1743">
                  <c:v>-4.6135214624873523E-4</c:v>
                </c:pt>
                <c:pt idx="1744">
                  <c:v>3.1547973921572395E-2</c:v>
                </c:pt>
                <c:pt idx="1745">
                  <c:v>-1.2726194781999168E-2</c:v>
                </c:pt>
                <c:pt idx="1746">
                  <c:v>-2.0304108409435886E-2</c:v>
                </c:pt>
                <c:pt idx="1747">
                  <c:v>2.8450489209631952E-3</c:v>
                </c:pt>
                <c:pt idx="1748">
                  <c:v>1.0286926838269121E-2</c:v>
                </c:pt>
                <c:pt idx="1749">
                  <c:v>-4.6382965770208574E-3</c:v>
                </c:pt>
                <c:pt idx="1750">
                  <c:v>-2.4561054768285087E-2</c:v>
                </c:pt>
                <c:pt idx="1751">
                  <c:v>-1.2936575119137103E-2</c:v>
                </c:pt>
                <c:pt idx="1752">
                  <c:v>1.2677325731437558E-2</c:v>
                </c:pt>
                <c:pt idx="1753">
                  <c:v>1.3204736140516071E-2</c:v>
                </c:pt>
                <c:pt idx="1754">
                  <c:v>-2.887458015385343E-2</c:v>
                </c:pt>
                <c:pt idx="1755">
                  <c:v>-2.0970968178956377E-2</c:v>
                </c:pt>
                <c:pt idx="1756">
                  <c:v>-1.6780421891470602E-2</c:v>
                </c:pt>
                <c:pt idx="1757">
                  <c:v>1.49018958522921E-4</c:v>
                </c:pt>
                <c:pt idx="1758">
                  <c:v>3.9517250513211054E-2</c:v>
                </c:pt>
                <c:pt idx="1759">
                  <c:v>-4.4472934019206866E-3</c:v>
                </c:pt>
                <c:pt idx="1760">
                  <c:v>1.6916819637908147E-3</c:v>
                </c:pt>
                <c:pt idx="1761">
                  <c:v>-1.3462690142531961E-2</c:v>
                </c:pt>
                <c:pt idx="1762">
                  <c:v>4.6192199046532094E-2</c:v>
                </c:pt>
                <c:pt idx="1763">
                  <c:v>-1.0018877266819371E-2</c:v>
                </c:pt>
                <c:pt idx="1764">
                  <c:v>-8.4322567032142325E-3</c:v>
                </c:pt>
                <c:pt idx="1765">
                  <c:v>3.3495688907804102E-3</c:v>
                </c:pt>
                <c:pt idx="1766">
                  <c:v>-2.2763870015003119E-2</c:v>
                </c:pt>
                <c:pt idx="1767">
                  <c:v>1.4862268806919121E-2</c:v>
                </c:pt>
                <c:pt idx="1768">
                  <c:v>4.4749639626800249E-4</c:v>
                </c:pt>
                <c:pt idx="1769">
                  <c:v>-1.4269937338943741E-2</c:v>
                </c:pt>
                <c:pt idx="1770">
                  <c:v>-9.9147070161910503E-3</c:v>
                </c:pt>
                <c:pt idx="1771">
                  <c:v>-3.2812151446938852E-2</c:v>
                </c:pt>
                <c:pt idx="1772">
                  <c:v>-9.2005116054767171E-3</c:v>
                </c:pt>
                <c:pt idx="1773">
                  <c:v>-3.9526645250580847E-2</c:v>
                </c:pt>
                <c:pt idx="1774">
                  <c:v>-7.3502194489980651E-3</c:v>
                </c:pt>
                <c:pt idx="1775">
                  <c:v>-8.1459975850557177E-3</c:v>
                </c:pt>
                <c:pt idx="1776">
                  <c:v>-9.7928200904985972E-3</c:v>
                </c:pt>
                <c:pt idx="1777">
                  <c:v>-9.6862697239660997E-3</c:v>
                </c:pt>
                <c:pt idx="1778">
                  <c:v>-1.4253895517074559E-2</c:v>
                </c:pt>
                <c:pt idx="1779">
                  <c:v>2.2359069336728772E-2</c:v>
                </c:pt>
                <c:pt idx="1780">
                  <c:v>2.5982319160884719E-2</c:v>
                </c:pt>
                <c:pt idx="1781">
                  <c:v>-2.3969171143412614E-3</c:v>
                </c:pt>
                <c:pt idx="1782">
                  <c:v>2.0770095310577993E-2</c:v>
                </c:pt>
                <c:pt idx="1783">
                  <c:v>-4.8116102855755329E-3</c:v>
                </c:pt>
                <c:pt idx="1784">
                  <c:v>-4.7390474863012377E-3</c:v>
                </c:pt>
                <c:pt idx="1785">
                  <c:v>-1.4022250037200085E-2</c:v>
                </c:pt>
                <c:pt idx="1786">
                  <c:v>1.2894491544231758E-2</c:v>
                </c:pt>
                <c:pt idx="1787">
                  <c:v>1.149893731238644E-2</c:v>
                </c:pt>
                <c:pt idx="1788">
                  <c:v>-2.2168885577010588E-2</c:v>
                </c:pt>
                <c:pt idx="1789">
                  <c:v>3.4160087194619617E-3</c:v>
                </c:pt>
                <c:pt idx="1790">
                  <c:v>-8.5219871684484166E-3</c:v>
                </c:pt>
                <c:pt idx="1791">
                  <c:v>-1.5315552032350096E-2</c:v>
                </c:pt>
                <c:pt idx="1792">
                  <c:v>1.4472827266813975E-4</c:v>
                </c:pt>
                <c:pt idx="1793">
                  <c:v>-3.3251031039722254E-2</c:v>
                </c:pt>
                <c:pt idx="1794">
                  <c:v>-7.0585593803062664E-3</c:v>
                </c:pt>
                <c:pt idx="1795">
                  <c:v>3.3923137077550819E-2</c:v>
                </c:pt>
                <c:pt idx="1796">
                  <c:v>8.2788472491172448E-3</c:v>
                </c:pt>
                <c:pt idx="1797">
                  <c:v>-1.9431339587513329E-2</c:v>
                </c:pt>
                <c:pt idx="1798">
                  <c:v>1.0355220468957288E-2</c:v>
                </c:pt>
                <c:pt idx="1799">
                  <c:v>2.1574628601663108E-3</c:v>
                </c:pt>
                <c:pt idx="1800">
                  <c:v>-5.0657224002330819E-3</c:v>
                </c:pt>
                <c:pt idx="1801">
                  <c:v>-9.7347197379675787E-3</c:v>
                </c:pt>
                <c:pt idx="1802">
                  <c:v>6.0516189235507081E-4</c:v>
                </c:pt>
                <c:pt idx="1803">
                  <c:v>-9.8521712634233038E-3</c:v>
                </c:pt>
                <c:pt idx="1804">
                  <c:v>-2.4572430385884992E-3</c:v>
                </c:pt>
                <c:pt idx="1805">
                  <c:v>1.3639274379385108E-2</c:v>
                </c:pt>
                <c:pt idx="1806">
                  <c:v>1.4982085133658174E-2</c:v>
                </c:pt>
                <c:pt idx="1807">
                  <c:v>-2.2275428426045282E-2</c:v>
                </c:pt>
                <c:pt idx="1808">
                  <c:v>-7.6624613740388162E-3</c:v>
                </c:pt>
                <c:pt idx="1809">
                  <c:v>2.8938545393245887E-2</c:v>
                </c:pt>
                <c:pt idx="1810">
                  <c:v>3.2279644664506425E-2</c:v>
                </c:pt>
                <c:pt idx="1811">
                  <c:v>7.1199008945064743E-3</c:v>
                </c:pt>
                <c:pt idx="1812">
                  <c:v>2.8983033040920328E-2</c:v>
                </c:pt>
                <c:pt idx="1813">
                  <c:v>2.190883372684151E-2</c:v>
                </c:pt>
                <c:pt idx="1814">
                  <c:v>-1.7359448827092699E-3</c:v>
                </c:pt>
                <c:pt idx="1815">
                  <c:v>-3.4616635668354288E-2</c:v>
                </c:pt>
                <c:pt idx="1816">
                  <c:v>-4.8380756554075902E-4</c:v>
                </c:pt>
                <c:pt idx="1817">
                  <c:v>-2.2019577760010296E-2</c:v>
                </c:pt>
                <c:pt idx="1818">
                  <c:v>3.0005744840690988E-3</c:v>
                </c:pt>
                <c:pt idx="1819">
                  <c:v>3.1396358092955323E-2</c:v>
                </c:pt>
                <c:pt idx="1820">
                  <c:v>4.9808838292147673E-3</c:v>
                </c:pt>
                <c:pt idx="1821">
                  <c:v>-1.3253365411181746E-2</c:v>
                </c:pt>
                <c:pt idx="1822">
                  <c:v>-2.0030756904149599E-2</c:v>
                </c:pt>
                <c:pt idx="1823">
                  <c:v>-3.4027420623931222E-2</c:v>
                </c:pt>
                <c:pt idx="1824">
                  <c:v>-3.3023590228985475E-2</c:v>
                </c:pt>
                <c:pt idx="1825">
                  <c:v>2.9290100943551726E-2</c:v>
                </c:pt>
                <c:pt idx="18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E5-4390-A8BD-6A277FE5F306}"/>
            </c:ext>
          </c:extLst>
        </c:ser>
        <c:ser>
          <c:idx val="2"/>
          <c:order val="2"/>
          <c:tx>
            <c:v>HBL</c:v>
          </c:tx>
          <c:spPr>
            <a:ln w="47520">
              <a:noFill/>
            </a:ln>
          </c:spPr>
          <c:marker>
            <c:symbol val="circle"/>
            <c:size val="3"/>
            <c:spPr>
              <a:solidFill>
                <a:srgbClr val="00B05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'Scatter Data'!$A$3:$A$1830</c:f>
              <c:strCache>
                <c:ptCount val="1828"/>
                <c:pt idx="0">
                  <c:v>1.22%</c:v>
                </c:pt>
                <c:pt idx="1">
                  <c:v>-0.13%</c:v>
                </c:pt>
                <c:pt idx="2">
                  <c:v>0.80%</c:v>
                </c:pt>
                <c:pt idx="3">
                  <c:v>0.42%</c:v>
                </c:pt>
                <c:pt idx="4">
                  <c:v>0.54%</c:v>
                </c:pt>
                <c:pt idx="5">
                  <c:v>0.88%</c:v>
                </c:pt>
                <c:pt idx="6">
                  <c:v>-0.32%</c:v>
                </c:pt>
                <c:pt idx="7">
                  <c:v>-0.33%</c:v>
                </c:pt>
                <c:pt idx="8">
                  <c:v>-2.01%</c:v>
                </c:pt>
                <c:pt idx="9">
                  <c:v>0.29%</c:v>
                </c:pt>
                <c:pt idx="10">
                  <c:v>-1.29%</c:v>
                </c:pt>
                <c:pt idx="11">
                  <c:v>-0.84%</c:v>
                </c:pt>
                <c:pt idx="12">
                  <c:v>-0.40%</c:v>
                </c:pt>
                <c:pt idx="13">
                  <c:v>0.78%</c:v>
                </c:pt>
                <c:pt idx="14">
                  <c:v>0.69%</c:v>
                </c:pt>
                <c:pt idx="15">
                  <c:v>0.56%</c:v>
                </c:pt>
                <c:pt idx="16">
                  <c:v>-0.17%</c:v>
                </c:pt>
                <c:pt idx="17">
                  <c:v>0.36%</c:v>
                </c:pt>
                <c:pt idx="18">
                  <c:v>-0.98%</c:v>
                </c:pt>
                <c:pt idx="19">
                  <c:v>1.78%</c:v>
                </c:pt>
                <c:pt idx="20">
                  <c:v>1.87%</c:v>
                </c:pt>
                <c:pt idx="21">
                  <c:v>-0.65%</c:v>
                </c:pt>
                <c:pt idx="22">
                  <c:v>-1.37%</c:v>
                </c:pt>
                <c:pt idx="23">
                  <c:v>-1.28%</c:v>
                </c:pt>
                <c:pt idx="24">
                  <c:v>-1.02%</c:v>
                </c:pt>
                <c:pt idx="25">
                  <c:v>-1.02%</c:v>
                </c:pt>
                <c:pt idx="26">
                  <c:v>0.38%</c:v>
                </c:pt>
                <c:pt idx="27">
                  <c:v>0.24%</c:v>
                </c:pt>
                <c:pt idx="28">
                  <c:v>1.00%</c:v>
                </c:pt>
                <c:pt idx="29">
                  <c:v>0.24%</c:v>
                </c:pt>
                <c:pt idx="30">
                  <c:v>0.28%</c:v>
                </c:pt>
                <c:pt idx="31">
                  <c:v>-0.30%</c:v>
                </c:pt>
                <c:pt idx="32">
                  <c:v>1.80%</c:v>
                </c:pt>
                <c:pt idx="33">
                  <c:v>1.86%</c:v>
                </c:pt>
                <c:pt idx="34">
                  <c:v>-0.86%</c:v>
                </c:pt>
                <c:pt idx="35">
                  <c:v>0.38%</c:v>
                </c:pt>
                <c:pt idx="36">
                  <c:v>-0.26%</c:v>
                </c:pt>
                <c:pt idx="37">
                  <c:v>-0.26%</c:v>
                </c:pt>
                <c:pt idx="38">
                  <c:v>-0.60%</c:v>
                </c:pt>
                <c:pt idx="39">
                  <c:v>-1.27%</c:v>
                </c:pt>
                <c:pt idx="40">
                  <c:v>-0.27%</c:v>
                </c:pt>
                <c:pt idx="41">
                  <c:v>1.10%</c:v>
                </c:pt>
                <c:pt idx="42">
                  <c:v>1.60%</c:v>
                </c:pt>
                <c:pt idx="43">
                  <c:v>1.11%</c:v>
                </c:pt>
                <c:pt idx="44">
                  <c:v>0.20%</c:v>
                </c:pt>
                <c:pt idx="45">
                  <c:v>1.56%</c:v>
                </c:pt>
                <c:pt idx="46">
                  <c:v>-0.05%</c:v>
                </c:pt>
                <c:pt idx="47">
                  <c:v>-0.10%</c:v>
                </c:pt>
                <c:pt idx="48">
                  <c:v>-1.47%</c:v>
                </c:pt>
                <c:pt idx="49">
                  <c:v>1.38%</c:v>
                </c:pt>
                <c:pt idx="50">
                  <c:v>1.18%</c:v>
                </c:pt>
                <c:pt idx="51">
                  <c:v>-1.04%</c:v>
                </c:pt>
                <c:pt idx="52">
                  <c:v>-1.39%</c:v>
                </c:pt>
                <c:pt idx="53">
                  <c:v>2.29%</c:v>
                </c:pt>
                <c:pt idx="54">
                  <c:v>0.29%</c:v>
                </c:pt>
                <c:pt idx="55">
                  <c:v>-1.19%</c:v>
                </c:pt>
                <c:pt idx="56">
                  <c:v>-0.31%</c:v>
                </c:pt>
                <c:pt idx="57">
                  <c:v>0.69%</c:v>
                </c:pt>
                <c:pt idx="58">
                  <c:v>1.25%</c:v>
                </c:pt>
                <c:pt idx="59">
                  <c:v>0.95%</c:v>
                </c:pt>
                <c:pt idx="60">
                  <c:v>1.86%</c:v>
                </c:pt>
                <c:pt idx="61">
                  <c:v>0.86%</c:v>
                </c:pt>
                <c:pt idx="62">
                  <c:v>0.55%</c:v>
                </c:pt>
                <c:pt idx="63">
                  <c:v>1.42%</c:v>
                </c:pt>
                <c:pt idx="64">
                  <c:v>-0.53%</c:v>
                </c:pt>
                <c:pt idx="65">
                  <c:v>-0.63%</c:v>
                </c:pt>
                <c:pt idx="66">
                  <c:v>-1.57%</c:v>
                </c:pt>
                <c:pt idx="67">
                  <c:v>0.90%</c:v>
                </c:pt>
                <c:pt idx="68">
                  <c:v>-0.76%</c:v>
                </c:pt>
                <c:pt idx="69">
                  <c:v>0.32%</c:v>
                </c:pt>
                <c:pt idx="70">
                  <c:v>0.15%</c:v>
                </c:pt>
                <c:pt idx="71">
                  <c:v>-0.35%</c:v>
                </c:pt>
                <c:pt idx="72">
                  <c:v>-0.42%</c:v>
                </c:pt>
                <c:pt idx="73">
                  <c:v>1.16%</c:v>
                </c:pt>
                <c:pt idx="74">
                  <c:v>1.88%</c:v>
                </c:pt>
                <c:pt idx="75">
                  <c:v>-0.44%</c:v>
                </c:pt>
                <c:pt idx="76">
                  <c:v>-0.85%</c:v>
                </c:pt>
                <c:pt idx="77">
                  <c:v>2.22%</c:v>
                </c:pt>
                <c:pt idx="78">
                  <c:v>0.14%</c:v>
                </c:pt>
                <c:pt idx="79">
                  <c:v>-0.60%</c:v>
                </c:pt>
                <c:pt idx="80">
                  <c:v>-0.34%</c:v>
                </c:pt>
                <c:pt idx="81">
                  <c:v>1.01%</c:v>
                </c:pt>
                <c:pt idx="82">
                  <c:v>-0.06%</c:v>
                </c:pt>
                <c:pt idx="83">
                  <c:v>0.14%</c:v>
                </c:pt>
                <c:pt idx="84">
                  <c:v>-1.43%</c:v>
                </c:pt>
                <c:pt idx="85">
                  <c:v>-0.85%</c:v>
                </c:pt>
                <c:pt idx="86">
                  <c:v>1.30%</c:v>
                </c:pt>
                <c:pt idx="87">
                  <c:v>0.51%</c:v>
                </c:pt>
                <c:pt idx="88">
                  <c:v>1.18%</c:v>
                </c:pt>
                <c:pt idx="89">
                  <c:v>-1.89%</c:v>
                </c:pt>
                <c:pt idx="90">
                  <c:v>-0.62%</c:v>
                </c:pt>
                <c:pt idx="91">
                  <c:v>0.39%</c:v>
                </c:pt>
                <c:pt idx="92">
                  <c:v>0.80%</c:v>
                </c:pt>
                <c:pt idx="93">
                  <c:v>2.40%</c:v>
                </c:pt>
                <c:pt idx="94">
                  <c:v>0.26%</c:v>
                </c:pt>
                <c:pt idx="95">
                  <c:v>-0.98%</c:v>
                </c:pt>
                <c:pt idx="96">
                  <c:v>-0.83%</c:v>
                </c:pt>
                <c:pt idx="97">
                  <c:v>-1.48%</c:v>
                </c:pt>
                <c:pt idx="98">
                  <c:v>1.56%</c:v>
                </c:pt>
                <c:pt idx="99">
                  <c:v>-0.14%</c:v>
                </c:pt>
                <c:pt idx="100">
                  <c:v>-0.69%</c:v>
                </c:pt>
                <c:pt idx="101">
                  <c:v>1.34%</c:v>
                </c:pt>
                <c:pt idx="102">
                  <c:v>1.56%</c:v>
                </c:pt>
                <c:pt idx="103">
                  <c:v>-0.33%</c:v>
                </c:pt>
                <c:pt idx="104">
                  <c:v>-0.55%</c:v>
                </c:pt>
                <c:pt idx="105">
                  <c:v>0.37%</c:v>
                </c:pt>
                <c:pt idx="106">
                  <c:v>-1.88%</c:v>
                </c:pt>
                <c:pt idx="107">
                  <c:v>0.60%</c:v>
                </c:pt>
                <c:pt idx="108">
                  <c:v>0.81%</c:v>
                </c:pt>
                <c:pt idx="109">
                  <c:v>0.24%</c:v>
                </c:pt>
                <c:pt idx="110">
                  <c:v>0.84%</c:v>
                </c:pt>
                <c:pt idx="111">
                  <c:v>0.05%</c:v>
                </c:pt>
                <c:pt idx="112">
                  <c:v>0.23%</c:v>
                </c:pt>
                <c:pt idx="113">
                  <c:v>1.61%</c:v>
                </c:pt>
                <c:pt idx="114">
                  <c:v>0.16%</c:v>
                </c:pt>
                <c:pt idx="115">
                  <c:v>1.88%</c:v>
                </c:pt>
                <c:pt idx="116">
                  <c:v>1.01%</c:v>
                </c:pt>
                <c:pt idx="117">
                  <c:v>-0.26%</c:v>
                </c:pt>
                <c:pt idx="118">
                  <c:v>-0.01%</c:v>
                </c:pt>
                <c:pt idx="119">
                  <c:v>-0.73%</c:v>
                </c:pt>
                <c:pt idx="120">
                  <c:v>1.42%</c:v>
                </c:pt>
                <c:pt idx="121">
                  <c:v>3.18%</c:v>
                </c:pt>
                <c:pt idx="122">
                  <c:v>-0.25%</c:v>
                </c:pt>
                <c:pt idx="123">
                  <c:v>0.37%</c:v>
                </c:pt>
                <c:pt idx="124">
                  <c:v>0.59%</c:v>
                </c:pt>
                <c:pt idx="125">
                  <c:v>0.14%</c:v>
                </c:pt>
                <c:pt idx="126">
                  <c:v>-0.15%</c:v>
                </c:pt>
                <c:pt idx="127">
                  <c:v>0.76%</c:v>
                </c:pt>
                <c:pt idx="128">
                  <c:v>-1.62%</c:v>
                </c:pt>
                <c:pt idx="129">
                  <c:v>-0.95%</c:v>
                </c:pt>
                <c:pt idx="130">
                  <c:v>0.30%</c:v>
                </c:pt>
                <c:pt idx="131">
                  <c:v>0.11%</c:v>
                </c:pt>
                <c:pt idx="132">
                  <c:v>0.26%</c:v>
                </c:pt>
                <c:pt idx="133">
                  <c:v>0.70%</c:v>
                </c:pt>
                <c:pt idx="134">
                  <c:v>1.39%</c:v>
                </c:pt>
                <c:pt idx="135">
                  <c:v>-1.16%</c:v>
                </c:pt>
                <c:pt idx="136">
                  <c:v>-0.74%</c:v>
                </c:pt>
                <c:pt idx="137">
                  <c:v>1.25%</c:v>
                </c:pt>
                <c:pt idx="138">
                  <c:v>0.14%</c:v>
                </c:pt>
                <c:pt idx="139">
                  <c:v>0.25%</c:v>
                </c:pt>
                <c:pt idx="140">
                  <c:v>1.41%</c:v>
                </c:pt>
                <c:pt idx="141">
                  <c:v>-2.04%</c:v>
                </c:pt>
                <c:pt idx="142">
                  <c:v>1.73%</c:v>
                </c:pt>
                <c:pt idx="143">
                  <c:v>0.26%</c:v>
                </c:pt>
                <c:pt idx="144">
                  <c:v>-1.41%</c:v>
                </c:pt>
                <c:pt idx="145">
                  <c:v>1.41%</c:v>
                </c:pt>
                <c:pt idx="146">
                  <c:v>2.07%</c:v>
                </c:pt>
                <c:pt idx="147">
                  <c:v>1.74%</c:v>
                </c:pt>
                <c:pt idx="148">
                  <c:v>-0.25%</c:v>
                </c:pt>
                <c:pt idx="149">
                  <c:v>0.83%</c:v>
                </c:pt>
                <c:pt idx="150">
                  <c:v>0.64%</c:v>
                </c:pt>
                <c:pt idx="151">
                  <c:v>-1.52%</c:v>
                </c:pt>
                <c:pt idx="152">
                  <c:v>2.94%</c:v>
                </c:pt>
                <c:pt idx="153">
                  <c:v>-1.09%</c:v>
                </c:pt>
                <c:pt idx="154">
                  <c:v>2.38%</c:v>
                </c:pt>
                <c:pt idx="155">
                  <c:v>0.00%</c:v>
                </c:pt>
                <c:pt idx="156">
                  <c:v>0.34%</c:v>
                </c:pt>
                <c:pt idx="157">
                  <c:v>-0.25%</c:v>
                </c:pt>
                <c:pt idx="158">
                  <c:v>1.62%</c:v>
                </c:pt>
                <c:pt idx="159">
                  <c:v>2.06%</c:v>
                </c:pt>
                <c:pt idx="160">
                  <c:v>0.24%</c:v>
                </c:pt>
                <c:pt idx="161">
                  <c:v>-0.67%</c:v>
                </c:pt>
                <c:pt idx="162">
                  <c:v>-0.76%</c:v>
                </c:pt>
                <c:pt idx="163">
                  <c:v>0.80%</c:v>
                </c:pt>
                <c:pt idx="164">
                  <c:v>-2.49%</c:v>
                </c:pt>
                <c:pt idx="165">
                  <c:v>-1.79%</c:v>
                </c:pt>
                <c:pt idx="166">
                  <c:v>0.05%</c:v>
                </c:pt>
                <c:pt idx="167">
                  <c:v>0.38%</c:v>
                </c:pt>
                <c:pt idx="168">
                  <c:v>-0.51%</c:v>
                </c:pt>
                <c:pt idx="169">
                  <c:v>-0.45%</c:v>
                </c:pt>
                <c:pt idx="170">
                  <c:v>-1.92%</c:v>
                </c:pt>
                <c:pt idx="171">
                  <c:v>-0.41%</c:v>
                </c:pt>
                <c:pt idx="172">
                  <c:v>-0.14%</c:v>
                </c:pt>
                <c:pt idx="173">
                  <c:v>0.37%</c:v>
                </c:pt>
                <c:pt idx="174">
                  <c:v>0.69%</c:v>
                </c:pt>
                <c:pt idx="175">
                  <c:v>-2.17%</c:v>
                </c:pt>
                <c:pt idx="176">
                  <c:v>1.81%</c:v>
                </c:pt>
                <c:pt idx="177">
                  <c:v>-2.36%</c:v>
                </c:pt>
                <c:pt idx="178">
                  <c:v>0.62%</c:v>
                </c:pt>
                <c:pt idx="179">
                  <c:v>-0.48%</c:v>
                </c:pt>
                <c:pt idx="180">
                  <c:v>1.15%</c:v>
                </c:pt>
                <c:pt idx="181">
                  <c:v>0.66%</c:v>
                </c:pt>
                <c:pt idx="182">
                  <c:v>-0.18%</c:v>
                </c:pt>
                <c:pt idx="183">
                  <c:v>-0.32%</c:v>
                </c:pt>
                <c:pt idx="184">
                  <c:v>-1.85%</c:v>
                </c:pt>
                <c:pt idx="185">
                  <c:v>-0.07%</c:v>
                </c:pt>
                <c:pt idx="186">
                  <c:v>-0.79%</c:v>
                </c:pt>
                <c:pt idx="187">
                  <c:v>-1.03%</c:v>
                </c:pt>
                <c:pt idx="188">
                  <c:v>-1.23%</c:v>
                </c:pt>
                <c:pt idx="189">
                  <c:v>0.05%</c:v>
                </c:pt>
                <c:pt idx="190">
                  <c:v>-0.44%</c:v>
                </c:pt>
                <c:pt idx="191">
                  <c:v>1.02%</c:v>
                </c:pt>
                <c:pt idx="192">
                  <c:v>-0.58%</c:v>
                </c:pt>
                <c:pt idx="193">
                  <c:v>-1.65%</c:v>
                </c:pt>
                <c:pt idx="194">
                  <c:v>-0.86%</c:v>
                </c:pt>
                <c:pt idx="195">
                  <c:v>0.07%</c:v>
                </c:pt>
                <c:pt idx="196">
                  <c:v>-2.04%</c:v>
                </c:pt>
                <c:pt idx="197">
                  <c:v>1.53%</c:v>
                </c:pt>
                <c:pt idx="198">
                  <c:v>-0.23%</c:v>
                </c:pt>
                <c:pt idx="199">
                  <c:v>-0.12%</c:v>
                </c:pt>
                <c:pt idx="200">
                  <c:v>0.18%</c:v>
                </c:pt>
                <c:pt idx="201">
                  <c:v>0.79%</c:v>
                </c:pt>
                <c:pt idx="202">
                  <c:v>0.78%</c:v>
                </c:pt>
                <c:pt idx="203">
                  <c:v>-0.83%</c:v>
                </c:pt>
                <c:pt idx="204">
                  <c:v>-0.78%</c:v>
                </c:pt>
                <c:pt idx="205">
                  <c:v>2.27%</c:v>
                </c:pt>
                <c:pt idx="206">
                  <c:v>-2.36%</c:v>
                </c:pt>
                <c:pt idx="207">
                  <c:v>-1.12%</c:v>
                </c:pt>
                <c:pt idx="208">
                  <c:v>-0.97%</c:v>
                </c:pt>
                <c:pt idx="209">
                  <c:v>1.06%</c:v>
                </c:pt>
                <c:pt idx="210">
                  <c:v>0.35%</c:v>
                </c:pt>
                <c:pt idx="211">
                  <c:v>0.39%</c:v>
                </c:pt>
                <c:pt idx="212">
                  <c:v>-0.96%</c:v>
                </c:pt>
                <c:pt idx="213">
                  <c:v>0.40%</c:v>
                </c:pt>
                <c:pt idx="214">
                  <c:v>-1.06%</c:v>
                </c:pt>
                <c:pt idx="215">
                  <c:v>-0.60%</c:v>
                </c:pt>
                <c:pt idx="216">
                  <c:v>-0.83%</c:v>
                </c:pt>
                <c:pt idx="217">
                  <c:v>-0.79%</c:v>
                </c:pt>
                <c:pt idx="218">
                  <c:v>-1.10%</c:v>
                </c:pt>
                <c:pt idx="219">
                  <c:v>0.27%</c:v>
                </c:pt>
                <c:pt idx="220">
                  <c:v>0.37%</c:v>
                </c:pt>
                <c:pt idx="221">
                  <c:v>-0.90%</c:v>
                </c:pt>
                <c:pt idx="222">
                  <c:v>-0.49%</c:v>
                </c:pt>
                <c:pt idx="223">
                  <c:v>0.52%</c:v>
                </c:pt>
                <c:pt idx="224">
                  <c:v>0.20%</c:v>
                </c:pt>
                <c:pt idx="225">
                  <c:v>1.66%</c:v>
                </c:pt>
                <c:pt idx="226">
                  <c:v>-0.26%</c:v>
                </c:pt>
                <c:pt idx="227">
                  <c:v>0.40%</c:v>
                </c:pt>
                <c:pt idx="228">
                  <c:v>0.78%</c:v>
                </c:pt>
                <c:pt idx="229">
                  <c:v>-1.10%</c:v>
                </c:pt>
                <c:pt idx="230">
                  <c:v>-1.20%</c:v>
                </c:pt>
                <c:pt idx="231">
                  <c:v>-1.53%</c:v>
                </c:pt>
                <c:pt idx="232">
                  <c:v>0.50%</c:v>
                </c:pt>
                <c:pt idx="233">
                  <c:v>-0.19%</c:v>
                </c:pt>
                <c:pt idx="234">
                  <c:v>0.32%</c:v>
                </c:pt>
                <c:pt idx="235">
                  <c:v>0.17%</c:v>
                </c:pt>
                <c:pt idx="236">
                  <c:v>0.27%</c:v>
                </c:pt>
                <c:pt idx="237">
                  <c:v>0.75%</c:v>
                </c:pt>
                <c:pt idx="238">
                  <c:v>-0.42%</c:v>
                </c:pt>
                <c:pt idx="239">
                  <c:v>0.88%</c:v>
                </c:pt>
                <c:pt idx="240">
                  <c:v>0.72%</c:v>
                </c:pt>
                <c:pt idx="241">
                  <c:v>-1.54%</c:v>
                </c:pt>
                <c:pt idx="242">
                  <c:v>-0.24%</c:v>
                </c:pt>
                <c:pt idx="243">
                  <c:v>1.79%</c:v>
                </c:pt>
                <c:pt idx="244">
                  <c:v>4.11%</c:v>
                </c:pt>
                <c:pt idx="245">
                  <c:v>-0.02%</c:v>
                </c:pt>
                <c:pt idx="246">
                  <c:v>0.06%</c:v>
                </c:pt>
                <c:pt idx="247">
                  <c:v>-1.82%</c:v>
                </c:pt>
                <c:pt idx="248">
                  <c:v>0.16%</c:v>
                </c:pt>
                <c:pt idx="249">
                  <c:v>-0.04%</c:v>
                </c:pt>
                <c:pt idx="250">
                  <c:v>-0.61%</c:v>
                </c:pt>
                <c:pt idx="251">
                  <c:v>2.04%</c:v>
                </c:pt>
                <c:pt idx="252">
                  <c:v>0.27%</c:v>
                </c:pt>
                <c:pt idx="253">
                  <c:v>-1.09%</c:v>
                </c:pt>
                <c:pt idx="254">
                  <c:v>-1.20%</c:v>
                </c:pt>
                <c:pt idx="255">
                  <c:v>0.87%</c:v>
                </c:pt>
                <c:pt idx="256">
                  <c:v>-0.68%</c:v>
                </c:pt>
                <c:pt idx="257">
                  <c:v>-1.03%</c:v>
                </c:pt>
                <c:pt idx="258">
                  <c:v>-1.88%</c:v>
                </c:pt>
                <c:pt idx="259">
                  <c:v>-0.12%</c:v>
                </c:pt>
                <c:pt idx="260">
                  <c:v>0.71%</c:v>
                </c:pt>
                <c:pt idx="261">
                  <c:v>0.96%</c:v>
                </c:pt>
                <c:pt idx="262">
                  <c:v>0.31%</c:v>
                </c:pt>
                <c:pt idx="263">
                  <c:v>1.90%</c:v>
                </c:pt>
                <c:pt idx="264">
                  <c:v>-1.31%</c:v>
                </c:pt>
                <c:pt idx="265">
                  <c:v>0.25%</c:v>
                </c:pt>
                <c:pt idx="266">
                  <c:v>0.46%</c:v>
                </c:pt>
                <c:pt idx="267">
                  <c:v>-1.82%</c:v>
                </c:pt>
                <c:pt idx="268">
                  <c:v>-0.18%</c:v>
                </c:pt>
                <c:pt idx="269">
                  <c:v>-1.21%</c:v>
                </c:pt>
                <c:pt idx="270">
                  <c:v>0.29%</c:v>
                </c:pt>
                <c:pt idx="271">
                  <c:v>-0.91%</c:v>
                </c:pt>
                <c:pt idx="272">
                  <c:v>0.78%</c:v>
                </c:pt>
                <c:pt idx="273">
                  <c:v>1.83%</c:v>
                </c:pt>
                <c:pt idx="274">
                  <c:v>-0.21%</c:v>
                </c:pt>
                <c:pt idx="275">
                  <c:v>-0.70%</c:v>
                </c:pt>
                <c:pt idx="276">
                  <c:v>-1.34%</c:v>
                </c:pt>
                <c:pt idx="277">
                  <c:v>0.48%</c:v>
                </c:pt>
                <c:pt idx="278">
                  <c:v>-1.01%</c:v>
                </c:pt>
                <c:pt idx="279">
                  <c:v>1.09%</c:v>
                </c:pt>
                <c:pt idx="280">
                  <c:v>1.92%</c:v>
                </c:pt>
                <c:pt idx="281">
                  <c:v>2.00%</c:v>
                </c:pt>
                <c:pt idx="282">
                  <c:v>2.10%</c:v>
                </c:pt>
                <c:pt idx="283">
                  <c:v>0.16%</c:v>
                </c:pt>
                <c:pt idx="284">
                  <c:v>0.56%</c:v>
                </c:pt>
                <c:pt idx="285">
                  <c:v>-0.86%</c:v>
                </c:pt>
                <c:pt idx="286">
                  <c:v>-1.47%</c:v>
                </c:pt>
                <c:pt idx="287">
                  <c:v>0.87%</c:v>
                </c:pt>
                <c:pt idx="288">
                  <c:v>-1.58%</c:v>
                </c:pt>
                <c:pt idx="289">
                  <c:v>1.16%</c:v>
                </c:pt>
                <c:pt idx="290">
                  <c:v>-0.94%</c:v>
                </c:pt>
                <c:pt idx="291">
                  <c:v>-0.20%</c:v>
                </c:pt>
                <c:pt idx="292">
                  <c:v>2.00%</c:v>
                </c:pt>
                <c:pt idx="293">
                  <c:v>0.33%</c:v>
                </c:pt>
                <c:pt idx="294">
                  <c:v>0.61%</c:v>
                </c:pt>
                <c:pt idx="295">
                  <c:v>-0.27%</c:v>
                </c:pt>
                <c:pt idx="296">
                  <c:v>1.01%</c:v>
                </c:pt>
                <c:pt idx="297">
                  <c:v>-0.26%</c:v>
                </c:pt>
                <c:pt idx="298">
                  <c:v>-1.02%</c:v>
                </c:pt>
                <c:pt idx="299">
                  <c:v>-1.09%</c:v>
                </c:pt>
                <c:pt idx="300">
                  <c:v>-1.74%</c:v>
                </c:pt>
                <c:pt idx="301">
                  <c:v>-1.39%</c:v>
                </c:pt>
                <c:pt idx="302">
                  <c:v>0.80%</c:v>
                </c:pt>
                <c:pt idx="303">
                  <c:v>-0.06%</c:v>
                </c:pt>
                <c:pt idx="304">
                  <c:v>-1.05%</c:v>
                </c:pt>
                <c:pt idx="305">
                  <c:v>0.93%</c:v>
                </c:pt>
                <c:pt idx="306">
                  <c:v>0.24%</c:v>
                </c:pt>
                <c:pt idx="307">
                  <c:v>0.54%</c:v>
                </c:pt>
                <c:pt idx="308">
                  <c:v>-1.09%</c:v>
                </c:pt>
                <c:pt idx="309">
                  <c:v>-0.49%</c:v>
                </c:pt>
                <c:pt idx="310">
                  <c:v>0.43%</c:v>
                </c:pt>
                <c:pt idx="311">
                  <c:v>-0.27%</c:v>
                </c:pt>
                <c:pt idx="312">
                  <c:v>1.18%</c:v>
                </c:pt>
                <c:pt idx="313">
                  <c:v>0.91%</c:v>
                </c:pt>
                <c:pt idx="314">
                  <c:v>1.73%</c:v>
                </c:pt>
                <c:pt idx="315">
                  <c:v>0.38%</c:v>
                </c:pt>
                <c:pt idx="316">
                  <c:v>-0.69%</c:v>
                </c:pt>
                <c:pt idx="317">
                  <c:v>0.09%</c:v>
                </c:pt>
                <c:pt idx="318">
                  <c:v>2.67%</c:v>
                </c:pt>
                <c:pt idx="319">
                  <c:v>1.27%</c:v>
                </c:pt>
                <c:pt idx="320">
                  <c:v>-0.14%</c:v>
                </c:pt>
                <c:pt idx="321">
                  <c:v>0.84%</c:v>
                </c:pt>
                <c:pt idx="322">
                  <c:v>-0.20%</c:v>
                </c:pt>
                <c:pt idx="323">
                  <c:v>-0.33%</c:v>
                </c:pt>
                <c:pt idx="324">
                  <c:v>1.32%</c:v>
                </c:pt>
                <c:pt idx="325">
                  <c:v>0.52%</c:v>
                </c:pt>
                <c:pt idx="326">
                  <c:v>1.10%</c:v>
                </c:pt>
                <c:pt idx="327">
                  <c:v>2.02%</c:v>
                </c:pt>
                <c:pt idx="328">
                  <c:v>-0.53%</c:v>
                </c:pt>
                <c:pt idx="329">
                  <c:v>0.39%</c:v>
                </c:pt>
                <c:pt idx="330">
                  <c:v>1.11%</c:v>
                </c:pt>
                <c:pt idx="331">
                  <c:v>0.94%</c:v>
                </c:pt>
                <c:pt idx="332">
                  <c:v>-0.39%</c:v>
                </c:pt>
                <c:pt idx="333">
                  <c:v>0.09%</c:v>
                </c:pt>
                <c:pt idx="334">
                  <c:v>2.22%</c:v>
                </c:pt>
                <c:pt idx="335">
                  <c:v>-0.60%</c:v>
                </c:pt>
                <c:pt idx="336">
                  <c:v>0.56%</c:v>
                </c:pt>
                <c:pt idx="337">
                  <c:v>0.60%</c:v>
                </c:pt>
                <c:pt idx="338">
                  <c:v>-1.59%</c:v>
                </c:pt>
                <c:pt idx="339">
                  <c:v>0.77%</c:v>
                </c:pt>
                <c:pt idx="340">
                  <c:v>-1.49%</c:v>
                </c:pt>
                <c:pt idx="341">
                  <c:v>0.28%</c:v>
                </c:pt>
                <c:pt idx="342">
                  <c:v>1.44%</c:v>
                </c:pt>
                <c:pt idx="343">
                  <c:v>-0.53%</c:v>
                </c:pt>
                <c:pt idx="344">
                  <c:v>-1.69%</c:v>
                </c:pt>
                <c:pt idx="345">
                  <c:v>0.01%</c:v>
                </c:pt>
                <c:pt idx="346">
                  <c:v>0.01%</c:v>
                </c:pt>
                <c:pt idx="347">
                  <c:v>0.17%</c:v>
                </c:pt>
                <c:pt idx="348">
                  <c:v>0.29%</c:v>
                </c:pt>
                <c:pt idx="349">
                  <c:v>0.36%</c:v>
                </c:pt>
                <c:pt idx="350">
                  <c:v>-1.62%</c:v>
                </c:pt>
                <c:pt idx="351">
                  <c:v>1.25%</c:v>
                </c:pt>
                <c:pt idx="352">
                  <c:v>-2.42%</c:v>
                </c:pt>
                <c:pt idx="353">
                  <c:v>-0.37%</c:v>
                </c:pt>
                <c:pt idx="354">
                  <c:v>0.95%</c:v>
                </c:pt>
                <c:pt idx="355">
                  <c:v>-0.83%</c:v>
                </c:pt>
                <c:pt idx="356">
                  <c:v>-1.61%</c:v>
                </c:pt>
                <c:pt idx="357">
                  <c:v>-0.82%</c:v>
                </c:pt>
                <c:pt idx="358">
                  <c:v>-0.52%</c:v>
                </c:pt>
                <c:pt idx="359">
                  <c:v>2.31%</c:v>
                </c:pt>
                <c:pt idx="360">
                  <c:v>-1.66%</c:v>
                </c:pt>
                <c:pt idx="361">
                  <c:v>0.51%</c:v>
                </c:pt>
                <c:pt idx="362">
                  <c:v>-0.19%</c:v>
                </c:pt>
                <c:pt idx="363">
                  <c:v>-0.89%</c:v>
                </c:pt>
                <c:pt idx="364">
                  <c:v>-1.53%</c:v>
                </c:pt>
                <c:pt idx="365">
                  <c:v>-1.31%</c:v>
                </c:pt>
                <c:pt idx="366">
                  <c:v>0.42%</c:v>
                </c:pt>
                <c:pt idx="367">
                  <c:v>0.80%</c:v>
                </c:pt>
                <c:pt idx="368">
                  <c:v>1.53%</c:v>
                </c:pt>
                <c:pt idx="369">
                  <c:v>-1.05%</c:v>
                </c:pt>
                <c:pt idx="370">
                  <c:v>-2.37%</c:v>
                </c:pt>
                <c:pt idx="371">
                  <c:v>0.69%</c:v>
                </c:pt>
                <c:pt idx="372">
                  <c:v>0.63%</c:v>
                </c:pt>
                <c:pt idx="373">
                  <c:v>1.38%</c:v>
                </c:pt>
                <c:pt idx="374">
                  <c:v>-2.11%</c:v>
                </c:pt>
                <c:pt idx="375">
                  <c:v>1.73%</c:v>
                </c:pt>
                <c:pt idx="376">
                  <c:v>0.18%</c:v>
                </c:pt>
                <c:pt idx="377">
                  <c:v>2.32%</c:v>
                </c:pt>
                <c:pt idx="378">
                  <c:v>-0.20%</c:v>
                </c:pt>
                <c:pt idx="379">
                  <c:v>1.61%</c:v>
                </c:pt>
                <c:pt idx="380">
                  <c:v>-0.62%</c:v>
                </c:pt>
                <c:pt idx="381">
                  <c:v>2.47%</c:v>
                </c:pt>
                <c:pt idx="382">
                  <c:v>-0.55%</c:v>
                </c:pt>
                <c:pt idx="383">
                  <c:v>-1.68%</c:v>
                </c:pt>
                <c:pt idx="384">
                  <c:v>0.31%</c:v>
                </c:pt>
                <c:pt idx="385">
                  <c:v>1.33%</c:v>
                </c:pt>
                <c:pt idx="386">
                  <c:v>1.47%</c:v>
                </c:pt>
                <c:pt idx="387">
                  <c:v>-0.03%</c:v>
                </c:pt>
                <c:pt idx="388">
                  <c:v>0.49%</c:v>
                </c:pt>
                <c:pt idx="389">
                  <c:v>0.02%</c:v>
                </c:pt>
                <c:pt idx="390">
                  <c:v>1.56%</c:v>
                </c:pt>
                <c:pt idx="391">
                  <c:v>1.22%</c:v>
                </c:pt>
                <c:pt idx="392">
                  <c:v>-0.54%</c:v>
                </c:pt>
                <c:pt idx="393">
                  <c:v>1.14%</c:v>
                </c:pt>
                <c:pt idx="394">
                  <c:v>0.01%</c:v>
                </c:pt>
                <c:pt idx="395">
                  <c:v>1.38%</c:v>
                </c:pt>
                <c:pt idx="396">
                  <c:v>-0.39%</c:v>
                </c:pt>
                <c:pt idx="397">
                  <c:v>0.14%</c:v>
                </c:pt>
                <c:pt idx="398">
                  <c:v>-0.61%</c:v>
                </c:pt>
                <c:pt idx="399">
                  <c:v>-1.74%</c:v>
                </c:pt>
                <c:pt idx="400">
                  <c:v>-1.34%</c:v>
                </c:pt>
                <c:pt idx="401">
                  <c:v>1.31%</c:v>
                </c:pt>
                <c:pt idx="402">
                  <c:v>0.74%</c:v>
                </c:pt>
                <c:pt idx="403">
                  <c:v>-0.86%</c:v>
                </c:pt>
                <c:pt idx="404">
                  <c:v>0.59%</c:v>
                </c:pt>
                <c:pt idx="405">
                  <c:v>0.07%</c:v>
                </c:pt>
                <c:pt idx="406">
                  <c:v>0.91%</c:v>
                </c:pt>
                <c:pt idx="407">
                  <c:v>-0.47%</c:v>
                </c:pt>
                <c:pt idx="408">
                  <c:v>0.02%</c:v>
                </c:pt>
                <c:pt idx="409">
                  <c:v>-1.27%</c:v>
                </c:pt>
                <c:pt idx="410">
                  <c:v>1.34%</c:v>
                </c:pt>
                <c:pt idx="411">
                  <c:v>0.63%</c:v>
                </c:pt>
                <c:pt idx="412">
                  <c:v>0.17%</c:v>
                </c:pt>
                <c:pt idx="413">
                  <c:v>2.81%</c:v>
                </c:pt>
                <c:pt idx="414">
                  <c:v>1.37%</c:v>
                </c:pt>
                <c:pt idx="415">
                  <c:v>1.66%</c:v>
                </c:pt>
                <c:pt idx="416">
                  <c:v>0.41%</c:v>
                </c:pt>
                <c:pt idx="417">
                  <c:v>-0.55%</c:v>
                </c:pt>
                <c:pt idx="418">
                  <c:v>0.55%</c:v>
                </c:pt>
                <c:pt idx="419">
                  <c:v>0.09%</c:v>
                </c:pt>
                <c:pt idx="420">
                  <c:v>-0.35%</c:v>
                </c:pt>
                <c:pt idx="421">
                  <c:v>1.38%</c:v>
                </c:pt>
                <c:pt idx="422">
                  <c:v>-0.32%</c:v>
                </c:pt>
                <c:pt idx="423">
                  <c:v>0.32%</c:v>
                </c:pt>
                <c:pt idx="424">
                  <c:v>0.18%</c:v>
                </c:pt>
                <c:pt idx="425">
                  <c:v>-1.66%</c:v>
                </c:pt>
                <c:pt idx="426">
                  <c:v>0.64%</c:v>
                </c:pt>
                <c:pt idx="427">
                  <c:v>0.91%</c:v>
                </c:pt>
                <c:pt idx="428">
                  <c:v>0.10%</c:v>
                </c:pt>
                <c:pt idx="429">
                  <c:v>0.33%</c:v>
                </c:pt>
                <c:pt idx="430">
                  <c:v>-0.32%</c:v>
                </c:pt>
                <c:pt idx="431">
                  <c:v>-0.67%</c:v>
                </c:pt>
                <c:pt idx="432">
                  <c:v>-0.67%</c:v>
                </c:pt>
                <c:pt idx="433">
                  <c:v>-2.00%</c:v>
                </c:pt>
                <c:pt idx="434">
                  <c:v>0.65%</c:v>
                </c:pt>
                <c:pt idx="435">
                  <c:v>-1.47%</c:v>
                </c:pt>
                <c:pt idx="436">
                  <c:v>-0.47%</c:v>
                </c:pt>
                <c:pt idx="437">
                  <c:v>-2.33%</c:v>
                </c:pt>
                <c:pt idx="438">
                  <c:v>-0.72%</c:v>
                </c:pt>
                <c:pt idx="439">
                  <c:v>0.65%</c:v>
                </c:pt>
                <c:pt idx="440">
                  <c:v>0.14%</c:v>
                </c:pt>
                <c:pt idx="441">
                  <c:v>0.07%</c:v>
                </c:pt>
                <c:pt idx="442">
                  <c:v>0.31%</c:v>
                </c:pt>
                <c:pt idx="443">
                  <c:v>-1.88%</c:v>
                </c:pt>
                <c:pt idx="444">
                  <c:v>1.03%</c:v>
                </c:pt>
                <c:pt idx="445">
                  <c:v>-0.44%</c:v>
                </c:pt>
                <c:pt idx="446">
                  <c:v>0.07%</c:v>
                </c:pt>
                <c:pt idx="447">
                  <c:v>0.53%</c:v>
                </c:pt>
                <c:pt idx="448">
                  <c:v>-2.97%</c:v>
                </c:pt>
                <c:pt idx="449">
                  <c:v>1.65%</c:v>
                </c:pt>
                <c:pt idx="450">
                  <c:v>-0.35%</c:v>
                </c:pt>
                <c:pt idx="451">
                  <c:v>0.67%</c:v>
                </c:pt>
                <c:pt idx="452">
                  <c:v>-0.35%</c:v>
                </c:pt>
                <c:pt idx="453">
                  <c:v>-0.66%</c:v>
                </c:pt>
                <c:pt idx="454">
                  <c:v>1.53%</c:v>
                </c:pt>
                <c:pt idx="455">
                  <c:v>-1.33%</c:v>
                </c:pt>
                <c:pt idx="456">
                  <c:v>0.37%</c:v>
                </c:pt>
                <c:pt idx="457">
                  <c:v>-0.57%</c:v>
                </c:pt>
                <c:pt idx="458">
                  <c:v>0.62%</c:v>
                </c:pt>
                <c:pt idx="459">
                  <c:v>1.06%</c:v>
                </c:pt>
                <c:pt idx="460">
                  <c:v>0.82%</c:v>
                </c:pt>
                <c:pt idx="461">
                  <c:v>0.67%</c:v>
                </c:pt>
                <c:pt idx="462">
                  <c:v>-0.64%</c:v>
                </c:pt>
                <c:pt idx="463">
                  <c:v>-0.24%</c:v>
                </c:pt>
                <c:pt idx="464">
                  <c:v>0.41%</c:v>
                </c:pt>
                <c:pt idx="465">
                  <c:v>1.40%</c:v>
                </c:pt>
                <c:pt idx="466">
                  <c:v>0.57%</c:v>
                </c:pt>
                <c:pt idx="467">
                  <c:v>-0.18%</c:v>
                </c:pt>
                <c:pt idx="468">
                  <c:v>0.28%</c:v>
                </c:pt>
                <c:pt idx="469">
                  <c:v>1.07%</c:v>
                </c:pt>
                <c:pt idx="470">
                  <c:v>0.57%</c:v>
                </c:pt>
                <c:pt idx="471">
                  <c:v>1.06%</c:v>
                </c:pt>
                <c:pt idx="472">
                  <c:v>-0.42%</c:v>
                </c:pt>
                <c:pt idx="473">
                  <c:v>1.07%</c:v>
                </c:pt>
                <c:pt idx="474">
                  <c:v>-0.37%</c:v>
                </c:pt>
                <c:pt idx="475">
                  <c:v>0.14%</c:v>
                </c:pt>
                <c:pt idx="476">
                  <c:v>0.69%</c:v>
                </c:pt>
                <c:pt idx="477">
                  <c:v>-1.47%</c:v>
                </c:pt>
                <c:pt idx="478">
                  <c:v>-0.25%</c:v>
                </c:pt>
                <c:pt idx="479">
                  <c:v>0.35%</c:v>
                </c:pt>
                <c:pt idx="480">
                  <c:v>0.22%</c:v>
                </c:pt>
                <c:pt idx="481">
                  <c:v>0.98%</c:v>
                </c:pt>
                <c:pt idx="482">
                  <c:v>-2.60%</c:v>
                </c:pt>
                <c:pt idx="483">
                  <c:v>-1.85%</c:v>
                </c:pt>
                <c:pt idx="484">
                  <c:v>1.16%</c:v>
                </c:pt>
                <c:pt idx="485">
                  <c:v>0.87%</c:v>
                </c:pt>
                <c:pt idx="486">
                  <c:v>2.24%</c:v>
                </c:pt>
                <c:pt idx="487">
                  <c:v>-0.10%</c:v>
                </c:pt>
                <c:pt idx="488">
                  <c:v>1.39%</c:v>
                </c:pt>
                <c:pt idx="489">
                  <c:v>2.56%</c:v>
                </c:pt>
                <c:pt idx="490">
                  <c:v>-2.56%</c:v>
                </c:pt>
                <c:pt idx="491">
                  <c:v>-1.84%</c:v>
                </c:pt>
                <c:pt idx="492">
                  <c:v>-0.53%</c:v>
                </c:pt>
                <c:pt idx="493">
                  <c:v>-1.57%</c:v>
                </c:pt>
                <c:pt idx="494">
                  <c:v>1.75%</c:v>
                </c:pt>
                <c:pt idx="495">
                  <c:v>-0.27%</c:v>
                </c:pt>
                <c:pt idx="496">
                  <c:v>-0.76%</c:v>
                </c:pt>
                <c:pt idx="497">
                  <c:v>1.44%</c:v>
                </c:pt>
                <c:pt idx="498">
                  <c:v>0.78%</c:v>
                </c:pt>
                <c:pt idx="499">
                  <c:v>-0.63%</c:v>
                </c:pt>
                <c:pt idx="500">
                  <c:v>0.81%</c:v>
                </c:pt>
                <c:pt idx="501">
                  <c:v>-1.01%</c:v>
                </c:pt>
                <c:pt idx="502">
                  <c:v>-0.76%</c:v>
                </c:pt>
                <c:pt idx="503">
                  <c:v>1.37%</c:v>
                </c:pt>
                <c:pt idx="504">
                  <c:v>-0.92%</c:v>
                </c:pt>
                <c:pt idx="505">
                  <c:v>-0.53%</c:v>
                </c:pt>
                <c:pt idx="506">
                  <c:v>-0.49%</c:v>
                </c:pt>
                <c:pt idx="507">
                  <c:v>-0.60%</c:v>
                </c:pt>
                <c:pt idx="508">
                  <c:v>-2.85%</c:v>
                </c:pt>
                <c:pt idx="509">
                  <c:v>-1.73%</c:v>
                </c:pt>
                <c:pt idx="510">
                  <c:v>0.21%</c:v>
                </c:pt>
                <c:pt idx="511">
                  <c:v>1.60%</c:v>
                </c:pt>
                <c:pt idx="512">
                  <c:v>0.81%</c:v>
                </c:pt>
                <c:pt idx="513">
                  <c:v>-0.55%</c:v>
                </c:pt>
                <c:pt idx="514">
                  <c:v>-0.11%</c:v>
                </c:pt>
                <c:pt idx="515">
                  <c:v>-1.87%</c:v>
                </c:pt>
                <c:pt idx="516">
                  <c:v>-0.26%</c:v>
                </c:pt>
                <c:pt idx="517">
                  <c:v>-0.24%</c:v>
                </c:pt>
                <c:pt idx="518">
                  <c:v>-0.63%</c:v>
                </c:pt>
                <c:pt idx="519">
                  <c:v>0.71%</c:v>
                </c:pt>
                <c:pt idx="520">
                  <c:v>0.48%</c:v>
                </c:pt>
                <c:pt idx="521">
                  <c:v>0.66%</c:v>
                </c:pt>
                <c:pt idx="522">
                  <c:v>2.53%</c:v>
                </c:pt>
                <c:pt idx="523">
                  <c:v>0.64%</c:v>
                </c:pt>
                <c:pt idx="524">
                  <c:v>-2.20%</c:v>
                </c:pt>
                <c:pt idx="525">
                  <c:v>-1.55%</c:v>
                </c:pt>
                <c:pt idx="526">
                  <c:v>-0.03%</c:v>
                </c:pt>
                <c:pt idx="527">
                  <c:v>-0.97%</c:v>
                </c:pt>
                <c:pt idx="528">
                  <c:v>-0.25%</c:v>
                </c:pt>
                <c:pt idx="529">
                  <c:v>1.64%</c:v>
                </c:pt>
                <c:pt idx="530">
                  <c:v>0.13%</c:v>
                </c:pt>
                <c:pt idx="531">
                  <c:v>-1.34%</c:v>
                </c:pt>
                <c:pt idx="532">
                  <c:v>1.66%</c:v>
                </c:pt>
                <c:pt idx="533">
                  <c:v>-0.19%</c:v>
                </c:pt>
                <c:pt idx="534">
                  <c:v>-0.02%</c:v>
                </c:pt>
                <c:pt idx="535">
                  <c:v>0.28%</c:v>
                </c:pt>
                <c:pt idx="536">
                  <c:v>0.62%</c:v>
                </c:pt>
                <c:pt idx="537">
                  <c:v>-0.80%</c:v>
                </c:pt>
                <c:pt idx="538">
                  <c:v>0.10%</c:v>
                </c:pt>
                <c:pt idx="539">
                  <c:v>1.45%</c:v>
                </c:pt>
                <c:pt idx="540">
                  <c:v>1.43%</c:v>
                </c:pt>
                <c:pt idx="541">
                  <c:v>-0.89%</c:v>
                </c:pt>
                <c:pt idx="542">
                  <c:v>0.05%</c:v>
                </c:pt>
                <c:pt idx="543">
                  <c:v>1.76%</c:v>
                </c:pt>
                <c:pt idx="544">
                  <c:v>-0.26%</c:v>
                </c:pt>
                <c:pt idx="545">
                  <c:v>-1.49%</c:v>
                </c:pt>
                <c:pt idx="546">
                  <c:v>-0.70%</c:v>
                </c:pt>
                <c:pt idx="547">
                  <c:v>0.71%</c:v>
                </c:pt>
                <c:pt idx="548">
                  <c:v>-0.08%</c:v>
                </c:pt>
                <c:pt idx="549">
                  <c:v>0.08%</c:v>
                </c:pt>
                <c:pt idx="550">
                  <c:v>0.33%</c:v>
                </c:pt>
                <c:pt idx="551">
                  <c:v>-0.28%</c:v>
                </c:pt>
                <c:pt idx="552">
                  <c:v>0.60%</c:v>
                </c:pt>
                <c:pt idx="553">
                  <c:v>1.54%</c:v>
                </c:pt>
                <c:pt idx="554">
                  <c:v>0.52%</c:v>
                </c:pt>
                <c:pt idx="555">
                  <c:v>0.63%</c:v>
                </c:pt>
                <c:pt idx="556">
                  <c:v>1.31%</c:v>
                </c:pt>
                <c:pt idx="557">
                  <c:v>0.86%</c:v>
                </c:pt>
                <c:pt idx="558">
                  <c:v>1.32%</c:v>
                </c:pt>
                <c:pt idx="559">
                  <c:v>-2.26%</c:v>
                </c:pt>
                <c:pt idx="560">
                  <c:v>0.08%</c:v>
                </c:pt>
                <c:pt idx="561">
                  <c:v>0.49%</c:v>
                </c:pt>
                <c:pt idx="562">
                  <c:v>-0.12%</c:v>
                </c:pt>
                <c:pt idx="563">
                  <c:v>-0.93%</c:v>
                </c:pt>
                <c:pt idx="564">
                  <c:v>-0.11%</c:v>
                </c:pt>
                <c:pt idx="565">
                  <c:v>-0.80%</c:v>
                </c:pt>
                <c:pt idx="566">
                  <c:v>0.42%</c:v>
                </c:pt>
                <c:pt idx="567">
                  <c:v>0.80%</c:v>
                </c:pt>
                <c:pt idx="568">
                  <c:v>-0.24%</c:v>
                </c:pt>
                <c:pt idx="569">
                  <c:v>1.24%</c:v>
                </c:pt>
                <c:pt idx="570">
                  <c:v>-0.56%</c:v>
                </c:pt>
                <c:pt idx="571">
                  <c:v>-0.64%</c:v>
                </c:pt>
                <c:pt idx="572">
                  <c:v>0.13%</c:v>
                </c:pt>
                <c:pt idx="573">
                  <c:v>-0.42%</c:v>
                </c:pt>
                <c:pt idx="574">
                  <c:v>1.16%</c:v>
                </c:pt>
                <c:pt idx="575">
                  <c:v>-0.16%</c:v>
                </c:pt>
                <c:pt idx="576">
                  <c:v>0.64%</c:v>
                </c:pt>
                <c:pt idx="577">
                  <c:v>1.10%</c:v>
                </c:pt>
                <c:pt idx="578">
                  <c:v>-1.81%</c:v>
                </c:pt>
                <c:pt idx="579">
                  <c:v>-0.03%</c:v>
                </c:pt>
                <c:pt idx="580">
                  <c:v>0.17%</c:v>
                </c:pt>
                <c:pt idx="581">
                  <c:v>-2.06%</c:v>
                </c:pt>
                <c:pt idx="582">
                  <c:v>0.10%</c:v>
                </c:pt>
                <c:pt idx="583">
                  <c:v>-0.18%</c:v>
                </c:pt>
                <c:pt idx="584">
                  <c:v>-1.60%</c:v>
                </c:pt>
                <c:pt idx="585">
                  <c:v>1.54%</c:v>
                </c:pt>
                <c:pt idx="586">
                  <c:v>0.18%</c:v>
                </c:pt>
                <c:pt idx="587">
                  <c:v>-2.52%</c:v>
                </c:pt>
                <c:pt idx="588">
                  <c:v>-0.50%</c:v>
                </c:pt>
                <c:pt idx="589">
                  <c:v>-0.33%</c:v>
                </c:pt>
                <c:pt idx="590">
                  <c:v>-0.09%</c:v>
                </c:pt>
                <c:pt idx="591">
                  <c:v>-0.83%</c:v>
                </c:pt>
                <c:pt idx="592">
                  <c:v>-1.18%</c:v>
                </c:pt>
                <c:pt idx="593">
                  <c:v>0.32%</c:v>
                </c:pt>
                <c:pt idx="594">
                  <c:v>-1.06%</c:v>
                </c:pt>
                <c:pt idx="595">
                  <c:v>1.13%</c:v>
                </c:pt>
                <c:pt idx="596">
                  <c:v>0.59%</c:v>
                </c:pt>
                <c:pt idx="597">
                  <c:v>0.30%</c:v>
                </c:pt>
                <c:pt idx="598">
                  <c:v>-0.61%</c:v>
                </c:pt>
                <c:pt idx="599">
                  <c:v>0.16%</c:v>
                </c:pt>
                <c:pt idx="600">
                  <c:v>0.10%</c:v>
                </c:pt>
                <c:pt idx="601">
                  <c:v>0.21%</c:v>
                </c:pt>
                <c:pt idx="602">
                  <c:v>-1.79%</c:v>
                </c:pt>
                <c:pt idx="603">
                  <c:v>0.03%</c:v>
                </c:pt>
                <c:pt idx="604">
                  <c:v>-2.55%</c:v>
                </c:pt>
                <c:pt idx="605">
                  <c:v>0.17%</c:v>
                </c:pt>
                <c:pt idx="606">
                  <c:v>2.84%</c:v>
                </c:pt>
                <c:pt idx="607">
                  <c:v>-1.07%</c:v>
                </c:pt>
                <c:pt idx="608">
                  <c:v>-0.88%</c:v>
                </c:pt>
                <c:pt idx="609">
                  <c:v>0.98%</c:v>
                </c:pt>
                <c:pt idx="610">
                  <c:v>-0.92%</c:v>
                </c:pt>
                <c:pt idx="611">
                  <c:v>-1.13%</c:v>
                </c:pt>
                <c:pt idx="612">
                  <c:v>-0.23%</c:v>
                </c:pt>
                <c:pt idx="613">
                  <c:v>0.21%</c:v>
                </c:pt>
                <c:pt idx="614">
                  <c:v>1.02%</c:v>
                </c:pt>
                <c:pt idx="615">
                  <c:v>-0.49%</c:v>
                </c:pt>
                <c:pt idx="616">
                  <c:v>-0.65%</c:v>
                </c:pt>
                <c:pt idx="617">
                  <c:v>-0.26%</c:v>
                </c:pt>
                <c:pt idx="618">
                  <c:v>-0.77%</c:v>
                </c:pt>
                <c:pt idx="619">
                  <c:v>0.37%</c:v>
                </c:pt>
                <c:pt idx="620">
                  <c:v>1.59%</c:v>
                </c:pt>
                <c:pt idx="621">
                  <c:v>-0.91%</c:v>
                </c:pt>
                <c:pt idx="622">
                  <c:v>-1.28%</c:v>
                </c:pt>
                <c:pt idx="623">
                  <c:v>-0.04%</c:v>
                </c:pt>
                <c:pt idx="624">
                  <c:v>-0.62%</c:v>
                </c:pt>
                <c:pt idx="625">
                  <c:v>-1.59%</c:v>
                </c:pt>
                <c:pt idx="626">
                  <c:v>-1.48%</c:v>
                </c:pt>
                <c:pt idx="627">
                  <c:v>-2.07%</c:v>
                </c:pt>
                <c:pt idx="628">
                  <c:v>-0.04%</c:v>
                </c:pt>
                <c:pt idx="629">
                  <c:v>-0.81%</c:v>
                </c:pt>
                <c:pt idx="630">
                  <c:v>2.06%</c:v>
                </c:pt>
                <c:pt idx="631">
                  <c:v>0.48%</c:v>
                </c:pt>
                <c:pt idx="632">
                  <c:v>-1.12%</c:v>
                </c:pt>
                <c:pt idx="633">
                  <c:v>-1.21%</c:v>
                </c:pt>
                <c:pt idx="634">
                  <c:v>-0.49%</c:v>
                </c:pt>
                <c:pt idx="635">
                  <c:v>-1.51%</c:v>
                </c:pt>
                <c:pt idx="636">
                  <c:v>-0.05%</c:v>
                </c:pt>
                <c:pt idx="637">
                  <c:v>1.28%</c:v>
                </c:pt>
                <c:pt idx="638">
                  <c:v>-0.33%</c:v>
                </c:pt>
                <c:pt idx="639">
                  <c:v>-0.75%</c:v>
                </c:pt>
                <c:pt idx="640">
                  <c:v>-2.20%</c:v>
                </c:pt>
                <c:pt idx="641">
                  <c:v>-1.64%</c:v>
                </c:pt>
                <c:pt idx="642">
                  <c:v>0.13%</c:v>
                </c:pt>
                <c:pt idx="643">
                  <c:v>-0.11%</c:v>
                </c:pt>
                <c:pt idx="644">
                  <c:v>0.25%</c:v>
                </c:pt>
                <c:pt idx="645">
                  <c:v>-1.58%</c:v>
                </c:pt>
                <c:pt idx="646">
                  <c:v>1.03%</c:v>
                </c:pt>
                <c:pt idx="647">
                  <c:v>-0.53%</c:v>
                </c:pt>
                <c:pt idx="648">
                  <c:v>-2.05%</c:v>
                </c:pt>
                <c:pt idx="649">
                  <c:v>-1.22%</c:v>
                </c:pt>
                <c:pt idx="650">
                  <c:v>-0.69%</c:v>
                </c:pt>
                <c:pt idx="651">
                  <c:v>-0.05%</c:v>
                </c:pt>
                <c:pt idx="652">
                  <c:v>-1.85%</c:v>
                </c:pt>
                <c:pt idx="653">
                  <c:v>1.03%</c:v>
                </c:pt>
                <c:pt idx="654">
                  <c:v>0.02%</c:v>
                </c:pt>
                <c:pt idx="655">
                  <c:v>1.00%</c:v>
                </c:pt>
                <c:pt idx="656">
                  <c:v>1.66%</c:v>
                </c:pt>
                <c:pt idx="657">
                  <c:v>-0.30%</c:v>
                </c:pt>
                <c:pt idx="658">
                  <c:v>-0.69%</c:v>
                </c:pt>
                <c:pt idx="659">
                  <c:v>0.69%</c:v>
                </c:pt>
                <c:pt idx="660">
                  <c:v>-1.93%</c:v>
                </c:pt>
                <c:pt idx="661">
                  <c:v>1.26%</c:v>
                </c:pt>
                <c:pt idx="662">
                  <c:v>-0.03%</c:v>
                </c:pt>
                <c:pt idx="663">
                  <c:v>-0.45%</c:v>
                </c:pt>
                <c:pt idx="664">
                  <c:v>-1.25%</c:v>
                </c:pt>
                <c:pt idx="665">
                  <c:v>-1.45%</c:v>
                </c:pt>
                <c:pt idx="666">
                  <c:v>-0.32%</c:v>
                </c:pt>
                <c:pt idx="667">
                  <c:v>0.56%</c:v>
                </c:pt>
                <c:pt idx="668">
                  <c:v>0.01%</c:v>
                </c:pt>
                <c:pt idx="669">
                  <c:v>-2.58%</c:v>
                </c:pt>
                <c:pt idx="670">
                  <c:v>-0.74%</c:v>
                </c:pt>
                <c:pt idx="671">
                  <c:v>0.62%</c:v>
                </c:pt>
                <c:pt idx="672">
                  <c:v>2.12%</c:v>
                </c:pt>
                <c:pt idx="673">
                  <c:v>-0.13%</c:v>
                </c:pt>
                <c:pt idx="674">
                  <c:v>0.47%</c:v>
                </c:pt>
                <c:pt idx="675">
                  <c:v>0.04%</c:v>
                </c:pt>
                <c:pt idx="676">
                  <c:v>-0.42%</c:v>
                </c:pt>
                <c:pt idx="677">
                  <c:v>-1.27%</c:v>
                </c:pt>
                <c:pt idx="678">
                  <c:v>-1.00%</c:v>
                </c:pt>
                <c:pt idx="679">
                  <c:v>-1.49%</c:v>
                </c:pt>
                <c:pt idx="680">
                  <c:v>0.56%</c:v>
                </c:pt>
                <c:pt idx="681">
                  <c:v>1.00%</c:v>
                </c:pt>
                <c:pt idx="682">
                  <c:v>-0.18%</c:v>
                </c:pt>
                <c:pt idx="683">
                  <c:v>-0.69%</c:v>
                </c:pt>
                <c:pt idx="684">
                  <c:v>1.18%</c:v>
                </c:pt>
                <c:pt idx="685">
                  <c:v>2.55%</c:v>
                </c:pt>
                <c:pt idx="686">
                  <c:v>-1.95%</c:v>
                </c:pt>
                <c:pt idx="687">
                  <c:v>0.67%</c:v>
                </c:pt>
                <c:pt idx="688">
                  <c:v>0.19%</c:v>
                </c:pt>
                <c:pt idx="689">
                  <c:v>0.40%</c:v>
                </c:pt>
                <c:pt idx="690">
                  <c:v>0.82%</c:v>
                </c:pt>
                <c:pt idx="691">
                  <c:v>1.78%</c:v>
                </c:pt>
                <c:pt idx="692">
                  <c:v>-0.11%</c:v>
                </c:pt>
                <c:pt idx="693">
                  <c:v>2.48%</c:v>
                </c:pt>
                <c:pt idx="694">
                  <c:v>-1.30%</c:v>
                </c:pt>
                <c:pt idx="695">
                  <c:v>0.90%</c:v>
                </c:pt>
                <c:pt idx="696">
                  <c:v>-1.58%</c:v>
                </c:pt>
                <c:pt idx="697">
                  <c:v>-1.57%</c:v>
                </c:pt>
                <c:pt idx="698">
                  <c:v>0.51%</c:v>
                </c:pt>
                <c:pt idx="699">
                  <c:v>0.85%</c:v>
                </c:pt>
                <c:pt idx="700">
                  <c:v>-0.62%</c:v>
                </c:pt>
                <c:pt idx="701">
                  <c:v>0.67%</c:v>
                </c:pt>
                <c:pt idx="702">
                  <c:v>-0.79%</c:v>
                </c:pt>
                <c:pt idx="703">
                  <c:v>1.30%</c:v>
                </c:pt>
                <c:pt idx="704">
                  <c:v>-1.64%</c:v>
                </c:pt>
                <c:pt idx="705">
                  <c:v>0.27%</c:v>
                </c:pt>
                <c:pt idx="706">
                  <c:v>0.36%</c:v>
                </c:pt>
                <c:pt idx="707">
                  <c:v>0.27%</c:v>
                </c:pt>
                <c:pt idx="708">
                  <c:v>0.04%</c:v>
                </c:pt>
                <c:pt idx="709">
                  <c:v>-0.10%</c:v>
                </c:pt>
                <c:pt idx="710">
                  <c:v>-2.88%</c:v>
                </c:pt>
                <c:pt idx="711">
                  <c:v>-1.63%</c:v>
                </c:pt>
                <c:pt idx="712">
                  <c:v>1.17%</c:v>
                </c:pt>
                <c:pt idx="713">
                  <c:v>0.82%</c:v>
                </c:pt>
                <c:pt idx="714">
                  <c:v>1.58%</c:v>
                </c:pt>
                <c:pt idx="715">
                  <c:v>0.11%</c:v>
                </c:pt>
                <c:pt idx="716">
                  <c:v>1.95%</c:v>
                </c:pt>
                <c:pt idx="717">
                  <c:v>-0.12%</c:v>
                </c:pt>
                <c:pt idx="718">
                  <c:v>1.20%</c:v>
                </c:pt>
                <c:pt idx="719">
                  <c:v>-0.50%</c:v>
                </c:pt>
                <c:pt idx="720">
                  <c:v>-0.59%</c:v>
                </c:pt>
                <c:pt idx="721">
                  <c:v>1.06%</c:v>
                </c:pt>
                <c:pt idx="722">
                  <c:v>-1.60%</c:v>
                </c:pt>
                <c:pt idx="723">
                  <c:v>1.76%</c:v>
                </c:pt>
                <c:pt idx="724">
                  <c:v>2.12%</c:v>
                </c:pt>
                <c:pt idx="725">
                  <c:v>0.03%</c:v>
                </c:pt>
                <c:pt idx="726">
                  <c:v>1.60%</c:v>
                </c:pt>
                <c:pt idx="727">
                  <c:v>-0.57%</c:v>
                </c:pt>
                <c:pt idx="728">
                  <c:v>-0.25%</c:v>
                </c:pt>
                <c:pt idx="729">
                  <c:v>0.31%</c:v>
                </c:pt>
                <c:pt idx="730">
                  <c:v>-0.59%</c:v>
                </c:pt>
                <c:pt idx="731">
                  <c:v>0.83%</c:v>
                </c:pt>
                <c:pt idx="732">
                  <c:v>1.05%</c:v>
                </c:pt>
                <c:pt idx="733">
                  <c:v>0.77%</c:v>
                </c:pt>
                <c:pt idx="734">
                  <c:v>-0.55%</c:v>
                </c:pt>
                <c:pt idx="735">
                  <c:v>-1.69%</c:v>
                </c:pt>
                <c:pt idx="736">
                  <c:v>0.51%</c:v>
                </c:pt>
                <c:pt idx="737">
                  <c:v>-0.37%</c:v>
                </c:pt>
                <c:pt idx="738">
                  <c:v>-1.80%</c:v>
                </c:pt>
                <c:pt idx="739">
                  <c:v>-1.33%</c:v>
                </c:pt>
                <c:pt idx="740">
                  <c:v>-0.29%</c:v>
                </c:pt>
                <c:pt idx="741">
                  <c:v>1.76%</c:v>
                </c:pt>
                <c:pt idx="742">
                  <c:v>0.47%</c:v>
                </c:pt>
                <c:pt idx="743">
                  <c:v>-0.96%</c:v>
                </c:pt>
                <c:pt idx="744">
                  <c:v>-1.19%</c:v>
                </c:pt>
                <c:pt idx="745">
                  <c:v>-1.09%</c:v>
                </c:pt>
                <c:pt idx="746">
                  <c:v>-1.12%</c:v>
                </c:pt>
                <c:pt idx="747">
                  <c:v>0.22%</c:v>
                </c:pt>
                <c:pt idx="748">
                  <c:v>1.30%</c:v>
                </c:pt>
                <c:pt idx="749">
                  <c:v>3.10%</c:v>
                </c:pt>
                <c:pt idx="750">
                  <c:v>2.04%</c:v>
                </c:pt>
                <c:pt idx="751">
                  <c:v>-0.51%</c:v>
                </c:pt>
                <c:pt idx="752">
                  <c:v>1.10%</c:v>
                </c:pt>
                <c:pt idx="753">
                  <c:v>0.15%</c:v>
                </c:pt>
                <c:pt idx="754">
                  <c:v>2.01%</c:v>
                </c:pt>
                <c:pt idx="755">
                  <c:v>0.62%</c:v>
                </c:pt>
                <c:pt idx="756">
                  <c:v>-0.53%</c:v>
                </c:pt>
                <c:pt idx="757">
                  <c:v>1.13%</c:v>
                </c:pt>
                <c:pt idx="758">
                  <c:v>-0.86%</c:v>
                </c:pt>
                <c:pt idx="759">
                  <c:v>-0.68%</c:v>
                </c:pt>
                <c:pt idx="760">
                  <c:v>-0.32%</c:v>
                </c:pt>
                <c:pt idx="761">
                  <c:v>-0.27%</c:v>
                </c:pt>
                <c:pt idx="762">
                  <c:v>-2.33%</c:v>
                </c:pt>
                <c:pt idx="763">
                  <c:v>1.18%</c:v>
                </c:pt>
                <c:pt idx="764">
                  <c:v>3.06%</c:v>
                </c:pt>
                <c:pt idx="765">
                  <c:v>-1.37%</c:v>
                </c:pt>
                <c:pt idx="766">
                  <c:v>1.57%</c:v>
                </c:pt>
                <c:pt idx="767">
                  <c:v>-1.89%</c:v>
                </c:pt>
                <c:pt idx="768">
                  <c:v>-0.06%</c:v>
                </c:pt>
                <c:pt idx="769">
                  <c:v>-0.91%</c:v>
                </c:pt>
                <c:pt idx="770">
                  <c:v>0.25%</c:v>
                </c:pt>
                <c:pt idx="771">
                  <c:v>0.63%</c:v>
                </c:pt>
                <c:pt idx="772">
                  <c:v>-1.43%</c:v>
                </c:pt>
                <c:pt idx="773">
                  <c:v>-0.15%</c:v>
                </c:pt>
                <c:pt idx="774">
                  <c:v>0.87%</c:v>
                </c:pt>
                <c:pt idx="775">
                  <c:v>-1.02%</c:v>
                </c:pt>
                <c:pt idx="776">
                  <c:v>1.44%</c:v>
                </c:pt>
                <c:pt idx="777">
                  <c:v>1.49%</c:v>
                </c:pt>
                <c:pt idx="778">
                  <c:v>-0.50%</c:v>
                </c:pt>
                <c:pt idx="779">
                  <c:v>1.64%</c:v>
                </c:pt>
                <c:pt idx="780">
                  <c:v>-2.17%</c:v>
                </c:pt>
                <c:pt idx="781">
                  <c:v>-0.66%</c:v>
                </c:pt>
                <c:pt idx="782">
                  <c:v>0.64%</c:v>
                </c:pt>
                <c:pt idx="783">
                  <c:v>1.11%</c:v>
                </c:pt>
                <c:pt idx="784">
                  <c:v>1.28%</c:v>
                </c:pt>
                <c:pt idx="785">
                  <c:v>1.15%</c:v>
                </c:pt>
                <c:pt idx="786">
                  <c:v>0.08%</c:v>
                </c:pt>
                <c:pt idx="787">
                  <c:v>0.82%</c:v>
                </c:pt>
                <c:pt idx="788">
                  <c:v>0.07%</c:v>
                </c:pt>
                <c:pt idx="789">
                  <c:v>-1.63%</c:v>
                </c:pt>
                <c:pt idx="790">
                  <c:v>1.06%</c:v>
                </c:pt>
                <c:pt idx="791">
                  <c:v>0.68%</c:v>
                </c:pt>
                <c:pt idx="792">
                  <c:v>-0.11%</c:v>
                </c:pt>
                <c:pt idx="793">
                  <c:v>-0.62%</c:v>
                </c:pt>
                <c:pt idx="794">
                  <c:v>2.24%</c:v>
                </c:pt>
                <c:pt idx="795">
                  <c:v>-1.02%</c:v>
                </c:pt>
                <c:pt idx="796">
                  <c:v>0.12%</c:v>
                </c:pt>
                <c:pt idx="797">
                  <c:v>-0.76%</c:v>
                </c:pt>
                <c:pt idx="798">
                  <c:v>-0.03%</c:v>
                </c:pt>
                <c:pt idx="799">
                  <c:v>1.32%</c:v>
                </c:pt>
                <c:pt idx="800">
                  <c:v>0.50%</c:v>
                </c:pt>
                <c:pt idx="801">
                  <c:v>-0.31%</c:v>
                </c:pt>
                <c:pt idx="802">
                  <c:v>0.96%</c:v>
                </c:pt>
                <c:pt idx="803">
                  <c:v>1.09%</c:v>
                </c:pt>
                <c:pt idx="804">
                  <c:v>-0.04%</c:v>
                </c:pt>
                <c:pt idx="805">
                  <c:v>-0.45%</c:v>
                </c:pt>
                <c:pt idx="806">
                  <c:v>-0.79%</c:v>
                </c:pt>
                <c:pt idx="807">
                  <c:v>-2.11%</c:v>
                </c:pt>
                <c:pt idx="808">
                  <c:v>1.79%</c:v>
                </c:pt>
                <c:pt idx="809">
                  <c:v>-0.77%</c:v>
                </c:pt>
                <c:pt idx="810">
                  <c:v>-1.28%</c:v>
                </c:pt>
                <c:pt idx="811">
                  <c:v>-0.93%</c:v>
                </c:pt>
                <c:pt idx="812">
                  <c:v>-1.26%</c:v>
                </c:pt>
                <c:pt idx="813">
                  <c:v>1.29%</c:v>
                </c:pt>
                <c:pt idx="814">
                  <c:v>-0.06%</c:v>
                </c:pt>
                <c:pt idx="815">
                  <c:v>-1.07%</c:v>
                </c:pt>
                <c:pt idx="816">
                  <c:v>-0.88%</c:v>
                </c:pt>
                <c:pt idx="817">
                  <c:v>-1.10%</c:v>
                </c:pt>
                <c:pt idx="818">
                  <c:v>1.31%</c:v>
                </c:pt>
                <c:pt idx="819">
                  <c:v>-1.58%</c:v>
                </c:pt>
                <c:pt idx="820">
                  <c:v>0.13%</c:v>
                </c:pt>
                <c:pt idx="821">
                  <c:v>0.59%</c:v>
                </c:pt>
                <c:pt idx="822">
                  <c:v>0.45%</c:v>
                </c:pt>
                <c:pt idx="823">
                  <c:v>0.29%</c:v>
                </c:pt>
                <c:pt idx="824">
                  <c:v>-0.12%</c:v>
                </c:pt>
                <c:pt idx="825">
                  <c:v>-2.63%</c:v>
                </c:pt>
                <c:pt idx="826">
                  <c:v>0.02%</c:v>
                </c:pt>
                <c:pt idx="827">
                  <c:v>-0.53%</c:v>
                </c:pt>
                <c:pt idx="828">
                  <c:v>-1.46%</c:v>
                </c:pt>
                <c:pt idx="829">
                  <c:v>1.68%</c:v>
                </c:pt>
                <c:pt idx="830">
                  <c:v>1.46%</c:v>
                </c:pt>
                <c:pt idx="831">
                  <c:v>-0.39%</c:v>
                </c:pt>
                <c:pt idx="832">
                  <c:v>0.44%</c:v>
                </c:pt>
                <c:pt idx="833">
                  <c:v>0.04%</c:v>
                </c:pt>
                <c:pt idx="834">
                  <c:v>-2.11%</c:v>
                </c:pt>
                <c:pt idx="835">
                  <c:v>-0.45%</c:v>
                </c:pt>
                <c:pt idx="836">
                  <c:v>1.02%</c:v>
                </c:pt>
                <c:pt idx="837">
                  <c:v>-0.09%</c:v>
                </c:pt>
                <c:pt idx="838">
                  <c:v>-1.10%</c:v>
                </c:pt>
                <c:pt idx="839">
                  <c:v>1.32%</c:v>
                </c:pt>
                <c:pt idx="840">
                  <c:v>0.43%</c:v>
                </c:pt>
                <c:pt idx="841">
                  <c:v>-1.28%</c:v>
                </c:pt>
                <c:pt idx="842">
                  <c:v>-0.61%</c:v>
                </c:pt>
                <c:pt idx="843">
                  <c:v>-0.44%</c:v>
                </c:pt>
                <c:pt idx="844">
                  <c:v>-1.08%</c:v>
                </c:pt>
                <c:pt idx="845">
                  <c:v>0.90%</c:v>
                </c:pt>
                <c:pt idx="846">
                  <c:v>-0.58%</c:v>
                </c:pt>
                <c:pt idx="847">
                  <c:v>0.19%</c:v>
                </c:pt>
                <c:pt idx="848">
                  <c:v>2.06%</c:v>
                </c:pt>
                <c:pt idx="849">
                  <c:v>-0.72%</c:v>
                </c:pt>
                <c:pt idx="850">
                  <c:v>-1.22%</c:v>
                </c:pt>
                <c:pt idx="851">
                  <c:v>0.04%</c:v>
                </c:pt>
                <c:pt idx="852">
                  <c:v>-0.48%</c:v>
                </c:pt>
                <c:pt idx="853">
                  <c:v>-0.34%</c:v>
                </c:pt>
                <c:pt idx="854">
                  <c:v>-1.00%</c:v>
                </c:pt>
                <c:pt idx="855">
                  <c:v>-1.72%</c:v>
                </c:pt>
                <c:pt idx="856">
                  <c:v>-0.41%</c:v>
                </c:pt>
                <c:pt idx="857">
                  <c:v>-1.43%</c:v>
                </c:pt>
                <c:pt idx="858">
                  <c:v>-1.21%</c:v>
                </c:pt>
                <c:pt idx="859">
                  <c:v>3.26%</c:v>
                </c:pt>
                <c:pt idx="860">
                  <c:v>2.78%</c:v>
                </c:pt>
                <c:pt idx="861">
                  <c:v>2.73%</c:v>
                </c:pt>
                <c:pt idx="862">
                  <c:v>-0.31%</c:v>
                </c:pt>
                <c:pt idx="863">
                  <c:v>-1.21%</c:v>
                </c:pt>
                <c:pt idx="864">
                  <c:v>0.66%</c:v>
                </c:pt>
                <c:pt idx="865">
                  <c:v>-1.13%</c:v>
                </c:pt>
                <c:pt idx="866">
                  <c:v>-0.28%</c:v>
                </c:pt>
                <c:pt idx="867">
                  <c:v>-1.02%</c:v>
                </c:pt>
                <c:pt idx="868">
                  <c:v>1.05%</c:v>
                </c:pt>
                <c:pt idx="869">
                  <c:v>-0.08%</c:v>
                </c:pt>
                <c:pt idx="870">
                  <c:v>0.40%</c:v>
                </c:pt>
                <c:pt idx="871">
                  <c:v>-0.65%</c:v>
                </c:pt>
                <c:pt idx="872">
                  <c:v>-0.19%</c:v>
                </c:pt>
                <c:pt idx="873">
                  <c:v>-2.02%</c:v>
                </c:pt>
                <c:pt idx="874">
                  <c:v>-0.08%</c:v>
                </c:pt>
                <c:pt idx="875">
                  <c:v>-0.32%</c:v>
                </c:pt>
                <c:pt idx="876">
                  <c:v>0.51%</c:v>
                </c:pt>
                <c:pt idx="877">
                  <c:v>-0.50%</c:v>
                </c:pt>
                <c:pt idx="878">
                  <c:v>-1.09%</c:v>
                </c:pt>
                <c:pt idx="879">
                  <c:v>0.12%</c:v>
                </c:pt>
                <c:pt idx="880">
                  <c:v>1.69%</c:v>
                </c:pt>
                <c:pt idx="881">
                  <c:v>-0.13%</c:v>
                </c:pt>
                <c:pt idx="882">
                  <c:v>2.06%</c:v>
                </c:pt>
                <c:pt idx="883">
                  <c:v>-2.80%</c:v>
                </c:pt>
                <c:pt idx="884">
                  <c:v>-0.95%</c:v>
                </c:pt>
                <c:pt idx="885">
                  <c:v>-0.27%</c:v>
                </c:pt>
                <c:pt idx="886">
                  <c:v>-1.48%</c:v>
                </c:pt>
                <c:pt idx="887">
                  <c:v>-3.07%</c:v>
                </c:pt>
                <c:pt idx="888">
                  <c:v>0.09%</c:v>
                </c:pt>
                <c:pt idx="889">
                  <c:v>-1.09%</c:v>
                </c:pt>
                <c:pt idx="890">
                  <c:v>-0.88%</c:v>
                </c:pt>
                <c:pt idx="891">
                  <c:v>-0.13%</c:v>
                </c:pt>
                <c:pt idx="892">
                  <c:v>-0.21%</c:v>
                </c:pt>
                <c:pt idx="893">
                  <c:v>-0.67%</c:v>
                </c:pt>
                <c:pt idx="894">
                  <c:v>0.74%</c:v>
                </c:pt>
                <c:pt idx="895">
                  <c:v>-0.86%</c:v>
                </c:pt>
                <c:pt idx="896">
                  <c:v>1.32%</c:v>
                </c:pt>
                <c:pt idx="897">
                  <c:v>1.42%</c:v>
                </c:pt>
                <c:pt idx="898">
                  <c:v>-1.76%</c:v>
                </c:pt>
                <c:pt idx="899">
                  <c:v>-0.96%</c:v>
                </c:pt>
                <c:pt idx="900">
                  <c:v>1.08%</c:v>
                </c:pt>
                <c:pt idx="901">
                  <c:v>-1.41%</c:v>
                </c:pt>
                <c:pt idx="902">
                  <c:v>-0.62%</c:v>
                </c:pt>
                <c:pt idx="903">
                  <c:v>0.21%</c:v>
                </c:pt>
                <c:pt idx="904">
                  <c:v>1.17%</c:v>
                </c:pt>
                <c:pt idx="905">
                  <c:v>1.37%</c:v>
                </c:pt>
                <c:pt idx="906">
                  <c:v>-0.13%</c:v>
                </c:pt>
                <c:pt idx="907">
                  <c:v>0.65%</c:v>
                </c:pt>
                <c:pt idx="908">
                  <c:v>0.41%</c:v>
                </c:pt>
                <c:pt idx="909">
                  <c:v>1.88%</c:v>
                </c:pt>
                <c:pt idx="910">
                  <c:v>0.02%</c:v>
                </c:pt>
                <c:pt idx="911">
                  <c:v>-0.12%</c:v>
                </c:pt>
                <c:pt idx="912">
                  <c:v>-0.19%</c:v>
                </c:pt>
                <c:pt idx="913">
                  <c:v>-1.43%</c:v>
                </c:pt>
                <c:pt idx="914">
                  <c:v>-1.44%</c:v>
                </c:pt>
                <c:pt idx="915">
                  <c:v>-3.01%</c:v>
                </c:pt>
                <c:pt idx="916">
                  <c:v>1.70%</c:v>
                </c:pt>
                <c:pt idx="917">
                  <c:v>2.26%</c:v>
                </c:pt>
                <c:pt idx="918">
                  <c:v>-1.92%</c:v>
                </c:pt>
                <c:pt idx="919">
                  <c:v>1.00%</c:v>
                </c:pt>
                <c:pt idx="920">
                  <c:v>0.49%</c:v>
                </c:pt>
                <c:pt idx="921">
                  <c:v>-0.19%</c:v>
                </c:pt>
                <c:pt idx="922">
                  <c:v>0.74%</c:v>
                </c:pt>
                <c:pt idx="923">
                  <c:v>-0.08%</c:v>
                </c:pt>
                <c:pt idx="924">
                  <c:v>3.04%</c:v>
                </c:pt>
                <c:pt idx="925">
                  <c:v>1.06%</c:v>
                </c:pt>
                <c:pt idx="926">
                  <c:v>-0.86%</c:v>
                </c:pt>
                <c:pt idx="927">
                  <c:v>-1.20%</c:v>
                </c:pt>
                <c:pt idx="928">
                  <c:v>1.60%</c:v>
                </c:pt>
                <c:pt idx="929">
                  <c:v>-0.27%</c:v>
                </c:pt>
                <c:pt idx="930">
                  <c:v>-0.21%</c:v>
                </c:pt>
                <c:pt idx="931">
                  <c:v>0.20%</c:v>
                </c:pt>
                <c:pt idx="932">
                  <c:v>0.11%</c:v>
                </c:pt>
                <c:pt idx="933">
                  <c:v>1.35%</c:v>
                </c:pt>
                <c:pt idx="934">
                  <c:v>-1.04%</c:v>
                </c:pt>
                <c:pt idx="935">
                  <c:v>-2.57%</c:v>
                </c:pt>
                <c:pt idx="936">
                  <c:v>-0.60%</c:v>
                </c:pt>
                <c:pt idx="937">
                  <c:v>-0.87%</c:v>
                </c:pt>
                <c:pt idx="938">
                  <c:v>-0.69%</c:v>
                </c:pt>
                <c:pt idx="939">
                  <c:v>-1.85%</c:v>
                </c:pt>
                <c:pt idx="940">
                  <c:v>-1.03%</c:v>
                </c:pt>
                <c:pt idx="941">
                  <c:v>-1.61%</c:v>
                </c:pt>
                <c:pt idx="942">
                  <c:v>1.12%</c:v>
                </c:pt>
                <c:pt idx="943">
                  <c:v>-1.20%</c:v>
                </c:pt>
                <c:pt idx="944">
                  <c:v>-0.22%</c:v>
                </c:pt>
                <c:pt idx="945">
                  <c:v>1.67%</c:v>
                </c:pt>
                <c:pt idx="946">
                  <c:v>-0.35%</c:v>
                </c:pt>
                <c:pt idx="947">
                  <c:v>0.46%</c:v>
                </c:pt>
                <c:pt idx="948">
                  <c:v>1.18%</c:v>
                </c:pt>
                <c:pt idx="949">
                  <c:v>0.69%</c:v>
                </c:pt>
                <c:pt idx="950">
                  <c:v>-0.63%</c:v>
                </c:pt>
                <c:pt idx="951">
                  <c:v>-1.15%</c:v>
                </c:pt>
                <c:pt idx="952">
                  <c:v>1.50%</c:v>
                </c:pt>
                <c:pt idx="953">
                  <c:v>0.25%</c:v>
                </c:pt>
                <c:pt idx="954">
                  <c:v>-0.78%</c:v>
                </c:pt>
                <c:pt idx="955">
                  <c:v>-0.36%</c:v>
                </c:pt>
                <c:pt idx="956">
                  <c:v>-0.02%</c:v>
                </c:pt>
                <c:pt idx="957">
                  <c:v>-1.98%</c:v>
                </c:pt>
                <c:pt idx="958">
                  <c:v>0.58%</c:v>
                </c:pt>
                <c:pt idx="959">
                  <c:v>1.22%</c:v>
                </c:pt>
                <c:pt idx="960">
                  <c:v>-0.71%</c:v>
                </c:pt>
                <c:pt idx="961">
                  <c:v>-0.92%</c:v>
                </c:pt>
                <c:pt idx="962">
                  <c:v>-0.43%</c:v>
                </c:pt>
                <c:pt idx="963">
                  <c:v>-0.19%</c:v>
                </c:pt>
                <c:pt idx="964">
                  <c:v>2.32%</c:v>
                </c:pt>
                <c:pt idx="965">
                  <c:v>1.00%</c:v>
                </c:pt>
                <c:pt idx="966">
                  <c:v>0.24%</c:v>
                </c:pt>
                <c:pt idx="967">
                  <c:v>-0.66%</c:v>
                </c:pt>
                <c:pt idx="968">
                  <c:v>0.12%</c:v>
                </c:pt>
                <c:pt idx="969">
                  <c:v>-0.17%</c:v>
                </c:pt>
                <c:pt idx="970">
                  <c:v>-1.28%</c:v>
                </c:pt>
                <c:pt idx="971">
                  <c:v>-0.45%</c:v>
                </c:pt>
                <c:pt idx="972">
                  <c:v>0.54%</c:v>
                </c:pt>
                <c:pt idx="973">
                  <c:v>-1.18%</c:v>
                </c:pt>
                <c:pt idx="974">
                  <c:v>-1.46%</c:v>
                </c:pt>
                <c:pt idx="975">
                  <c:v>-0.14%</c:v>
                </c:pt>
                <c:pt idx="976">
                  <c:v>-0.42%</c:v>
                </c:pt>
                <c:pt idx="977">
                  <c:v>-1.92%</c:v>
                </c:pt>
                <c:pt idx="978">
                  <c:v>1.38%</c:v>
                </c:pt>
                <c:pt idx="979">
                  <c:v>1.37%</c:v>
                </c:pt>
                <c:pt idx="980">
                  <c:v>2.40%</c:v>
                </c:pt>
                <c:pt idx="981">
                  <c:v>-0.48%</c:v>
                </c:pt>
                <c:pt idx="982">
                  <c:v>0.68%</c:v>
                </c:pt>
                <c:pt idx="983">
                  <c:v>1.43%</c:v>
                </c:pt>
                <c:pt idx="984">
                  <c:v>0.65%</c:v>
                </c:pt>
                <c:pt idx="985">
                  <c:v>1.34%</c:v>
                </c:pt>
                <c:pt idx="986">
                  <c:v>0.22%</c:v>
                </c:pt>
                <c:pt idx="987">
                  <c:v>-0.52%</c:v>
                </c:pt>
                <c:pt idx="988">
                  <c:v>0.57%</c:v>
                </c:pt>
                <c:pt idx="989">
                  <c:v>0.59%</c:v>
                </c:pt>
                <c:pt idx="990">
                  <c:v>0.81%</c:v>
                </c:pt>
                <c:pt idx="991">
                  <c:v>1.27%</c:v>
                </c:pt>
                <c:pt idx="992">
                  <c:v>0.22%</c:v>
                </c:pt>
                <c:pt idx="993">
                  <c:v>-0.21%</c:v>
                </c:pt>
                <c:pt idx="994">
                  <c:v>1.37%</c:v>
                </c:pt>
                <c:pt idx="995">
                  <c:v>-0.13%</c:v>
                </c:pt>
                <c:pt idx="996">
                  <c:v>-0.89%</c:v>
                </c:pt>
                <c:pt idx="997">
                  <c:v>1.11%</c:v>
                </c:pt>
                <c:pt idx="998">
                  <c:v>-2.38%</c:v>
                </c:pt>
                <c:pt idx="999">
                  <c:v>1.31%</c:v>
                </c:pt>
                <c:pt idx="1000">
                  <c:v>0.99%</c:v>
                </c:pt>
                <c:pt idx="1001">
                  <c:v>0.04%</c:v>
                </c:pt>
                <c:pt idx="1002">
                  <c:v>1.33%</c:v>
                </c:pt>
                <c:pt idx="1003">
                  <c:v>-0.42%</c:v>
                </c:pt>
                <c:pt idx="1004">
                  <c:v>0.38%</c:v>
                </c:pt>
                <c:pt idx="1005">
                  <c:v>-1.59%</c:v>
                </c:pt>
                <c:pt idx="1006">
                  <c:v>-1.36%</c:v>
                </c:pt>
                <c:pt idx="1007">
                  <c:v>0.54%</c:v>
                </c:pt>
                <c:pt idx="1008">
                  <c:v>-0.43%</c:v>
                </c:pt>
                <c:pt idx="1009">
                  <c:v>-1.26%</c:v>
                </c:pt>
                <c:pt idx="1010">
                  <c:v>1.09%</c:v>
                </c:pt>
                <c:pt idx="1011">
                  <c:v>-0.06%</c:v>
                </c:pt>
                <c:pt idx="1012">
                  <c:v>-0.72%</c:v>
                </c:pt>
                <c:pt idx="1013">
                  <c:v>-0.15%</c:v>
                </c:pt>
                <c:pt idx="1014">
                  <c:v>1.74%</c:v>
                </c:pt>
                <c:pt idx="1015">
                  <c:v>1.26%</c:v>
                </c:pt>
                <c:pt idx="1016">
                  <c:v>0.09%</c:v>
                </c:pt>
                <c:pt idx="1017">
                  <c:v>0.77%</c:v>
                </c:pt>
                <c:pt idx="1018">
                  <c:v>-0.62%</c:v>
                </c:pt>
                <c:pt idx="1019">
                  <c:v>2.08%</c:v>
                </c:pt>
                <c:pt idx="1020">
                  <c:v>1.52%</c:v>
                </c:pt>
                <c:pt idx="1021">
                  <c:v>-0.37%</c:v>
                </c:pt>
                <c:pt idx="1022">
                  <c:v>0.26%</c:v>
                </c:pt>
                <c:pt idx="1023">
                  <c:v>1.08%</c:v>
                </c:pt>
                <c:pt idx="1024">
                  <c:v>1.13%</c:v>
                </c:pt>
                <c:pt idx="1025">
                  <c:v>1.18%</c:v>
                </c:pt>
                <c:pt idx="1026">
                  <c:v>0.81%</c:v>
                </c:pt>
                <c:pt idx="1027">
                  <c:v>0.43%</c:v>
                </c:pt>
                <c:pt idx="1028">
                  <c:v>-1.77%</c:v>
                </c:pt>
                <c:pt idx="1029">
                  <c:v>1.69%</c:v>
                </c:pt>
                <c:pt idx="1030">
                  <c:v>-0.35%</c:v>
                </c:pt>
                <c:pt idx="1031">
                  <c:v>0.31%</c:v>
                </c:pt>
                <c:pt idx="1032">
                  <c:v>0.00%</c:v>
                </c:pt>
                <c:pt idx="1033">
                  <c:v>1.23%</c:v>
                </c:pt>
                <c:pt idx="1034">
                  <c:v>-0.44%</c:v>
                </c:pt>
                <c:pt idx="1035">
                  <c:v>-1.28%</c:v>
                </c:pt>
                <c:pt idx="1036">
                  <c:v>1.70%</c:v>
                </c:pt>
                <c:pt idx="1037">
                  <c:v>0.83%</c:v>
                </c:pt>
                <c:pt idx="1038">
                  <c:v>1.79%</c:v>
                </c:pt>
                <c:pt idx="1039">
                  <c:v>-0.02%</c:v>
                </c:pt>
                <c:pt idx="1040">
                  <c:v>0.42%</c:v>
                </c:pt>
                <c:pt idx="1041">
                  <c:v>1.06%</c:v>
                </c:pt>
                <c:pt idx="1042">
                  <c:v>-1.12%</c:v>
                </c:pt>
                <c:pt idx="1043">
                  <c:v>-1.72%</c:v>
                </c:pt>
                <c:pt idx="1044">
                  <c:v>-0.90%</c:v>
                </c:pt>
                <c:pt idx="1045">
                  <c:v>-0.69%</c:v>
                </c:pt>
                <c:pt idx="1046">
                  <c:v>2.06%</c:v>
                </c:pt>
                <c:pt idx="1047">
                  <c:v>2.95%</c:v>
                </c:pt>
                <c:pt idx="1048">
                  <c:v>-0.20%</c:v>
                </c:pt>
                <c:pt idx="1049">
                  <c:v>0.14%</c:v>
                </c:pt>
                <c:pt idx="1050">
                  <c:v>-0.33%</c:v>
                </c:pt>
                <c:pt idx="1051">
                  <c:v>-0.24%</c:v>
                </c:pt>
                <c:pt idx="1052">
                  <c:v>0.42%</c:v>
                </c:pt>
                <c:pt idx="1053">
                  <c:v>0.42%</c:v>
                </c:pt>
                <c:pt idx="1054">
                  <c:v>-0.36%</c:v>
                </c:pt>
                <c:pt idx="1055">
                  <c:v>-0.09%</c:v>
                </c:pt>
                <c:pt idx="1056">
                  <c:v>-0.65%</c:v>
                </c:pt>
                <c:pt idx="1057">
                  <c:v>-0.79%</c:v>
                </c:pt>
                <c:pt idx="1058">
                  <c:v>-0.42%</c:v>
                </c:pt>
                <c:pt idx="1059">
                  <c:v>0.82%</c:v>
                </c:pt>
                <c:pt idx="1060">
                  <c:v>0.59%</c:v>
                </c:pt>
                <c:pt idx="1061">
                  <c:v>-0.56%</c:v>
                </c:pt>
                <c:pt idx="1062">
                  <c:v>1.14%</c:v>
                </c:pt>
                <c:pt idx="1063">
                  <c:v>0.10%</c:v>
                </c:pt>
                <c:pt idx="1064">
                  <c:v>1.12%</c:v>
                </c:pt>
                <c:pt idx="1065">
                  <c:v>-0.18%</c:v>
                </c:pt>
                <c:pt idx="1066">
                  <c:v>2.08%</c:v>
                </c:pt>
                <c:pt idx="1067">
                  <c:v>1.62%</c:v>
                </c:pt>
                <c:pt idx="1068">
                  <c:v>0.86%</c:v>
                </c:pt>
                <c:pt idx="1069">
                  <c:v>1.67%</c:v>
                </c:pt>
                <c:pt idx="1070">
                  <c:v>-0.70%</c:v>
                </c:pt>
                <c:pt idx="1071">
                  <c:v>2.01%</c:v>
                </c:pt>
                <c:pt idx="1072">
                  <c:v>-1.35%</c:v>
                </c:pt>
                <c:pt idx="1073">
                  <c:v>0.13%</c:v>
                </c:pt>
                <c:pt idx="1074">
                  <c:v>-0.66%</c:v>
                </c:pt>
                <c:pt idx="1075">
                  <c:v>-2.13%</c:v>
                </c:pt>
                <c:pt idx="1076">
                  <c:v>-1.43%</c:v>
                </c:pt>
                <c:pt idx="1077">
                  <c:v>-0.46%</c:v>
                </c:pt>
                <c:pt idx="1078">
                  <c:v>0.59%</c:v>
                </c:pt>
                <c:pt idx="1079">
                  <c:v>-0.38%</c:v>
                </c:pt>
                <c:pt idx="1080">
                  <c:v>1.10%</c:v>
                </c:pt>
                <c:pt idx="1081">
                  <c:v>-0.34%</c:v>
                </c:pt>
                <c:pt idx="1082">
                  <c:v>-1.01%</c:v>
                </c:pt>
                <c:pt idx="1083">
                  <c:v>1.58%</c:v>
                </c:pt>
                <c:pt idx="1084">
                  <c:v>1.40%</c:v>
                </c:pt>
                <c:pt idx="1085">
                  <c:v>-0.24%</c:v>
                </c:pt>
                <c:pt idx="1086">
                  <c:v>-1.79%</c:v>
                </c:pt>
                <c:pt idx="1087">
                  <c:v>-1.20%</c:v>
                </c:pt>
                <c:pt idx="1088">
                  <c:v>-0.55%</c:v>
                </c:pt>
                <c:pt idx="1089">
                  <c:v>0.12%</c:v>
                </c:pt>
                <c:pt idx="1090">
                  <c:v>1.39%</c:v>
                </c:pt>
                <c:pt idx="1091">
                  <c:v>0.12%</c:v>
                </c:pt>
                <c:pt idx="1092">
                  <c:v>0.37%</c:v>
                </c:pt>
                <c:pt idx="1093">
                  <c:v>0.52%</c:v>
                </c:pt>
                <c:pt idx="1094">
                  <c:v>-1.30%</c:v>
                </c:pt>
                <c:pt idx="1095">
                  <c:v>1.31%</c:v>
                </c:pt>
                <c:pt idx="1096">
                  <c:v>1.76%</c:v>
                </c:pt>
                <c:pt idx="1097">
                  <c:v>0.63%</c:v>
                </c:pt>
                <c:pt idx="1098">
                  <c:v>1.79%</c:v>
                </c:pt>
                <c:pt idx="1099">
                  <c:v>-0.25%</c:v>
                </c:pt>
                <c:pt idx="1100">
                  <c:v>0.04%</c:v>
                </c:pt>
                <c:pt idx="1101">
                  <c:v>1.59%</c:v>
                </c:pt>
                <c:pt idx="1102">
                  <c:v>-0.16%</c:v>
                </c:pt>
                <c:pt idx="1103">
                  <c:v>-0.66%</c:v>
                </c:pt>
                <c:pt idx="1104">
                  <c:v>2.06%</c:v>
                </c:pt>
                <c:pt idx="1105">
                  <c:v>-0.14%</c:v>
                </c:pt>
                <c:pt idx="1106">
                  <c:v>-0.88%</c:v>
                </c:pt>
                <c:pt idx="1107">
                  <c:v>0.02%</c:v>
                </c:pt>
                <c:pt idx="1108">
                  <c:v>-2.39%</c:v>
                </c:pt>
                <c:pt idx="1109">
                  <c:v>1.22%</c:v>
                </c:pt>
                <c:pt idx="1110">
                  <c:v>1.56%</c:v>
                </c:pt>
                <c:pt idx="1111">
                  <c:v>-1.37%</c:v>
                </c:pt>
                <c:pt idx="1112">
                  <c:v>-0.73%</c:v>
                </c:pt>
                <c:pt idx="1113">
                  <c:v>2.14%</c:v>
                </c:pt>
                <c:pt idx="1114">
                  <c:v>1.13%</c:v>
                </c:pt>
                <c:pt idx="1115">
                  <c:v>-0.34%</c:v>
                </c:pt>
                <c:pt idx="1116">
                  <c:v>-0.15%</c:v>
                </c:pt>
                <c:pt idx="1117">
                  <c:v>0.49%</c:v>
                </c:pt>
                <c:pt idx="1118">
                  <c:v>1.65%</c:v>
                </c:pt>
                <c:pt idx="1119">
                  <c:v>0.91%</c:v>
                </c:pt>
                <c:pt idx="1120">
                  <c:v>0.68%</c:v>
                </c:pt>
                <c:pt idx="1121">
                  <c:v>-0.20%</c:v>
                </c:pt>
                <c:pt idx="1122">
                  <c:v>1.79%</c:v>
                </c:pt>
                <c:pt idx="1123">
                  <c:v>0.70%</c:v>
                </c:pt>
                <c:pt idx="1124">
                  <c:v>-1.21%</c:v>
                </c:pt>
                <c:pt idx="1125">
                  <c:v>-0.41%</c:v>
                </c:pt>
                <c:pt idx="1126">
                  <c:v>2.08%</c:v>
                </c:pt>
                <c:pt idx="1127">
                  <c:v>-2.02%</c:v>
                </c:pt>
                <c:pt idx="1128">
                  <c:v>-1.16%</c:v>
                </c:pt>
                <c:pt idx="1129">
                  <c:v>0.66%</c:v>
                </c:pt>
                <c:pt idx="1130">
                  <c:v>-0.12%</c:v>
                </c:pt>
                <c:pt idx="1131">
                  <c:v>-1.25%</c:v>
                </c:pt>
                <c:pt idx="1132">
                  <c:v>-3.94%</c:v>
                </c:pt>
                <c:pt idx="1133">
                  <c:v>-0.34%</c:v>
                </c:pt>
                <c:pt idx="1134">
                  <c:v>1.37%</c:v>
                </c:pt>
                <c:pt idx="1135">
                  <c:v>-1.10%</c:v>
                </c:pt>
                <c:pt idx="1136">
                  <c:v>-1.26%</c:v>
                </c:pt>
                <c:pt idx="1137">
                  <c:v>0.91%</c:v>
                </c:pt>
                <c:pt idx="1138">
                  <c:v>1.63%</c:v>
                </c:pt>
                <c:pt idx="1139">
                  <c:v>-0.96%</c:v>
                </c:pt>
                <c:pt idx="1140">
                  <c:v>-0.36%</c:v>
                </c:pt>
                <c:pt idx="1141">
                  <c:v>-1.69%</c:v>
                </c:pt>
                <c:pt idx="1142">
                  <c:v>0.03%</c:v>
                </c:pt>
                <c:pt idx="1143">
                  <c:v>-0.81%</c:v>
                </c:pt>
                <c:pt idx="1144">
                  <c:v>-0.16%</c:v>
                </c:pt>
                <c:pt idx="1145">
                  <c:v>-2.74%</c:v>
                </c:pt>
                <c:pt idx="1146">
                  <c:v>1.08%</c:v>
                </c:pt>
                <c:pt idx="1147">
                  <c:v>-2.06%</c:v>
                </c:pt>
                <c:pt idx="1148">
                  <c:v>-1.49%</c:v>
                </c:pt>
                <c:pt idx="1149">
                  <c:v>-0.24%</c:v>
                </c:pt>
                <c:pt idx="1150">
                  <c:v>-2.25%</c:v>
                </c:pt>
                <c:pt idx="1151">
                  <c:v>-1.80%</c:v>
                </c:pt>
                <c:pt idx="1152">
                  <c:v>-1.03%</c:v>
                </c:pt>
                <c:pt idx="1153">
                  <c:v>-2.05%</c:v>
                </c:pt>
                <c:pt idx="1154">
                  <c:v>-0.77%</c:v>
                </c:pt>
                <c:pt idx="1155">
                  <c:v>-0.08%</c:v>
                </c:pt>
                <c:pt idx="1156">
                  <c:v>1.97%</c:v>
                </c:pt>
                <c:pt idx="1157">
                  <c:v>1.02%</c:v>
                </c:pt>
                <c:pt idx="1158">
                  <c:v>-2.75%</c:v>
                </c:pt>
                <c:pt idx="1159">
                  <c:v>-0.20%</c:v>
                </c:pt>
                <c:pt idx="1160">
                  <c:v>-0.94%</c:v>
                </c:pt>
                <c:pt idx="1161">
                  <c:v>0.55%</c:v>
                </c:pt>
                <c:pt idx="1162">
                  <c:v>-0.35%</c:v>
                </c:pt>
                <c:pt idx="1163">
                  <c:v>0.43%</c:v>
                </c:pt>
                <c:pt idx="1164">
                  <c:v>0.77%</c:v>
                </c:pt>
                <c:pt idx="1165">
                  <c:v>-0.41%</c:v>
                </c:pt>
                <c:pt idx="1166">
                  <c:v>-1.84%</c:v>
                </c:pt>
                <c:pt idx="1167">
                  <c:v>-0.43%</c:v>
                </c:pt>
                <c:pt idx="1168">
                  <c:v>0.74%</c:v>
                </c:pt>
                <c:pt idx="1169">
                  <c:v>0.68%</c:v>
                </c:pt>
                <c:pt idx="1170">
                  <c:v>-0.18%</c:v>
                </c:pt>
                <c:pt idx="1171">
                  <c:v>0.79%</c:v>
                </c:pt>
                <c:pt idx="1172">
                  <c:v>-0.07%</c:v>
                </c:pt>
                <c:pt idx="1173">
                  <c:v>-1.43%</c:v>
                </c:pt>
                <c:pt idx="1174">
                  <c:v>0.23%</c:v>
                </c:pt>
                <c:pt idx="1175">
                  <c:v>0.98%</c:v>
                </c:pt>
                <c:pt idx="1176">
                  <c:v>1.52%</c:v>
                </c:pt>
                <c:pt idx="1177">
                  <c:v>-0.63%</c:v>
                </c:pt>
                <c:pt idx="1178">
                  <c:v>0.18%</c:v>
                </c:pt>
                <c:pt idx="1179">
                  <c:v>-0.24%</c:v>
                </c:pt>
                <c:pt idx="1180">
                  <c:v>-1.49%</c:v>
                </c:pt>
                <c:pt idx="1181">
                  <c:v>0.40%</c:v>
                </c:pt>
                <c:pt idx="1182">
                  <c:v>-1.02%</c:v>
                </c:pt>
                <c:pt idx="1183">
                  <c:v>0.11%</c:v>
                </c:pt>
                <c:pt idx="1184">
                  <c:v>-0.72%</c:v>
                </c:pt>
                <c:pt idx="1185">
                  <c:v>-0.64%</c:v>
                </c:pt>
                <c:pt idx="1186">
                  <c:v>-0.03%</c:v>
                </c:pt>
                <c:pt idx="1187">
                  <c:v>0.13%</c:v>
                </c:pt>
                <c:pt idx="1188">
                  <c:v>0.60%</c:v>
                </c:pt>
                <c:pt idx="1189">
                  <c:v>-0.43%</c:v>
                </c:pt>
                <c:pt idx="1190">
                  <c:v>-0.28%</c:v>
                </c:pt>
                <c:pt idx="1191">
                  <c:v>0.45%</c:v>
                </c:pt>
                <c:pt idx="1192">
                  <c:v>-0.44%</c:v>
                </c:pt>
                <c:pt idx="1193">
                  <c:v>0.06%</c:v>
                </c:pt>
                <c:pt idx="1194">
                  <c:v>-0.62%</c:v>
                </c:pt>
                <c:pt idx="1195">
                  <c:v>-0.02%</c:v>
                </c:pt>
                <c:pt idx="1196">
                  <c:v>0.97%</c:v>
                </c:pt>
                <c:pt idx="1197">
                  <c:v>0.96%</c:v>
                </c:pt>
                <c:pt idx="1198">
                  <c:v>0.96%</c:v>
                </c:pt>
                <c:pt idx="1199">
                  <c:v>1.41%</c:v>
                </c:pt>
                <c:pt idx="1200">
                  <c:v>0.21%</c:v>
                </c:pt>
                <c:pt idx="1201">
                  <c:v>1.16%</c:v>
                </c:pt>
                <c:pt idx="1202">
                  <c:v>-0.33%</c:v>
                </c:pt>
                <c:pt idx="1203">
                  <c:v>1.18%</c:v>
                </c:pt>
                <c:pt idx="1204">
                  <c:v>0.89%</c:v>
                </c:pt>
                <c:pt idx="1205">
                  <c:v>1.92%</c:v>
                </c:pt>
                <c:pt idx="1206">
                  <c:v>0.98%</c:v>
                </c:pt>
                <c:pt idx="1207">
                  <c:v>0.80%</c:v>
                </c:pt>
                <c:pt idx="1208">
                  <c:v>0.39%</c:v>
                </c:pt>
                <c:pt idx="1209">
                  <c:v>-0.53%</c:v>
                </c:pt>
                <c:pt idx="1210">
                  <c:v>-0.70%</c:v>
                </c:pt>
                <c:pt idx="1211">
                  <c:v>1.00%</c:v>
                </c:pt>
                <c:pt idx="1212">
                  <c:v>-1.42%</c:v>
                </c:pt>
                <c:pt idx="1213">
                  <c:v>1.81%</c:v>
                </c:pt>
                <c:pt idx="1214">
                  <c:v>0.27%</c:v>
                </c:pt>
                <c:pt idx="1215">
                  <c:v>0.73%</c:v>
                </c:pt>
                <c:pt idx="1216">
                  <c:v>1.14%</c:v>
                </c:pt>
                <c:pt idx="1217">
                  <c:v>0.32%</c:v>
                </c:pt>
                <c:pt idx="1218">
                  <c:v>-0.06%</c:v>
                </c:pt>
                <c:pt idx="1219">
                  <c:v>-2.40%</c:v>
                </c:pt>
                <c:pt idx="1220">
                  <c:v>0.44%</c:v>
                </c:pt>
                <c:pt idx="1221">
                  <c:v>0.67%</c:v>
                </c:pt>
                <c:pt idx="1222">
                  <c:v>-1.63%</c:v>
                </c:pt>
                <c:pt idx="1223">
                  <c:v>0.25%</c:v>
                </c:pt>
                <c:pt idx="1224">
                  <c:v>-0.08%</c:v>
                </c:pt>
                <c:pt idx="1225">
                  <c:v>1.22%</c:v>
                </c:pt>
                <c:pt idx="1226">
                  <c:v>-1.90%</c:v>
                </c:pt>
                <c:pt idx="1227">
                  <c:v>-0.59%</c:v>
                </c:pt>
                <c:pt idx="1228">
                  <c:v>-0.19%</c:v>
                </c:pt>
                <c:pt idx="1229">
                  <c:v>-0.94%</c:v>
                </c:pt>
                <c:pt idx="1230">
                  <c:v>0.25%</c:v>
                </c:pt>
                <c:pt idx="1231">
                  <c:v>-2.30%</c:v>
                </c:pt>
                <c:pt idx="1232">
                  <c:v>-2.54%</c:v>
                </c:pt>
                <c:pt idx="1233">
                  <c:v>0.01%</c:v>
                </c:pt>
                <c:pt idx="1234">
                  <c:v>0.66%</c:v>
                </c:pt>
                <c:pt idx="1235">
                  <c:v>-0.90%</c:v>
                </c:pt>
                <c:pt idx="1236">
                  <c:v>0.45%</c:v>
                </c:pt>
                <c:pt idx="1237">
                  <c:v>0.38%</c:v>
                </c:pt>
                <c:pt idx="1238">
                  <c:v>0.69%</c:v>
                </c:pt>
                <c:pt idx="1239">
                  <c:v>0.12%</c:v>
                </c:pt>
                <c:pt idx="1240">
                  <c:v>-1.90%</c:v>
                </c:pt>
                <c:pt idx="1241">
                  <c:v>0.04%</c:v>
                </c:pt>
                <c:pt idx="1242">
                  <c:v>0.18%</c:v>
                </c:pt>
                <c:pt idx="1243">
                  <c:v>1.74%</c:v>
                </c:pt>
                <c:pt idx="1244">
                  <c:v>-1.66%</c:v>
                </c:pt>
                <c:pt idx="1245">
                  <c:v>2.63%</c:v>
                </c:pt>
                <c:pt idx="1246">
                  <c:v>-0.06%</c:v>
                </c:pt>
                <c:pt idx="1247">
                  <c:v>-1.17%</c:v>
                </c:pt>
                <c:pt idx="1248">
                  <c:v>-0.29%</c:v>
                </c:pt>
                <c:pt idx="1249">
                  <c:v>1.30%</c:v>
                </c:pt>
                <c:pt idx="1250">
                  <c:v>0.09%</c:v>
                </c:pt>
                <c:pt idx="1251">
                  <c:v>-0.82%</c:v>
                </c:pt>
                <c:pt idx="1252">
                  <c:v>0.82%</c:v>
                </c:pt>
                <c:pt idx="1253">
                  <c:v>1.15%</c:v>
                </c:pt>
                <c:pt idx="1254">
                  <c:v>0.04%</c:v>
                </c:pt>
                <c:pt idx="1255">
                  <c:v>1.97%</c:v>
                </c:pt>
                <c:pt idx="1256">
                  <c:v>2.43%</c:v>
                </c:pt>
                <c:pt idx="1257">
                  <c:v>-2.71%</c:v>
                </c:pt>
                <c:pt idx="1258">
                  <c:v>0.07%</c:v>
                </c:pt>
                <c:pt idx="1259">
                  <c:v>2.14%</c:v>
                </c:pt>
                <c:pt idx="1260">
                  <c:v>0.60%</c:v>
                </c:pt>
                <c:pt idx="1261">
                  <c:v>1.72%</c:v>
                </c:pt>
                <c:pt idx="1262">
                  <c:v>0.68%</c:v>
                </c:pt>
                <c:pt idx="1263">
                  <c:v>-1.60%</c:v>
                </c:pt>
                <c:pt idx="1264">
                  <c:v>-0.68%</c:v>
                </c:pt>
                <c:pt idx="1265">
                  <c:v>0.03%</c:v>
                </c:pt>
                <c:pt idx="1266">
                  <c:v>1.55%</c:v>
                </c:pt>
                <c:pt idx="1267">
                  <c:v>-0.04%</c:v>
                </c:pt>
                <c:pt idx="1268">
                  <c:v>-0.51%</c:v>
                </c:pt>
                <c:pt idx="1269">
                  <c:v>-0.58%</c:v>
                </c:pt>
                <c:pt idx="1270">
                  <c:v>0.25%</c:v>
                </c:pt>
                <c:pt idx="1271">
                  <c:v>0.27%</c:v>
                </c:pt>
                <c:pt idx="1272">
                  <c:v>2.64%</c:v>
                </c:pt>
                <c:pt idx="1273">
                  <c:v>-0.12%</c:v>
                </c:pt>
                <c:pt idx="1274">
                  <c:v>-1.37%</c:v>
                </c:pt>
                <c:pt idx="1275">
                  <c:v>0.74%</c:v>
                </c:pt>
                <c:pt idx="1276">
                  <c:v>0.34%</c:v>
                </c:pt>
                <c:pt idx="1277">
                  <c:v>0.23%</c:v>
                </c:pt>
                <c:pt idx="1278">
                  <c:v>-0.77%</c:v>
                </c:pt>
                <c:pt idx="1279">
                  <c:v>0.57%</c:v>
                </c:pt>
                <c:pt idx="1280">
                  <c:v>-0.51%</c:v>
                </c:pt>
                <c:pt idx="1281">
                  <c:v>-0.58%</c:v>
                </c:pt>
                <c:pt idx="1282">
                  <c:v>-0.63%</c:v>
                </c:pt>
                <c:pt idx="1283">
                  <c:v>1.15%</c:v>
                </c:pt>
                <c:pt idx="1284">
                  <c:v>-1.59%</c:v>
                </c:pt>
                <c:pt idx="1285">
                  <c:v>-0.07%</c:v>
                </c:pt>
                <c:pt idx="1286">
                  <c:v>-0.26%</c:v>
                </c:pt>
                <c:pt idx="1287">
                  <c:v>0.88%</c:v>
                </c:pt>
                <c:pt idx="1288">
                  <c:v>-0.17%</c:v>
                </c:pt>
                <c:pt idx="1289">
                  <c:v>1.07%</c:v>
                </c:pt>
                <c:pt idx="1290">
                  <c:v>-0.83%</c:v>
                </c:pt>
                <c:pt idx="1291">
                  <c:v>0.53%</c:v>
                </c:pt>
                <c:pt idx="1292">
                  <c:v>0.35%</c:v>
                </c:pt>
                <c:pt idx="1293">
                  <c:v>0.13%</c:v>
                </c:pt>
                <c:pt idx="1294">
                  <c:v>1.81%</c:v>
                </c:pt>
                <c:pt idx="1295">
                  <c:v>0.64%</c:v>
                </c:pt>
                <c:pt idx="1296">
                  <c:v>0.34%</c:v>
                </c:pt>
                <c:pt idx="1297">
                  <c:v>1.28%</c:v>
                </c:pt>
                <c:pt idx="1298">
                  <c:v>0.47%</c:v>
                </c:pt>
                <c:pt idx="1299">
                  <c:v>-0.25%</c:v>
                </c:pt>
                <c:pt idx="1300">
                  <c:v>1.13%</c:v>
                </c:pt>
                <c:pt idx="1301">
                  <c:v>2.57%</c:v>
                </c:pt>
                <c:pt idx="1302">
                  <c:v>-0.60%</c:v>
                </c:pt>
                <c:pt idx="1303">
                  <c:v>0.77%</c:v>
                </c:pt>
                <c:pt idx="1304">
                  <c:v>0.19%</c:v>
                </c:pt>
                <c:pt idx="1305">
                  <c:v>0.14%</c:v>
                </c:pt>
                <c:pt idx="1306">
                  <c:v>-2.10%</c:v>
                </c:pt>
                <c:pt idx="1307">
                  <c:v>-0.69%</c:v>
                </c:pt>
                <c:pt idx="1308">
                  <c:v>-0.87%</c:v>
                </c:pt>
                <c:pt idx="1309">
                  <c:v>1.66%</c:v>
                </c:pt>
                <c:pt idx="1310">
                  <c:v>-1.23%</c:v>
                </c:pt>
                <c:pt idx="1311">
                  <c:v>1.54%</c:v>
                </c:pt>
                <c:pt idx="1312">
                  <c:v>-1.04%</c:v>
                </c:pt>
                <c:pt idx="1313">
                  <c:v>-0.16%</c:v>
                </c:pt>
                <c:pt idx="1314">
                  <c:v>-0.42%</c:v>
                </c:pt>
                <c:pt idx="1315">
                  <c:v>-0.59%</c:v>
                </c:pt>
                <c:pt idx="1316">
                  <c:v>-1.73%</c:v>
                </c:pt>
                <c:pt idx="1317">
                  <c:v>1.61%</c:v>
                </c:pt>
                <c:pt idx="1318">
                  <c:v>1.31%</c:v>
                </c:pt>
                <c:pt idx="1319">
                  <c:v>1.40%</c:v>
                </c:pt>
                <c:pt idx="1320">
                  <c:v>1.13%</c:v>
                </c:pt>
                <c:pt idx="1321">
                  <c:v>1.07%</c:v>
                </c:pt>
                <c:pt idx="1322">
                  <c:v>1.44%</c:v>
                </c:pt>
                <c:pt idx="1323">
                  <c:v>-0.83%</c:v>
                </c:pt>
                <c:pt idx="1324">
                  <c:v>0.68%</c:v>
                </c:pt>
                <c:pt idx="1325">
                  <c:v>1.68%</c:v>
                </c:pt>
                <c:pt idx="1326">
                  <c:v>0.43%</c:v>
                </c:pt>
                <c:pt idx="1327">
                  <c:v>-0.17%</c:v>
                </c:pt>
                <c:pt idx="1328">
                  <c:v>-0.96%</c:v>
                </c:pt>
                <c:pt idx="1329">
                  <c:v>-0.26%</c:v>
                </c:pt>
                <c:pt idx="1330">
                  <c:v>-0.49%</c:v>
                </c:pt>
                <c:pt idx="1331">
                  <c:v>-3.35%</c:v>
                </c:pt>
                <c:pt idx="1332">
                  <c:v>0.57%</c:v>
                </c:pt>
                <c:pt idx="1333">
                  <c:v>1.77%</c:v>
                </c:pt>
                <c:pt idx="1334">
                  <c:v>0.75%</c:v>
                </c:pt>
                <c:pt idx="1335">
                  <c:v>0.24%</c:v>
                </c:pt>
                <c:pt idx="1336">
                  <c:v>-0.79%</c:v>
                </c:pt>
                <c:pt idx="1337">
                  <c:v>-0.23%</c:v>
                </c:pt>
                <c:pt idx="1338">
                  <c:v>1.63%</c:v>
                </c:pt>
                <c:pt idx="1339">
                  <c:v>-1.51%</c:v>
                </c:pt>
                <c:pt idx="1340">
                  <c:v>2.60%</c:v>
                </c:pt>
                <c:pt idx="1341">
                  <c:v>-1.67%</c:v>
                </c:pt>
                <c:pt idx="1342">
                  <c:v>1.01%</c:v>
                </c:pt>
                <c:pt idx="1343">
                  <c:v>-0.72%</c:v>
                </c:pt>
                <c:pt idx="1344">
                  <c:v>-0.47%</c:v>
                </c:pt>
                <c:pt idx="1345">
                  <c:v>-2.41%</c:v>
                </c:pt>
                <c:pt idx="1346">
                  <c:v>1.11%</c:v>
                </c:pt>
                <c:pt idx="1347">
                  <c:v>0.52%</c:v>
                </c:pt>
                <c:pt idx="1348">
                  <c:v>1.26%</c:v>
                </c:pt>
                <c:pt idx="1349">
                  <c:v>-0.53%</c:v>
                </c:pt>
                <c:pt idx="1350">
                  <c:v>1.55%</c:v>
                </c:pt>
                <c:pt idx="1351">
                  <c:v>0.25%</c:v>
                </c:pt>
                <c:pt idx="1352">
                  <c:v>-0.16%</c:v>
                </c:pt>
                <c:pt idx="1353">
                  <c:v>-0.53%</c:v>
                </c:pt>
                <c:pt idx="1354">
                  <c:v>1.44%</c:v>
                </c:pt>
                <c:pt idx="1355">
                  <c:v>0.45%</c:v>
                </c:pt>
                <c:pt idx="1356">
                  <c:v>0.52%</c:v>
                </c:pt>
                <c:pt idx="1357">
                  <c:v>-1.64%</c:v>
                </c:pt>
                <c:pt idx="1358">
                  <c:v>-0.03%</c:v>
                </c:pt>
                <c:pt idx="1359">
                  <c:v>-1.10%</c:v>
                </c:pt>
                <c:pt idx="1360">
                  <c:v>-0.88%</c:v>
                </c:pt>
                <c:pt idx="1361">
                  <c:v>-2.07%</c:v>
                </c:pt>
                <c:pt idx="1362">
                  <c:v>0.71%</c:v>
                </c:pt>
                <c:pt idx="1363">
                  <c:v>-0.09%</c:v>
                </c:pt>
                <c:pt idx="1364">
                  <c:v>0.04%</c:v>
                </c:pt>
                <c:pt idx="1365">
                  <c:v>-1.08%</c:v>
                </c:pt>
                <c:pt idx="1366">
                  <c:v>0.25%</c:v>
                </c:pt>
                <c:pt idx="1367">
                  <c:v>-1.09%</c:v>
                </c:pt>
                <c:pt idx="1368">
                  <c:v>-0.06%</c:v>
                </c:pt>
                <c:pt idx="1369">
                  <c:v>0.75%</c:v>
                </c:pt>
                <c:pt idx="1370">
                  <c:v>0.46%</c:v>
                </c:pt>
                <c:pt idx="1371">
                  <c:v>0.71%</c:v>
                </c:pt>
                <c:pt idx="1372">
                  <c:v>-0.73%</c:v>
                </c:pt>
                <c:pt idx="1373">
                  <c:v>-2.17%</c:v>
                </c:pt>
                <c:pt idx="1374">
                  <c:v>0.35%</c:v>
                </c:pt>
                <c:pt idx="1375">
                  <c:v>-1.17%</c:v>
                </c:pt>
                <c:pt idx="1376">
                  <c:v>-0.33%</c:v>
                </c:pt>
                <c:pt idx="1377">
                  <c:v>-1.30%</c:v>
                </c:pt>
                <c:pt idx="1378">
                  <c:v>-0.23%</c:v>
                </c:pt>
                <c:pt idx="1379">
                  <c:v>0.79%</c:v>
                </c:pt>
                <c:pt idx="1380">
                  <c:v>-0.34%</c:v>
                </c:pt>
                <c:pt idx="1381">
                  <c:v>-1.35%</c:v>
                </c:pt>
                <c:pt idx="1382">
                  <c:v>0.20%</c:v>
                </c:pt>
                <c:pt idx="1383">
                  <c:v>0.34%</c:v>
                </c:pt>
                <c:pt idx="1384">
                  <c:v>0.06%</c:v>
                </c:pt>
                <c:pt idx="1385">
                  <c:v>0.36%</c:v>
                </c:pt>
                <c:pt idx="1386">
                  <c:v>1.44%</c:v>
                </c:pt>
                <c:pt idx="1387">
                  <c:v>1.92%</c:v>
                </c:pt>
                <c:pt idx="1388">
                  <c:v>0.84%</c:v>
                </c:pt>
                <c:pt idx="1389">
                  <c:v>-0.36%</c:v>
                </c:pt>
                <c:pt idx="1390">
                  <c:v>0.45%</c:v>
                </c:pt>
                <c:pt idx="1391">
                  <c:v>-1.54%</c:v>
                </c:pt>
                <c:pt idx="1392">
                  <c:v>0.05%</c:v>
                </c:pt>
                <c:pt idx="1393">
                  <c:v>2.15%</c:v>
                </c:pt>
                <c:pt idx="1394">
                  <c:v>-0.02%</c:v>
                </c:pt>
                <c:pt idx="1395">
                  <c:v>0.02%</c:v>
                </c:pt>
                <c:pt idx="1396">
                  <c:v>-0.85%</c:v>
                </c:pt>
                <c:pt idx="1397">
                  <c:v>1.30%</c:v>
                </c:pt>
                <c:pt idx="1398">
                  <c:v>-0.29%</c:v>
                </c:pt>
                <c:pt idx="1399">
                  <c:v>0.38%</c:v>
                </c:pt>
                <c:pt idx="1400">
                  <c:v>-0.36%</c:v>
                </c:pt>
                <c:pt idx="1401">
                  <c:v>-1.34%</c:v>
                </c:pt>
                <c:pt idx="1402">
                  <c:v>-0.17%</c:v>
                </c:pt>
                <c:pt idx="1403">
                  <c:v>-1.11%</c:v>
                </c:pt>
                <c:pt idx="1404">
                  <c:v>-0.73%</c:v>
                </c:pt>
                <c:pt idx="1405">
                  <c:v>-0.61%</c:v>
                </c:pt>
                <c:pt idx="1406">
                  <c:v>1.99%</c:v>
                </c:pt>
                <c:pt idx="1407">
                  <c:v>0.77%</c:v>
                </c:pt>
                <c:pt idx="1408">
                  <c:v>0.39%</c:v>
                </c:pt>
                <c:pt idx="1409">
                  <c:v>-0.68%</c:v>
                </c:pt>
                <c:pt idx="1410">
                  <c:v>0.73%</c:v>
                </c:pt>
                <c:pt idx="1411">
                  <c:v>-0.12%</c:v>
                </c:pt>
                <c:pt idx="1412">
                  <c:v>1.42%</c:v>
                </c:pt>
                <c:pt idx="1413">
                  <c:v>-0.21%</c:v>
                </c:pt>
                <c:pt idx="1414">
                  <c:v>1.99%</c:v>
                </c:pt>
                <c:pt idx="1415">
                  <c:v>-0.23%</c:v>
                </c:pt>
                <c:pt idx="1416">
                  <c:v>0.14%</c:v>
                </c:pt>
                <c:pt idx="1417">
                  <c:v>-0.49%</c:v>
                </c:pt>
                <c:pt idx="1418">
                  <c:v>0.01%</c:v>
                </c:pt>
                <c:pt idx="1419">
                  <c:v>-1.08%</c:v>
                </c:pt>
                <c:pt idx="1420">
                  <c:v>-1.27%</c:v>
                </c:pt>
                <c:pt idx="1421">
                  <c:v>-1.85%</c:v>
                </c:pt>
                <c:pt idx="1422">
                  <c:v>-0.92%</c:v>
                </c:pt>
                <c:pt idx="1423">
                  <c:v>-1.04%</c:v>
                </c:pt>
                <c:pt idx="1424">
                  <c:v>0.36%</c:v>
                </c:pt>
                <c:pt idx="1425">
                  <c:v>-0.70%</c:v>
                </c:pt>
                <c:pt idx="1426">
                  <c:v>-0.14%</c:v>
                </c:pt>
                <c:pt idx="1427">
                  <c:v>1.52%</c:v>
                </c:pt>
                <c:pt idx="1428">
                  <c:v>0.71%</c:v>
                </c:pt>
                <c:pt idx="1429">
                  <c:v>-1.74%</c:v>
                </c:pt>
                <c:pt idx="1430">
                  <c:v>0.50%</c:v>
                </c:pt>
                <c:pt idx="1431">
                  <c:v>0.72%</c:v>
                </c:pt>
                <c:pt idx="1432">
                  <c:v>-0.13%</c:v>
                </c:pt>
                <c:pt idx="1433">
                  <c:v>-1.04%</c:v>
                </c:pt>
                <c:pt idx="1434">
                  <c:v>0.45%</c:v>
                </c:pt>
                <c:pt idx="1435">
                  <c:v>-0.25%</c:v>
                </c:pt>
                <c:pt idx="1436">
                  <c:v>0.34%</c:v>
                </c:pt>
                <c:pt idx="1437">
                  <c:v>0.69%</c:v>
                </c:pt>
                <c:pt idx="1438">
                  <c:v>0.51%</c:v>
                </c:pt>
                <c:pt idx="1439">
                  <c:v>-0.52%</c:v>
                </c:pt>
                <c:pt idx="1440">
                  <c:v>-1.79%</c:v>
                </c:pt>
                <c:pt idx="1441">
                  <c:v>0.14%</c:v>
                </c:pt>
                <c:pt idx="1442">
                  <c:v>-0.10%</c:v>
                </c:pt>
                <c:pt idx="1443">
                  <c:v>-0.15%</c:v>
                </c:pt>
                <c:pt idx="1444">
                  <c:v>0.40%</c:v>
                </c:pt>
                <c:pt idx="1445">
                  <c:v>0.64%</c:v>
                </c:pt>
                <c:pt idx="1446">
                  <c:v>-1.19%</c:v>
                </c:pt>
                <c:pt idx="1447">
                  <c:v>0.99%</c:v>
                </c:pt>
                <c:pt idx="1448">
                  <c:v>0.43%</c:v>
                </c:pt>
                <c:pt idx="1449">
                  <c:v>0.22%</c:v>
                </c:pt>
                <c:pt idx="1450">
                  <c:v>0.11%</c:v>
                </c:pt>
                <c:pt idx="1451">
                  <c:v>2.52%</c:v>
                </c:pt>
                <c:pt idx="1452">
                  <c:v>0.55%</c:v>
                </c:pt>
                <c:pt idx="1453">
                  <c:v>-0.06%</c:v>
                </c:pt>
                <c:pt idx="1454">
                  <c:v>-1.77%</c:v>
                </c:pt>
                <c:pt idx="1455">
                  <c:v>-0.27%</c:v>
                </c:pt>
                <c:pt idx="1456">
                  <c:v>0.59%</c:v>
                </c:pt>
                <c:pt idx="1457">
                  <c:v>-1.40%</c:v>
                </c:pt>
                <c:pt idx="1458">
                  <c:v>-0.13%</c:v>
                </c:pt>
                <c:pt idx="1459">
                  <c:v>0.20%</c:v>
                </c:pt>
                <c:pt idx="1460">
                  <c:v>0.93%</c:v>
                </c:pt>
                <c:pt idx="1461">
                  <c:v>-1.67%</c:v>
                </c:pt>
                <c:pt idx="1462">
                  <c:v>-0.17%</c:v>
                </c:pt>
                <c:pt idx="1463">
                  <c:v>-0.23%</c:v>
                </c:pt>
                <c:pt idx="1464">
                  <c:v>0.04%</c:v>
                </c:pt>
                <c:pt idx="1465">
                  <c:v>0.51%</c:v>
                </c:pt>
                <c:pt idx="1466">
                  <c:v>1.03%</c:v>
                </c:pt>
                <c:pt idx="1467">
                  <c:v>1.28%</c:v>
                </c:pt>
                <c:pt idx="1468">
                  <c:v>2.98%</c:v>
                </c:pt>
                <c:pt idx="1469">
                  <c:v>0.29%</c:v>
                </c:pt>
                <c:pt idx="1470">
                  <c:v>0.55%</c:v>
                </c:pt>
                <c:pt idx="1471">
                  <c:v>-0.11%</c:v>
                </c:pt>
                <c:pt idx="1472">
                  <c:v>-0.05%</c:v>
                </c:pt>
                <c:pt idx="1473">
                  <c:v>-0.99%</c:v>
                </c:pt>
                <c:pt idx="1474">
                  <c:v>-0.17%</c:v>
                </c:pt>
                <c:pt idx="1475">
                  <c:v>-0.70%</c:v>
                </c:pt>
                <c:pt idx="1476">
                  <c:v>-1.41%</c:v>
                </c:pt>
                <c:pt idx="1477">
                  <c:v>0.21%</c:v>
                </c:pt>
                <c:pt idx="1478">
                  <c:v>-0.60%</c:v>
                </c:pt>
                <c:pt idx="1479">
                  <c:v>0.27%</c:v>
                </c:pt>
                <c:pt idx="1480">
                  <c:v>-0.29%</c:v>
                </c:pt>
                <c:pt idx="1481">
                  <c:v>0.61%</c:v>
                </c:pt>
                <c:pt idx="1482">
                  <c:v>1.67%</c:v>
                </c:pt>
                <c:pt idx="1483">
                  <c:v>0.63%</c:v>
                </c:pt>
                <c:pt idx="1484">
                  <c:v>-0.37%</c:v>
                </c:pt>
                <c:pt idx="1485">
                  <c:v>-0.38%</c:v>
                </c:pt>
                <c:pt idx="1486">
                  <c:v>0.28%</c:v>
                </c:pt>
                <c:pt idx="1487">
                  <c:v>-0.44%</c:v>
                </c:pt>
                <c:pt idx="1488">
                  <c:v>-0.36%</c:v>
                </c:pt>
                <c:pt idx="1489">
                  <c:v>1.33%</c:v>
                </c:pt>
                <c:pt idx="1490">
                  <c:v>0.36%</c:v>
                </c:pt>
                <c:pt idx="1491">
                  <c:v>-0.50%</c:v>
                </c:pt>
                <c:pt idx="1492">
                  <c:v>0.25%</c:v>
                </c:pt>
                <c:pt idx="1493">
                  <c:v>-0.10%</c:v>
                </c:pt>
                <c:pt idx="1494">
                  <c:v>-0.54%</c:v>
                </c:pt>
                <c:pt idx="1495">
                  <c:v>0.32%</c:v>
                </c:pt>
                <c:pt idx="1496">
                  <c:v>-0.42%</c:v>
                </c:pt>
                <c:pt idx="1497">
                  <c:v>-0.64%</c:v>
                </c:pt>
                <c:pt idx="1498">
                  <c:v>0.85%</c:v>
                </c:pt>
                <c:pt idx="1499">
                  <c:v>-0.73%</c:v>
                </c:pt>
                <c:pt idx="1500">
                  <c:v>1.61%</c:v>
                </c:pt>
                <c:pt idx="1501">
                  <c:v>-1.37%</c:v>
                </c:pt>
                <c:pt idx="1502">
                  <c:v>0.56%</c:v>
                </c:pt>
                <c:pt idx="1503">
                  <c:v>0.48%</c:v>
                </c:pt>
                <c:pt idx="1504">
                  <c:v>0.44%</c:v>
                </c:pt>
                <c:pt idx="1505">
                  <c:v>0.37%</c:v>
                </c:pt>
                <c:pt idx="1506">
                  <c:v>1.06%</c:v>
                </c:pt>
                <c:pt idx="1507">
                  <c:v>-0.26%</c:v>
                </c:pt>
                <c:pt idx="1508">
                  <c:v>-0.39%</c:v>
                </c:pt>
                <c:pt idx="1509">
                  <c:v>-0.34%</c:v>
                </c:pt>
                <c:pt idx="1510">
                  <c:v>2.29%</c:v>
                </c:pt>
                <c:pt idx="1511">
                  <c:v>-1.14%</c:v>
                </c:pt>
                <c:pt idx="1512">
                  <c:v>1.26%</c:v>
                </c:pt>
                <c:pt idx="1513">
                  <c:v>-0.91%</c:v>
                </c:pt>
                <c:pt idx="1514">
                  <c:v>0.64%</c:v>
                </c:pt>
                <c:pt idx="1515">
                  <c:v>1.29%</c:v>
                </c:pt>
                <c:pt idx="1516">
                  <c:v>-1.35%</c:v>
                </c:pt>
                <c:pt idx="1517">
                  <c:v>-0.97%</c:v>
                </c:pt>
                <c:pt idx="1518">
                  <c:v>1.02%</c:v>
                </c:pt>
                <c:pt idx="1519">
                  <c:v>1.40%</c:v>
                </c:pt>
                <c:pt idx="1520">
                  <c:v>-0.63%</c:v>
                </c:pt>
                <c:pt idx="1521">
                  <c:v>2.02%</c:v>
                </c:pt>
                <c:pt idx="1522">
                  <c:v>-0.27%</c:v>
                </c:pt>
                <c:pt idx="1523">
                  <c:v>0.47%</c:v>
                </c:pt>
                <c:pt idx="1524">
                  <c:v>1.48%</c:v>
                </c:pt>
                <c:pt idx="1525">
                  <c:v>-0.80%</c:v>
                </c:pt>
                <c:pt idx="1526">
                  <c:v>1.92%</c:v>
                </c:pt>
                <c:pt idx="1527">
                  <c:v>-0.81%</c:v>
                </c:pt>
                <c:pt idx="1528">
                  <c:v>-0.07%</c:v>
                </c:pt>
                <c:pt idx="1529">
                  <c:v>-0.40%</c:v>
                </c:pt>
                <c:pt idx="1530">
                  <c:v>2.67%</c:v>
                </c:pt>
                <c:pt idx="1531">
                  <c:v>0.07%</c:v>
                </c:pt>
                <c:pt idx="1532">
                  <c:v>1.02%</c:v>
                </c:pt>
                <c:pt idx="1533">
                  <c:v>1.37%</c:v>
                </c:pt>
                <c:pt idx="1534">
                  <c:v>-0.45%</c:v>
                </c:pt>
                <c:pt idx="1535">
                  <c:v>1.06%</c:v>
                </c:pt>
                <c:pt idx="1536">
                  <c:v>-0.32%</c:v>
                </c:pt>
                <c:pt idx="1537">
                  <c:v>-1.92%</c:v>
                </c:pt>
                <c:pt idx="1538">
                  <c:v>-0.38%</c:v>
                </c:pt>
                <c:pt idx="1539">
                  <c:v>0.09%</c:v>
                </c:pt>
                <c:pt idx="1540">
                  <c:v>-2.50%</c:v>
                </c:pt>
                <c:pt idx="1541">
                  <c:v>-1.31%</c:v>
                </c:pt>
                <c:pt idx="1542">
                  <c:v>-0.05%</c:v>
                </c:pt>
                <c:pt idx="1543">
                  <c:v>0.52%</c:v>
                </c:pt>
                <c:pt idx="1544">
                  <c:v>0.75%</c:v>
                </c:pt>
                <c:pt idx="1545">
                  <c:v>0.01%</c:v>
                </c:pt>
                <c:pt idx="1546">
                  <c:v>-0.71%</c:v>
                </c:pt>
                <c:pt idx="1547">
                  <c:v>0.69%</c:v>
                </c:pt>
                <c:pt idx="1548">
                  <c:v>-1.51%</c:v>
                </c:pt>
                <c:pt idx="1549">
                  <c:v>0.84%</c:v>
                </c:pt>
                <c:pt idx="1550">
                  <c:v>-1.69%</c:v>
                </c:pt>
                <c:pt idx="1551">
                  <c:v>1.07%</c:v>
                </c:pt>
                <c:pt idx="1552">
                  <c:v>-0.99%</c:v>
                </c:pt>
                <c:pt idx="1553">
                  <c:v>1.80%</c:v>
                </c:pt>
                <c:pt idx="1554">
                  <c:v>-0.45%</c:v>
                </c:pt>
                <c:pt idx="1555">
                  <c:v>-0.67%</c:v>
                </c:pt>
                <c:pt idx="1556">
                  <c:v>-1.12%</c:v>
                </c:pt>
                <c:pt idx="1557">
                  <c:v>0.69%</c:v>
                </c:pt>
                <c:pt idx="1558">
                  <c:v>-1.33%</c:v>
                </c:pt>
                <c:pt idx="1559">
                  <c:v>-0.26%</c:v>
                </c:pt>
                <c:pt idx="1560">
                  <c:v>0.52%</c:v>
                </c:pt>
                <c:pt idx="1561">
                  <c:v>-0.97%</c:v>
                </c:pt>
                <c:pt idx="1562">
                  <c:v>-1.00%</c:v>
                </c:pt>
                <c:pt idx="1563">
                  <c:v>-0.54%</c:v>
                </c:pt>
                <c:pt idx="1564">
                  <c:v>-1.50%</c:v>
                </c:pt>
                <c:pt idx="1565">
                  <c:v>-0.78%</c:v>
                </c:pt>
                <c:pt idx="1566">
                  <c:v>0.02%</c:v>
                </c:pt>
                <c:pt idx="1567">
                  <c:v>-1.73%</c:v>
                </c:pt>
                <c:pt idx="1568">
                  <c:v>0.04%</c:v>
                </c:pt>
                <c:pt idx="1569">
                  <c:v>0.12%</c:v>
                </c:pt>
                <c:pt idx="1570">
                  <c:v>0.25%</c:v>
                </c:pt>
                <c:pt idx="1571">
                  <c:v>0.03%</c:v>
                </c:pt>
                <c:pt idx="1572">
                  <c:v>-2.63%</c:v>
                </c:pt>
                <c:pt idx="1573">
                  <c:v>-0.99%</c:v>
                </c:pt>
                <c:pt idx="1574">
                  <c:v>0.39%</c:v>
                </c:pt>
                <c:pt idx="1575">
                  <c:v>-0.15%</c:v>
                </c:pt>
                <c:pt idx="1576">
                  <c:v>-1.25%</c:v>
                </c:pt>
                <c:pt idx="1577">
                  <c:v>1.82%</c:v>
                </c:pt>
                <c:pt idx="1578">
                  <c:v>1.44%</c:v>
                </c:pt>
                <c:pt idx="1579">
                  <c:v>-1.52%</c:v>
                </c:pt>
                <c:pt idx="1580">
                  <c:v>-0.14%</c:v>
                </c:pt>
                <c:pt idx="1581">
                  <c:v>0.64%</c:v>
                </c:pt>
                <c:pt idx="1582">
                  <c:v>1.87%</c:v>
                </c:pt>
                <c:pt idx="1583">
                  <c:v>-2.38%</c:v>
                </c:pt>
                <c:pt idx="1584">
                  <c:v>0.76%</c:v>
                </c:pt>
                <c:pt idx="1585">
                  <c:v>-0.40%</c:v>
                </c:pt>
                <c:pt idx="1586">
                  <c:v>0.22%</c:v>
                </c:pt>
                <c:pt idx="1587">
                  <c:v>-0.30%</c:v>
                </c:pt>
                <c:pt idx="1588">
                  <c:v>1.92%</c:v>
                </c:pt>
                <c:pt idx="1589">
                  <c:v>2.24%</c:v>
                </c:pt>
                <c:pt idx="1590">
                  <c:v>-0.28%</c:v>
                </c:pt>
                <c:pt idx="1591">
                  <c:v>-1.02%</c:v>
                </c:pt>
                <c:pt idx="1592">
                  <c:v>2.93%</c:v>
                </c:pt>
                <c:pt idx="1593">
                  <c:v>0.52%</c:v>
                </c:pt>
                <c:pt idx="1594">
                  <c:v>-1.18%</c:v>
                </c:pt>
                <c:pt idx="1595">
                  <c:v>1.31%</c:v>
                </c:pt>
                <c:pt idx="1596">
                  <c:v>-0.20%</c:v>
                </c:pt>
                <c:pt idx="1597">
                  <c:v>-0.34%</c:v>
                </c:pt>
                <c:pt idx="1598">
                  <c:v>1.23%</c:v>
                </c:pt>
                <c:pt idx="1599">
                  <c:v>-1.92%</c:v>
                </c:pt>
                <c:pt idx="1600">
                  <c:v>1.10%</c:v>
                </c:pt>
                <c:pt idx="1601">
                  <c:v>0.24%</c:v>
                </c:pt>
                <c:pt idx="1602">
                  <c:v>0.44%</c:v>
                </c:pt>
                <c:pt idx="1603">
                  <c:v>0.25%</c:v>
                </c:pt>
                <c:pt idx="1604">
                  <c:v>-1.85%</c:v>
                </c:pt>
                <c:pt idx="1605">
                  <c:v>-0.84%</c:v>
                </c:pt>
                <c:pt idx="1606">
                  <c:v>0.46%</c:v>
                </c:pt>
                <c:pt idx="1607">
                  <c:v>0.62%</c:v>
                </c:pt>
                <c:pt idx="1608">
                  <c:v>-0.04%</c:v>
                </c:pt>
                <c:pt idx="1609">
                  <c:v>-1.85%</c:v>
                </c:pt>
                <c:pt idx="1610">
                  <c:v>-0.27%</c:v>
                </c:pt>
                <c:pt idx="1611">
                  <c:v>-0.87%</c:v>
                </c:pt>
                <c:pt idx="1612">
                  <c:v>-0.84%</c:v>
                </c:pt>
                <c:pt idx="1613">
                  <c:v>0.58%</c:v>
                </c:pt>
                <c:pt idx="1614">
                  <c:v>0.38%</c:v>
                </c:pt>
                <c:pt idx="1615">
                  <c:v>-1.68%</c:v>
                </c:pt>
                <c:pt idx="1616">
                  <c:v>-0.12%</c:v>
                </c:pt>
                <c:pt idx="1617">
                  <c:v>0.68%</c:v>
                </c:pt>
                <c:pt idx="1618">
                  <c:v>0.25%</c:v>
                </c:pt>
                <c:pt idx="1619">
                  <c:v>-0.16%</c:v>
                </c:pt>
                <c:pt idx="1620">
                  <c:v>0.05%</c:v>
                </c:pt>
                <c:pt idx="1621">
                  <c:v>-1.31%</c:v>
                </c:pt>
                <c:pt idx="1622">
                  <c:v>2.17%</c:v>
                </c:pt>
                <c:pt idx="1623">
                  <c:v>0.18%</c:v>
                </c:pt>
                <c:pt idx="1624">
                  <c:v>-0.95%</c:v>
                </c:pt>
                <c:pt idx="1625">
                  <c:v>-2.06%</c:v>
                </c:pt>
                <c:pt idx="1626">
                  <c:v>-1.97%</c:v>
                </c:pt>
                <c:pt idx="1627">
                  <c:v>-0.68%</c:v>
                </c:pt>
                <c:pt idx="1628">
                  <c:v>1.21%</c:v>
                </c:pt>
                <c:pt idx="1629">
                  <c:v>-0.62%</c:v>
                </c:pt>
                <c:pt idx="1630">
                  <c:v>-0.27%</c:v>
                </c:pt>
                <c:pt idx="1631">
                  <c:v>-1.12%</c:v>
                </c:pt>
                <c:pt idx="1632">
                  <c:v>1.72%</c:v>
                </c:pt>
                <c:pt idx="1633">
                  <c:v>2.58%</c:v>
                </c:pt>
                <c:pt idx="1634">
                  <c:v>-3.07%</c:v>
                </c:pt>
                <c:pt idx="1635">
                  <c:v>-0.39%</c:v>
                </c:pt>
                <c:pt idx="1636">
                  <c:v>0.59%</c:v>
                </c:pt>
                <c:pt idx="1637">
                  <c:v>0.59%</c:v>
                </c:pt>
                <c:pt idx="1638">
                  <c:v>-0.55%</c:v>
                </c:pt>
                <c:pt idx="1639">
                  <c:v>-0.51%</c:v>
                </c:pt>
                <c:pt idx="1640">
                  <c:v>0.80%</c:v>
                </c:pt>
                <c:pt idx="1641">
                  <c:v>1.75%</c:v>
                </c:pt>
                <c:pt idx="1642">
                  <c:v>-1.99%</c:v>
                </c:pt>
                <c:pt idx="1643">
                  <c:v>-0.76%</c:v>
                </c:pt>
                <c:pt idx="1644">
                  <c:v>0.55%</c:v>
                </c:pt>
                <c:pt idx="1645">
                  <c:v>-1.13%</c:v>
                </c:pt>
                <c:pt idx="1646">
                  <c:v>-0.59%</c:v>
                </c:pt>
                <c:pt idx="1647">
                  <c:v>1.53%</c:v>
                </c:pt>
                <c:pt idx="1648">
                  <c:v>0.35%</c:v>
                </c:pt>
                <c:pt idx="1649">
                  <c:v>-0.57%</c:v>
                </c:pt>
                <c:pt idx="1650">
                  <c:v>0.57%</c:v>
                </c:pt>
                <c:pt idx="1651">
                  <c:v>-1.51%</c:v>
                </c:pt>
                <c:pt idx="1652">
                  <c:v>0.22%</c:v>
                </c:pt>
                <c:pt idx="1653">
                  <c:v>0.55%</c:v>
                </c:pt>
                <c:pt idx="1654">
                  <c:v>1.40%</c:v>
                </c:pt>
                <c:pt idx="1655">
                  <c:v>0.76%</c:v>
                </c:pt>
                <c:pt idx="1656">
                  <c:v>0.19%</c:v>
                </c:pt>
                <c:pt idx="1657">
                  <c:v>-0.19%</c:v>
                </c:pt>
                <c:pt idx="1658">
                  <c:v>-0.25%</c:v>
                </c:pt>
                <c:pt idx="1659">
                  <c:v>1.42%</c:v>
                </c:pt>
                <c:pt idx="1660">
                  <c:v>1.44%</c:v>
                </c:pt>
                <c:pt idx="1661">
                  <c:v>0.65%</c:v>
                </c:pt>
                <c:pt idx="1662">
                  <c:v>0.08%</c:v>
                </c:pt>
                <c:pt idx="1663">
                  <c:v>-0.94%</c:v>
                </c:pt>
                <c:pt idx="1664">
                  <c:v>-1.50%</c:v>
                </c:pt>
                <c:pt idx="1665">
                  <c:v>-0.48%</c:v>
                </c:pt>
                <c:pt idx="1666">
                  <c:v>0.92%</c:v>
                </c:pt>
                <c:pt idx="1667">
                  <c:v>0.22%</c:v>
                </c:pt>
                <c:pt idx="1668">
                  <c:v>1.48%</c:v>
                </c:pt>
                <c:pt idx="1669">
                  <c:v>-0.18%</c:v>
                </c:pt>
                <c:pt idx="1670">
                  <c:v>-1.81%</c:v>
                </c:pt>
                <c:pt idx="1671">
                  <c:v>-0.75%</c:v>
                </c:pt>
                <c:pt idx="1672">
                  <c:v>0.98%</c:v>
                </c:pt>
                <c:pt idx="1673">
                  <c:v>0.31%</c:v>
                </c:pt>
                <c:pt idx="1674">
                  <c:v>0.17%</c:v>
                </c:pt>
                <c:pt idx="1675">
                  <c:v>-0.02%</c:v>
                </c:pt>
                <c:pt idx="1676">
                  <c:v>-0.54%</c:v>
                </c:pt>
                <c:pt idx="1677">
                  <c:v>0.76%</c:v>
                </c:pt>
                <c:pt idx="1678">
                  <c:v>-0.56%</c:v>
                </c:pt>
                <c:pt idx="1679">
                  <c:v>0.48%</c:v>
                </c:pt>
                <c:pt idx="1680">
                  <c:v>0.06%</c:v>
                </c:pt>
                <c:pt idx="1681">
                  <c:v>-1.79%</c:v>
                </c:pt>
                <c:pt idx="1682">
                  <c:v>1.78%</c:v>
                </c:pt>
                <c:pt idx="1683">
                  <c:v>-0.25%</c:v>
                </c:pt>
                <c:pt idx="1684">
                  <c:v>0.99%</c:v>
                </c:pt>
                <c:pt idx="1685">
                  <c:v>0.70%</c:v>
                </c:pt>
                <c:pt idx="1686">
                  <c:v>0.01%</c:v>
                </c:pt>
                <c:pt idx="1687">
                  <c:v>-0.49%</c:v>
                </c:pt>
                <c:pt idx="1688">
                  <c:v>0.26%</c:v>
                </c:pt>
                <c:pt idx="1689">
                  <c:v>-0.57%</c:v>
                </c:pt>
                <c:pt idx="1690">
                  <c:v>-0.91%</c:v>
                </c:pt>
                <c:pt idx="1691">
                  <c:v>-0.54%</c:v>
                </c:pt>
                <c:pt idx="1692">
                  <c:v>-1.86%</c:v>
                </c:pt>
                <c:pt idx="1693">
                  <c:v>-1.11%</c:v>
                </c:pt>
                <c:pt idx="1694">
                  <c:v>-0.13%</c:v>
                </c:pt>
                <c:pt idx="1695">
                  <c:v>0.67%</c:v>
                </c:pt>
                <c:pt idx="1696">
                  <c:v>-2.26%</c:v>
                </c:pt>
                <c:pt idx="1697">
                  <c:v>0.58%</c:v>
                </c:pt>
                <c:pt idx="1698">
                  <c:v>1.54%</c:v>
                </c:pt>
                <c:pt idx="1699">
                  <c:v>1.03%</c:v>
                </c:pt>
                <c:pt idx="1700">
                  <c:v>1.57%</c:v>
                </c:pt>
                <c:pt idx="1701">
                  <c:v>-1.33%</c:v>
                </c:pt>
                <c:pt idx="1702">
                  <c:v>-1.06%</c:v>
                </c:pt>
                <c:pt idx="1703">
                  <c:v>-1.56%</c:v>
                </c:pt>
                <c:pt idx="1704">
                  <c:v>1.58%</c:v>
                </c:pt>
                <c:pt idx="1705">
                  <c:v>2.51%</c:v>
                </c:pt>
                <c:pt idx="1706">
                  <c:v>-1.79%</c:v>
                </c:pt>
                <c:pt idx="1707">
                  <c:v>-0.15%</c:v>
                </c:pt>
                <c:pt idx="1708">
                  <c:v>-1.48%</c:v>
                </c:pt>
                <c:pt idx="1709">
                  <c:v>-2.09%</c:v>
                </c:pt>
                <c:pt idx="1710">
                  <c:v>-1.05%</c:v>
                </c:pt>
                <c:pt idx="1711">
                  <c:v>1.71%</c:v>
                </c:pt>
                <c:pt idx="1712">
                  <c:v>-0.53%</c:v>
                </c:pt>
                <c:pt idx="1713">
                  <c:v>0.94%</c:v>
                </c:pt>
                <c:pt idx="1714">
                  <c:v>0.78%</c:v>
                </c:pt>
                <c:pt idx="1715">
                  <c:v>-0.91%</c:v>
                </c:pt>
                <c:pt idx="1716">
                  <c:v>1.55%</c:v>
                </c:pt>
                <c:pt idx="1717">
                  <c:v>-1.20%</c:v>
                </c:pt>
                <c:pt idx="1718">
                  <c:v>-0.55%</c:v>
                </c:pt>
                <c:pt idx="1719">
                  <c:v>0.54%</c:v>
                </c:pt>
                <c:pt idx="1720">
                  <c:v>-0.31%</c:v>
                </c:pt>
                <c:pt idx="1721">
                  <c:v>-0.25%</c:v>
                </c:pt>
                <c:pt idx="1722">
                  <c:v>0.95%</c:v>
                </c:pt>
                <c:pt idx="1723">
                  <c:v>1.34%</c:v>
                </c:pt>
                <c:pt idx="1724">
                  <c:v>-2.01%</c:v>
                </c:pt>
                <c:pt idx="1725">
                  <c:v>0.07%</c:v>
                </c:pt>
                <c:pt idx="1726">
                  <c:v>1.47%</c:v>
                </c:pt>
                <c:pt idx="1727">
                  <c:v>1.83%</c:v>
                </c:pt>
                <c:pt idx="1728">
                  <c:v>-2.82%</c:v>
                </c:pt>
                <c:pt idx="1729">
                  <c:v>-0.84%</c:v>
                </c:pt>
                <c:pt idx="1730">
                  <c:v>0.13%</c:v>
                </c:pt>
                <c:pt idx="1731">
                  <c:v>-0.44%</c:v>
                </c:pt>
                <c:pt idx="1732">
                  <c:v>0.85%</c:v>
                </c:pt>
                <c:pt idx="1733">
                  <c:v>0.58%</c:v>
                </c:pt>
                <c:pt idx="1734">
                  <c:v>0.65%</c:v>
                </c:pt>
                <c:pt idx="1735">
                  <c:v>-0.24%</c:v>
                </c:pt>
                <c:pt idx="1736">
                  <c:v>-0.17%</c:v>
                </c:pt>
                <c:pt idx="1737">
                  <c:v>1.09%</c:v>
                </c:pt>
                <c:pt idx="1738">
                  <c:v>0.64%</c:v>
                </c:pt>
                <c:pt idx="1739">
                  <c:v>0.41%</c:v>
                </c:pt>
                <c:pt idx="1740">
                  <c:v>0.16%</c:v>
                </c:pt>
                <c:pt idx="1741">
                  <c:v>-0.83%</c:v>
                </c:pt>
                <c:pt idx="1742">
                  <c:v>-0.82%</c:v>
                </c:pt>
                <c:pt idx="1743">
                  <c:v>0.18%</c:v>
                </c:pt>
                <c:pt idx="1744">
                  <c:v>1.21%</c:v>
                </c:pt>
                <c:pt idx="1745">
                  <c:v>-1.11%</c:v>
                </c:pt>
                <c:pt idx="1746">
                  <c:v>0.41%</c:v>
                </c:pt>
                <c:pt idx="1747">
                  <c:v>0.49%</c:v>
                </c:pt>
                <c:pt idx="1748">
                  <c:v>-0.26%</c:v>
                </c:pt>
                <c:pt idx="1749">
                  <c:v>-0.10%</c:v>
                </c:pt>
                <c:pt idx="1750">
                  <c:v>0.76%</c:v>
                </c:pt>
                <c:pt idx="1751">
                  <c:v>-0.85%</c:v>
                </c:pt>
                <c:pt idx="1752">
                  <c:v>1.61%</c:v>
                </c:pt>
                <c:pt idx="1753">
                  <c:v>-1.94%</c:v>
                </c:pt>
                <c:pt idx="1754">
                  <c:v>0.78%</c:v>
                </c:pt>
                <c:pt idx="1755">
                  <c:v>0.82%</c:v>
                </c:pt>
                <c:pt idx="1756">
                  <c:v>1.60%</c:v>
                </c:pt>
                <c:pt idx="1757">
                  <c:v>-2.28%</c:v>
                </c:pt>
                <c:pt idx="1758">
                  <c:v>-1.17%</c:v>
                </c:pt>
                <c:pt idx="1759">
                  <c:v>1.26%</c:v>
                </c:pt>
                <c:pt idx="1760">
                  <c:v>-0.85%</c:v>
                </c:pt>
                <c:pt idx="1761">
                  <c:v>0.00%</c:v>
                </c:pt>
                <c:pt idx="1762">
                  <c:v>1.25%</c:v>
                </c:pt>
                <c:pt idx="1763">
                  <c:v>-1.17%</c:v>
                </c:pt>
                <c:pt idx="1764">
                  <c:v>-1.15%</c:v>
                </c:pt>
                <c:pt idx="1765">
                  <c:v>-1.08%</c:v>
                </c:pt>
                <c:pt idx="1766">
                  <c:v>-0.01%</c:v>
                </c:pt>
                <c:pt idx="1767">
                  <c:v>-0.81%</c:v>
                </c:pt>
                <c:pt idx="1768">
                  <c:v>0.10%</c:v>
                </c:pt>
                <c:pt idx="1769">
                  <c:v>-0.09%</c:v>
                </c:pt>
                <c:pt idx="1770">
                  <c:v>0.60%</c:v>
                </c:pt>
                <c:pt idx="1771">
                  <c:v>-0.71%</c:v>
                </c:pt>
                <c:pt idx="1772">
                  <c:v>0.66%</c:v>
                </c:pt>
                <c:pt idx="1773">
                  <c:v>1.00%</c:v>
                </c:pt>
                <c:pt idx="1774">
                  <c:v>1.04%</c:v>
                </c:pt>
                <c:pt idx="1775">
                  <c:v>0.53%</c:v>
                </c:pt>
                <c:pt idx="1776">
                  <c:v>-0.45%</c:v>
                </c:pt>
                <c:pt idx="1777">
                  <c:v>0.15%</c:v>
                </c:pt>
                <c:pt idx="1778">
                  <c:v>-1.55%</c:v>
                </c:pt>
                <c:pt idx="1779">
                  <c:v>0.38%</c:v>
                </c:pt>
                <c:pt idx="1780">
                  <c:v>1.06%</c:v>
                </c:pt>
                <c:pt idx="1781">
                  <c:v>-0.71%</c:v>
                </c:pt>
                <c:pt idx="1782">
                  <c:v>1.61%</c:v>
                </c:pt>
                <c:pt idx="1783">
                  <c:v>0.98%</c:v>
                </c:pt>
                <c:pt idx="1784">
                  <c:v>2.26%</c:v>
                </c:pt>
                <c:pt idx="1785">
                  <c:v>-1.24%</c:v>
                </c:pt>
                <c:pt idx="1786">
                  <c:v>0.12%</c:v>
                </c:pt>
                <c:pt idx="1787">
                  <c:v>-0.72%</c:v>
                </c:pt>
                <c:pt idx="1788">
                  <c:v>-0.43%</c:v>
                </c:pt>
                <c:pt idx="1789">
                  <c:v>0.91%</c:v>
                </c:pt>
                <c:pt idx="1790">
                  <c:v>1.34%</c:v>
                </c:pt>
                <c:pt idx="1791">
                  <c:v>0.01%</c:v>
                </c:pt>
                <c:pt idx="1792">
                  <c:v>-0.35%</c:v>
                </c:pt>
                <c:pt idx="1793">
                  <c:v>-1.20%</c:v>
                </c:pt>
                <c:pt idx="1794">
                  <c:v>-0.02%</c:v>
                </c:pt>
                <c:pt idx="1795">
                  <c:v>0.35%</c:v>
                </c:pt>
                <c:pt idx="1796">
                  <c:v>0.75%</c:v>
                </c:pt>
                <c:pt idx="1797">
                  <c:v>1.10%</c:v>
                </c:pt>
                <c:pt idx="1798">
                  <c:v>-0.60%</c:v>
                </c:pt>
                <c:pt idx="1799">
                  <c:v>-0.73%</c:v>
                </c:pt>
                <c:pt idx="1800">
                  <c:v>1.54%</c:v>
                </c:pt>
                <c:pt idx="1801">
                  <c:v>0.34%</c:v>
                </c:pt>
                <c:pt idx="1802">
                  <c:v>-1.91%</c:v>
                </c:pt>
                <c:pt idx="1803">
                  <c:v>1.85%</c:v>
                </c:pt>
                <c:pt idx="1804">
                  <c:v>-0.74%</c:v>
                </c:pt>
                <c:pt idx="1805">
                  <c:v>0.96%</c:v>
                </c:pt>
                <c:pt idx="1806">
                  <c:v>-0.34%</c:v>
                </c:pt>
                <c:pt idx="1807">
                  <c:v>0.10%</c:v>
                </c:pt>
                <c:pt idx="1808">
                  <c:v>1.93%</c:v>
                </c:pt>
                <c:pt idx="1809">
                  <c:v>-2.03%</c:v>
                </c:pt>
                <c:pt idx="1810">
                  <c:v>-0.33%</c:v>
                </c:pt>
                <c:pt idx="1811">
                  <c:v>-0.79%</c:v>
                </c:pt>
                <c:pt idx="1812">
                  <c:v>-0.28%</c:v>
                </c:pt>
                <c:pt idx="1813">
                  <c:v>-0.32%</c:v>
                </c:pt>
                <c:pt idx="1814">
                  <c:v>1.08%</c:v>
                </c:pt>
                <c:pt idx="1815">
                  <c:v>0.52%</c:v>
                </c:pt>
                <c:pt idx="1816">
                  <c:v>-0.50%</c:v>
                </c:pt>
                <c:pt idx="1817">
                  <c:v>1.74%</c:v>
                </c:pt>
                <c:pt idx="1818">
                  <c:v>0.99%</c:v>
                </c:pt>
                <c:pt idx="1819">
                  <c:v>-0.96%</c:v>
                </c:pt>
                <c:pt idx="1820">
                  <c:v>-0.39%</c:v>
                </c:pt>
                <c:pt idx="1821">
                  <c:v>-0.73%</c:v>
                </c:pt>
                <c:pt idx="1822">
                  <c:v>0.28%</c:v>
                </c:pt>
                <c:pt idx="1823">
                  <c:v>-0.40%</c:v>
                </c:pt>
                <c:pt idx="1824">
                  <c:v>0.88%</c:v>
                </c:pt>
                <c:pt idx="1825">
                  <c:v>0.00%</c:v>
                </c:pt>
                <c:pt idx="1827">
                  <c:v>📊 CHART INSTRUCTIONS: Select columns A-E (rows 2 onwards) → Insert → Scatter Chart. Each company's returns plotted against KSE-100 returns. Slope of trendline = Beta.</c:v>
                </c:pt>
              </c:strCache>
            </c:strRef>
          </c:xVal>
          <c:yVal>
            <c:numRef>
              <c:f>'Scatter Data'!$D$2:$D$1830</c:f>
              <c:numCache>
                <c:formatCode>0.00%</c:formatCode>
                <c:ptCount val="1829"/>
                <c:pt idx="0" formatCode="General">
                  <c:v>0</c:v>
                </c:pt>
                <c:pt idx="1">
                  <c:v>-2.0000000000000759E-3</c:v>
                </c:pt>
                <c:pt idx="2">
                  <c:v>-4.0080160320642806E-4</c:v>
                </c:pt>
                <c:pt idx="3">
                  <c:v>2.004811547714591E-4</c:v>
                </c:pt>
                <c:pt idx="4">
                  <c:v>2.2315761341618251E-2</c:v>
                </c:pt>
                <c:pt idx="5">
                  <c:v>6.5355205542121436E-3</c:v>
                </c:pt>
                <c:pt idx="6">
                  <c:v>-3.0842153106941109E-2</c:v>
                </c:pt>
                <c:pt idx="7">
                  <c:v>1.7084282460136751E-2</c:v>
                </c:pt>
                <c:pt idx="8">
                  <c:v>-2.9971675120216135E-2</c:v>
                </c:pt>
                <c:pt idx="9">
                  <c:v>-5.9758250713024281E-3</c:v>
                </c:pt>
                <c:pt idx="10">
                  <c:v>-2.1451017898619938E-2</c:v>
                </c:pt>
                <c:pt idx="11">
                  <c:v>1.047193521362589E-3</c:v>
                </c:pt>
                <c:pt idx="12">
                  <c:v>-1.9387683938907684E-2</c:v>
                </c:pt>
                <c:pt idx="13">
                  <c:v>-2.1335609131640707E-2</c:v>
                </c:pt>
                <c:pt idx="14">
                  <c:v>-1.6059879369231943E-2</c:v>
                </c:pt>
                <c:pt idx="15">
                  <c:v>1.3220088626292408E-2</c:v>
                </c:pt>
                <c:pt idx="16">
                  <c:v>-2.5512063561483659E-3</c:v>
                </c:pt>
                <c:pt idx="17">
                  <c:v>1.0888629055831694E-2</c:v>
                </c:pt>
                <c:pt idx="18">
                  <c:v>2.1831851369912395E-2</c:v>
                </c:pt>
                <c:pt idx="19">
                  <c:v>4.1740360806508912E-3</c:v>
                </c:pt>
                <c:pt idx="20">
                  <c:v>9.3701564041145033E-3</c:v>
                </c:pt>
                <c:pt idx="21">
                  <c:v>-1.48670342709571E-2</c:v>
                </c:pt>
                <c:pt idx="22">
                  <c:v>-9.9192291341920345E-4</c:v>
                </c:pt>
                <c:pt idx="23">
                  <c:v>-1.7659574468085172E-2</c:v>
                </c:pt>
                <c:pt idx="24">
                  <c:v>9.096816114360114E-3</c:v>
                </c:pt>
                <c:pt idx="25">
                  <c:v>1.4666952851112419E-2</c:v>
                </c:pt>
                <c:pt idx="26">
                  <c:v>1.5653645466083763E-2</c:v>
                </c:pt>
                <c:pt idx="27">
                  <c:v>-6.9425159677804121E-5</c:v>
                </c:pt>
                <c:pt idx="28">
                  <c:v>1.4510865791848944E-2</c:v>
                </c:pt>
                <c:pt idx="29">
                  <c:v>-1.9162332329592192E-3</c:v>
                </c:pt>
                <c:pt idx="30">
                  <c:v>-8.4339001645638359E-3</c:v>
                </c:pt>
                <c:pt idx="31">
                  <c:v>8.2981813152616588E-3</c:v>
                </c:pt>
                <c:pt idx="32">
                  <c:v>1.1796173101982024E-2</c:v>
                </c:pt>
                <c:pt idx="33">
                  <c:v>3.5111502745204408E-2</c:v>
                </c:pt>
                <c:pt idx="34">
                  <c:v>1.1918014537358346E-2</c:v>
                </c:pt>
                <c:pt idx="35">
                  <c:v>-1.6954636640134631E-2</c:v>
                </c:pt>
                <c:pt idx="36">
                  <c:v>-1.5008886840892641E-2</c:v>
                </c:pt>
                <c:pt idx="37">
                  <c:v>-2.0116286840874097E-2</c:v>
                </c:pt>
                <c:pt idx="38">
                  <c:v>1.6368844632383651E-3</c:v>
                </c:pt>
                <c:pt idx="39">
                  <c:v>-1.6954923055971734E-2</c:v>
                </c:pt>
                <c:pt idx="40">
                  <c:v>2.1888203920482071E-2</c:v>
                </c:pt>
                <c:pt idx="41">
                  <c:v>-4.2025350776113638E-3</c:v>
                </c:pt>
                <c:pt idx="42">
                  <c:v>1.0482608399700444E-2</c:v>
                </c:pt>
                <c:pt idx="43">
                  <c:v>2.8292354328057659E-3</c:v>
                </c:pt>
                <c:pt idx="44">
                  <c:v>5.7768522872303704E-3</c:v>
                </c:pt>
                <c:pt idx="45">
                  <c:v>-1.58952781673679E-2</c:v>
                </c:pt>
                <c:pt idx="46">
                  <c:v>-1.3573125212067738E-4</c:v>
                </c:pt>
                <c:pt idx="47">
                  <c:v>-6.3802348469424158E-3</c:v>
                </c:pt>
                <c:pt idx="48">
                  <c:v>-1.161281508299662E-3</c:v>
                </c:pt>
                <c:pt idx="49">
                  <c:v>2.3252633018739119E-3</c:v>
                </c:pt>
                <c:pt idx="50">
                  <c:v>1.1189956331877636E-2</c:v>
                </c:pt>
                <c:pt idx="51">
                  <c:v>-6.9500674763832739E-3</c:v>
                </c:pt>
                <c:pt idx="52">
                  <c:v>1.3317931643677436E-2</c:v>
                </c:pt>
                <c:pt idx="53">
                  <c:v>5.6326694830014313E-3</c:v>
                </c:pt>
                <c:pt idx="54">
                  <c:v>2.6205241048209687E-2</c:v>
                </c:pt>
                <c:pt idx="55">
                  <c:v>-5.1786874593892127E-2</c:v>
                </c:pt>
                <c:pt idx="56">
                  <c:v>-9.7306927979169174E-3</c:v>
                </c:pt>
                <c:pt idx="57">
                  <c:v>2.0206214102830366E-2</c:v>
                </c:pt>
                <c:pt idx="58">
                  <c:v>-3.9272875262836737E-2</c:v>
                </c:pt>
                <c:pt idx="59">
                  <c:v>2.3722112397627889E-2</c:v>
                </c:pt>
                <c:pt idx="60">
                  <c:v>1.7241379310344827E-3</c:v>
                </c:pt>
                <c:pt idx="61">
                  <c:v>-3.1738382099827975E-2</c:v>
                </c:pt>
                <c:pt idx="62">
                  <c:v>1.1803185437997904E-2</c:v>
                </c:pt>
                <c:pt idx="63">
                  <c:v>-1.61630358397752E-2</c:v>
                </c:pt>
                <c:pt idx="64">
                  <c:v>-1.4000000000000058E-2</c:v>
                </c:pt>
                <c:pt idx="65">
                  <c:v>2.3471457548536724E-2</c:v>
                </c:pt>
                <c:pt idx="66">
                  <c:v>-5.7332955832389738E-3</c:v>
                </c:pt>
                <c:pt idx="67">
                  <c:v>-1.4665053036235512E-2</c:v>
                </c:pt>
                <c:pt idx="68">
                  <c:v>3.2006357922115501E-2</c:v>
                </c:pt>
                <c:pt idx="69">
                  <c:v>1.5051806216746049E-2</c:v>
                </c:pt>
                <c:pt idx="70">
                  <c:v>-4.8968894406511343E-3</c:v>
                </c:pt>
                <c:pt idx="71">
                  <c:v>-1.2059883559745002E-2</c:v>
                </c:pt>
                <c:pt idx="72">
                  <c:v>-2.8062298302231354E-3</c:v>
                </c:pt>
                <c:pt idx="73">
                  <c:v>2.525678908118759E-2</c:v>
                </c:pt>
                <c:pt idx="74">
                  <c:v>-1.5096411171344189E-2</c:v>
                </c:pt>
                <c:pt idx="75">
                  <c:v>-1.9647460461227569E-2</c:v>
                </c:pt>
                <c:pt idx="76">
                  <c:v>2.0467628455688971E-2</c:v>
                </c:pt>
                <c:pt idx="77">
                  <c:v>-4.0392785012884772E-3</c:v>
                </c:pt>
                <c:pt idx="78">
                  <c:v>1.9579050416054901E-3</c:v>
                </c:pt>
                <c:pt idx="79">
                  <c:v>8.6537790494801391E-3</c:v>
                </c:pt>
                <c:pt idx="80">
                  <c:v>-5.7427523697503114E-3</c:v>
                </c:pt>
                <c:pt idx="81">
                  <c:v>-3.7787056367432001E-2</c:v>
                </c:pt>
                <c:pt idx="82">
                  <c:v>-2.8928907210530532E-3</c:v>
                </c:pt>
                <c:pt idx="83">
                  <c:v>1.9873794153913171E-2</c:v>
                </c:pt>
                <c:pt idx="84">
                  <c:v>3.4634805490363241E-2</c:v>
                </c:pt>
                <c:pt idx="85">
                  <c:v>-1.4434973879569669E-3</c:v>
                </c:pt>
                <c:pt idx="86">
                  <c:v>-6.8837337371923494E-5</c:v>
                </c:pt>
                <c:pt idx="87">
                  <c:v>2.1891780256092574E-2</c:v>
                </c:pt>
                <c:pt idx="88">
                  <c:v>9.7682565346267087E-3</c:v>
                </c:pt>
                <c:pt idx="89">
                  <c:v>5.0703849489627017E-3</c:v>
                </c:pt>
                <c:pt idx="90">
                  <c:v>-3.0733488217723169E-2</c:v>
                </c:pt>
                <c:pt idx="91">
                  <c:v>-6.1635392411998743E-3</c:v>
                </c:pt>
                <c:pt idx="92">
                  <c:v>3.7210584343990629E-3</c:v>
                </c:pt>
                <c:pt idx="93">
                  <c:v>-2.3410682411094307E-2</c:v>
                </c:pt>
                <c:pt idx="94">
                  <c:v>-5.4130052724078049E-3</c:v>
                </c:pt>
                <c:pt idx="95">
                  <c:v>2.7353689567430058E-2</c:v>
                </c:pt>
                <c:pt idx="96">
                  <c:v>-3.6463708290333757E-3</c:v>
                </c:pt>
                <c:pt idx="97">
                  <c:v>-2.223449799751415E-2</c:v>
                </c:pt>
                <c:pt idx="98">
                  <c:v>-2.9307909604519816E-2</c:v>
                </c:pt>
                <c:pt idx="99">
                  <c:v>2.1826118588578493E-4</c:v>
                </c:pt>
                <c:pt idx="100">
                  <c:v>-8.7285423334302354E-3</c:v>
                </c:pt>
                <c:pt idx="101">
                  <c:v>-1.3281479307308499E-2</c:v>
                </c:pt>
                <c:pt idx="102">
                  <c:v>4.0157655982746487E-3</c:v>
                </c:pt>
                <c:pt idx="103">
                  <c:v>4.8885267757943609E-3</c:v>
                </c:pt>
                <c:pt idx="104">
                  <c:v>3.1694552959387252E-3</c:v>
                </c:pt>
                <c:pt idx="105">
                  <c:v>5.878030859662097E-3</c:v>
                </c:pt>
                <c:pt idx="106">
                  <c:v>-1.8918918918918944E-2</c:v>
                </c:pt>
                <c:pt idx="107">
                  <c:v>-9.7535552081006796E-3</c:v>
                </c:pt>
                <c:pt idx="108">
                  <c:v>-4.7368421052631235E-3</c:v>
                </c:pt>
                <c:pt idx="109">
                  <c:v>-4.532749112336804E-4</c:v>
                </c:pt>
                <c:pt idx="110">
                  <c:v>1.6022976343435906E-2</c:v>
                </c:pt>
                <c:pt idx="111">
                  <c:v>-1.1083835453395887E-2</c:v>
                </c:pt>
                <c:pt idx="112">
                  <c:v>-1.1809839025124065E-2</c:v>
                </c:pt>
                <c:pt idx="113">
                  <c:v>2.3749714546700194E-2</c:v>
                </c:pt>
                <c:pt idx="114">
                  <c:v>2.8998438545615756E-3</c:v>
                </c:pt>
                <c:pt idx="115">
                  <c:v>-2.1574733096085385E-2</c:v>
                </c:pt>
                <c:pt idx="116">
                  <c:v>-4.5464878381449901E-3</c:v>
                </c:pt>
                <c:pt idx="117">
                  <c:v>-1.9030219989343077E-2</c:v>
                </c:pt>
                <c:pt idx="118">
                  <c:v>-1.7537052843951309E-2</c:v>
                </c:pt>
                <c:pt idx="119">
                  <c:v>-2.0614485427691332E-2</c:v>
                </c:pt>
                <c:pt idx="120">
                  <c:v>-1.2096774193548387E-2</c:v>
                </c:pt>
                <c:pt idx="121">
                  <c:v>3.2816326530612214E-2</c:v>
                </c:pt>
                <c:pt idx="122">
                  <c:v>1.628201074928878E-2</c:v>
                </c:pt>
                <c:pt idx="123">
                  <c:v>2.2165188987400792E-2</c:v>
                </c:pt>
                <c:pt idx="124">
                  <c:v>1.7499809784676124E-2</c:v>
                </c:pt>
                <c:pt idx="125">
                  <c:v>-1.719883347042472E-3</c:v>
                </c:pt>
                <c:pt idx="126">
                  <c:v>6.7415730337079078E-3</c:v>
                </c:pt>
                <c:pt idx="127">
                  <c:v>2.0833333333333415E-3</c:v>
                </c:pt>
                <c:pt idx="128">
                  <c:v>-1.6483516483516474E-2</c:v>
                </c:pt>
                <c:pt idx="129">
                  <c:v>-1.7892193869847535E-2</c:v>
                </c:pt>
                <c:pt idx="130">
                  <c:v>1.4605273272349955E-2</c:v>
                </c:pt>
                <c:pt idx="131">
                  <c:v>-1.878930221986528E-2</c:v>
                </c:pt>
                <c:pt idx="132">
                  <c:v>3.551849278048089E-3</c:v>
                </c:pt>
                <c:pt idx="133">
                  <c:v>1.0617834884973421E-2</c:v>
                </c:pt>
                <c:pt idx="134">
                  <c:v>1.2257327750285601E-2</c:v>
                </c:pt>
                <c:pt idx="135">
                  <c:v>6.242478941034778E-3</c:v>
                </c:pt>
                <c:pt idx="136">
                  <c:v>-1.8536512444876224E-2</c:v>
                </c:pt>
                <c:pt idx="137">
                  <c:v>8.9102124742973694E-3</c:v>
                </c:pt>
                <c:pt idx="138">
                  <c:v>-1.736111111111034E-3</c:v>
                </c:pt>
                <c:pt idx="139">
                  <c:v>-1.5047258979206118E-2</c:v>
                </c:pt>
                <c:pt idx="140">
                  <c:v>-3.0861354214647599E-2</c:v>
                </c:pt>
                <c:pt idx="141">
                  <c:v>7.4461343472751263E-3</c:v>
                </c:pt>
                <c:pt idx="142">
                  <c:v>-2.4060386853278833E-2</c:v>
                </c:pt>
                <c:pt idx="143">
                  <c:v>-2.6426039316790211E-2</c:v>
                </c:pt>
                <c:pt idx="144">
                  <c:v>2.7888116517709286E-2</c:v>
                </c:pt>
                <c:pt idx="145">
                  <c:v>-1.8517027614523767E-2</c:v>
                </c:pt>
                <c:pt idx="146">
                  <c:v>-6.2341071282092601E-3</c:v>
                </c:pt>
                <c:pt idx="147">
                  <c:v>1.5683037556747646E-3</c:v>
                </c:pt>
                <c:pt idx="148">
                  <c:v>1.4834349761001532E-3</c:v>
                </c:pt>
                <c:pt idx="149">
                  <c:v>-1.563528637261349E-2</c:v>
                </c:pt>
                <c:pt idx="150">
                  <c:v>-1.0784149807724512E-2</c:v>
                </c:pt>
                <c:pt idx="151">
                  <c:v>1.3098960534099528E-2</c:v>
                </c:pt>
                <c:pt idx="152">
                  <c:v>-4.004004004003919E-3</c:v>
                </c:pt>
                <c:pt idx="153">
                  <c:v>0</c:v>
                </c:pt>
                <c:pt idx="154">
                  <c:v>-3.3668341708542798E-2</c:v>
                </c:pt>
                <c:pt idx="155">
                  <c:v>-8.5803432137285043E-3</c:v>
                </c:pt>
                <c:pt idx="156">
                  <c:v>1.3899816417519044E-2</c:v>
                </c:pt>
                <c:pt idx="157">
                  <c:v>-1.1122607346094208E-2</c:v>
                </c:pt>
                <c:pt idx="158">
                  <c:v>-1.456099049611999E-2</c:v>
                </c:pt>
                <c:pt idx="159">
                  <c:v>6.2820739692090602E-3</c:v>
                </c:pt>
                <c:pt idx="160">
                  <c:v>9.8478853424777135E-3</c:v>
                </c:pt>
                <c:pt idx="161">
                  <c:v>5.659555942533789E-3</c:v>
                </c:pt>
                <c:pt idx="162">
                  <c:v>-8.5714285714285268E-3</c:v>
                </c:pt>
                <c:pt idx="163">
                  <c:v>1.2226006462317626E-2</c:v>
                </c:pt>
                <c:pt idx="164">
                  <c:v>2.6054697610214912E-2</c:v>
                </c:pt>
                <c:pt idx="165">
                  <c:v>1.8834608593290128E-2</c:v>
                </c:pt>
                <c:pt idx="166">
                  <c:v>-2.4263431542460988E-2</c:v>
                </c:pt>
                <c:pt idx="167">
                  <c:v>4.6519495897826273E-2</c:v>
                </c:pt>
                <c:pt idx="168">
                  <c:v>-2.0447749131172723E-2</c:v>
                </c:pt>
                <c:pt idx="169">
                  <c:v>-1.8894389438943945E-2</c:v>
                </c:pt>
                <c:pt idx="170">
                  <c:v>5.1299301993103985E-3</c:v>
                </c:pt>
                <c:pt idx="171">
                  <c:v>-1.0876840696117424E-3</c:v>
                </c:pt>
                <c:pt idx="172">
                  <c:v>6.1144149426250434E-3</c:v>
                </c:pt>
                <c:pt idx="173">
                  <c:v>2.1062271062271071E-2</c:v>
                </c:pt>
                <c:pt idx="174">
                  <c:v>1.508357113738275E-2</c:v>
                </c:pt>
                <c:pt idx="175">
                  <c:v>-1.3734939759036094E-2</c:v>
                </c:pt>
                <c:pt idx="176">
                  <c:v>1.5473572766511745E-3</c:v>
                </c:pt>
                <c:pt idx="177">
                  <c:v>1.634412099528371E-2</c:v>
                </c:pt>
                <c:pt idx="178">
                  <c:v>1.6961356908552723E-2</c:v>
                </c:pt>
                <c:pt idx="179">
                  <c:v>1.809456376366924E-2</c:v>
                </c:pt>
                <c:pt idx="180">
                  <c:v>1.3291090333049987E-2</c:v>
                </c:pt>
                <c:pt idx="181">
                  <c:v>1.1515290170060177E-2</c:v>
                </c:pt>
                <c:pt idx="182">
                  <c:v>-7.6899879372736872E-3</c:v>
                </c:pt>
                <c:pt idx="183">
                  <c:v>-2.0361647166084233E-2</c:v>
                </c:pt>
                <c:pt idx="184">
                  <c:v>7.0575461454940019E-3</c:v>
                </c:pt>
                <c:pt idx="185">
                  <c:v>-6.70003850596846E-3</c:v>
                </c:pt>
                <c:pt idx="186">
                  <c:v>1.9925569855791764E-2</c:v>
                </c:pt>
                <c:pt idx="187">
                  <c:v>-1.3302926643861648E-2</c:v>
                </c:pt>
                <c:pt idx="188">
                  <c:v>-5.6240369799693234E-3</c:v>
                </c:pt>
                <c:pt idx="189">
                  <c:v>-6.3531417060509274E-3</c:v>
                </c:pt>
                <c:pt idx="190">
                  <c:v>1.567251461988297E-2</c:v>
                </c:pt>
                <c:pt idx="191">
                  <c:v>1.220635651773379E-2</c:v>
                </c:pt>
                <c:pt idx="192">
                  <c:v>7.5843761850583481E-4</c:v>
                </c:pt>
                <c:pt idx="193">
                  <c:v>5.0018946570672606E-3</c:v>
                </c:pt>
                <c:pt idx="194">
                  <c:v>2.5789910263177642E-2</c:v>
                </c:pt>
                <c:pt idx="195">
                  <c:v>-2.7346908770124228E-2</c:v>
                </c:pt>
                <c:pt idx="196">
                  <c:v>1.2168392411760149E-2</c:v>
                </c:pt>
                <c:pt idx="197">
                  <c:v>1.7398446833930801E-2</c:v>
                </c:pt>
                <c:pt idx="198">
                  <c:v>1.9522935779816487E-2</c:v>
                </c:pt>
                <c:pt idx="199">
                  <c:v>1.3030019437045586E-2</c:v>
                </c:pt>
                <c:pt idx="200">
                  <c:v>-1.1796475270039771E-2</c:v>
                </c:pt>
                <c:pt idx="201">
                  <c:v>-8.0540773766719729E-3</c:v>
                </c:pt>
                <c:pt idx="202">
                  <c:v>1.0801797883137662E-2</c:v>
                </c:pt>
                <c:pt idx="203">
                  <c:v>-8.8933515025461461E-3</c:v>
                </c:pt>
                <c:pt idx="204">
                  <c:v>-2.6774730443592486E-3</c:v>
                </c:pt>
                <c:pt idx="205">
                  <c:v>-2.3363807865331584E-2</c:v>
                </c:pt>
                <c:pt idx="206">
                  <c:v>-1.8350668647845462E-2</c:v>
                </c:pt>
                <c:pt idx="207">
                  <c:v>5.8275940361765706E-3</c:v>
                </c:pt>
                <c:pt idx="208">
                  <c:v>-6.2452972159519372E-3</c:v>
                </c:pt>
                <c:pt idx="209">
                  <c:v>-1.1584765654577127E-2</c:v>
                </c:pt>
                <c:pt idx="210">
                  <c:v>-2.5279607783053786E-3</c:v>
                </c:pt>
                <c:pt idx="211">
                  <c:v>5.0687351201904353E-3</c:v>
                </c:pt>
                <c:pt idx="212">
                  <c:v>-3.667761901123391E-3</c:v>
                </c:pt>
                <c:pt idx="213">
                  <c:v>3.067719917171606E-3</c:v>
                </c:pt>
                <c:pt idx="214">
                  <c:v>1.8350026760456388E-3</c:v>
                </c:pt>
                <c:pt idx="215">
                  <c:v>-3.5869648172174224E-3</c:v>
                </c:pt>
                <c:pt idx="216">
                  <c:v>2.2977941176471458E-4</c:v>
                </c:pt>
                <c:pt idx="217">
                  <c:v>-1.355387089363665E-2</c:v>
                </c:pt>
                <c:pt idx="218">
                  <c:v>-7.5298866635615507E-3</c:v>
                </c:pt>
                <c:pt idx="219">
                  <c:v>-2.8549080954243189E-2</c:v>
                </c:pt>
                <c:pt idx="220">
                  <c:v>-1.7954911433172335E-2</c:v>
                </c:pt>
                <c:pt idx="221">
                  <c:v>-1.8283184389604034E-2</c:v>
                </c:pt>
                <c:pt idx="222">
                  <c:v>-5.9295139468848656E-3</c:v>
                </c:pt>
                <c:pt idx="223">
                  <c:v>1.8230698143325227E-2</c:v>
                </c:pt>
                <c:pt idx="224">
                  <c:v>2.4752475247525691E-4</c:v>
                </c:pt>
                <c:pt idx="225">
                  <c:v>2.8045863235171922E-3</c:v>
                </c:pt>
                <c:pt idx="226">
                  <c:v>-1.4477255901949419E-2</c:v>
                </c:pt>
                <c:pt idx="227">
                  <c:v>4.924463734245918E-3</c:v>
                </c:pt>
                <c:pt idx="228">
                  <c:v>2.7076411960132815E-2</c:v>
                </c:pt>
                <c:pt idx="229">
                  <c:v>-9.7040271712752987E-4</c:v>
                </c:pt>
                <c:pt idx="230">
                  <c:v>-1.2546543629593745E-2</c:v>
                </c:pt>
                <c:pt idx="231">
                  <c:v>-1.803426510369693E-2</c:v>
                </c:pt>
                <c:pt idx="232">
                  <c:v>4.5913682277318405E-3</c:v>
                </c:pt>
                <c:pt idx="233">
                  <c:v>-1.4459032740568464E-2</c:v>
                </c:pt>
                <c:pt idx="234">
                  <c:v>1.1635750421585243E-2</c:v>
                </c:pt>
                <c:pt idx="235">
                  <c:v>-1.5502583763960655E-2</c:v>
                </c:pt>
                <c:pt idx="236">
                  <c:v>-2.5736539112766729E-2</c:v>
                </c:pt>
                <c:pt idx="237">
                  <c:v>7.9944386513729725E-3</c:v>
                </c:pt>
                <c:pt idx="238">
                  <c:v>-1.9999999999999941E-2</c:v>
                </c:pt>
                <c:pt idx="239">
                  <c:v>9.9401829697395791E-3</c:v>
                </c:pt>
                <c:pt idx="240">
                  <c:v>1.6723281944081542E-2</c:v>
                </c:pt>
                <c:pt idx="241">
                  <c:v>-8.9094491561724169E-3</c:v>
                </c:pt>
                <c:pt idx="242">
                  <c:v>3.6303915636615239E-3</c:v>
                </c:pt>
                <c:pt idx="243">
                  <c:v>2.239255878046675E-2</c:v>
                </c:pt>
                <c:pt idx="244">
                  <c:v>-6.9918288265520875E-3</c:v>
                </c:pt>
                <c:pt idx="245">
                  <c:v>2.5619273837801243E-2</c:v>
                </c:pt>
                <c:pt idx="246">
                  <c:v>-4.7973531844500619E-3</c:v>
                </c:pt>
                <c:pt idx="247">
                  <c:v>-1.4378324468085022E-2</c:v>
                </c:pt>
                <c:pt idx="248">
                  <c:v>1.9394552660425817E-3</c:v>
                </c:pt>
                <c:pt idx="249">
                  <c:v>3.9555630365259477E-3</c:v>
                </c:pt>
                <c:pt idx="250">
                  <c:v>1.8274792522424282E-2</c:v>
                </c:pt>
                <c:pt idx="251">
                  <c:v>1.4324524573968839E-2</c:v>
                </c:pt>
                <c:pt idx="252">
                  <c:v>6.2494927359793059E-3</c:v>
                </c:pt>
                <c:pt idx="253">
                  <c:v>1.0727536699467641E-2</c:v>
                </c:pt>
                <c:pt idx="254">
                  <c:v>3.2718857234059259E-3</c:v>
                </c:pt>
                <c:pt idx="255">
                  <c:v>1.280623608017817E-2</c:v>
                </c:pt>
                <c:pt idx="256">
                  <c:v>-7.7750726458807422E-3</c:v>
                </c:pt>
                <c:pt idx="257">
                  <c:v>-1.6621814152287546E-2</c:v>
                </c:pt>
                <c:pt idx="258">
                  <c:v>3.7025112685126205E-3</c:v>
                </c:pt>
                <c:pt idx="259">
                  <c:v>4.2742582197273442E-2</c:v>
                </c:pt>
                <c:pt idx="260">
                  <c:v>1.3150811351226701E-2</c:v>
                </c:pt>
                <c:pt idx="261">
                  <c:v>-1.0626992561105249E-2</c:v>
                </c:pt>
                <c:pt idx="262">
                  <c:v>2.232622372257171E-2</c:v>
                </c:pt>
                <c:pt idx="263">
                  <c:v>-2.8968105065666144E-2</c:v>
                </c:pt>
                <c:pt idx="264">
                  <c:v>-3.5551433650203228E-3</c:v>
                </c:pt>
                <c:pt idx="265">
                  <c:v>6.6702862018148236E-3</c:v>
                </c:pt>
                <c:pt idx="266">
                  <c:v>-1.024732259804287E-2</c:v>
                </c:pt>
                <c:pt idx="267">
                  <c:v>-8.9522030203954984E-3</c:v>
                </c:pt>
                <c:pt idx="268">
                  <c:v>-2.2779043280182721E-3</c:v>
                </c:pt>
                <c:pt idx="269">
                  <c:v>-8.1876869784285322E-3</c:v>
                </c:pt>
                <c:pt idx="270">
                  <c:v>-1.1906651849499921E-2</c:v>
                </c:pt>
                <c:pt idx="271">
                  <c:v>-1.6709511568123378E-2</c:v>
                </c:pt>
                <c:pt idx="272">
                  <c:v>-2.4183006535947776E-2</c:v>
                </c:pt>
                <c:pt idx="273">
                  <c:v>-1.4819156061620865E-2</c:v>
                </c:pt>
                <c:pt idx="274">
                  <c:v>-1.1897679952409328E-3</c:v>
                </c:pt>
                <c:pt idx="275">
                  <c:v>1.6251169914064466E-2</c:v>
                </c:pt>
                <c:pt idx="276">
                  <c:v>-1.0046885465505717E-2</c:v>
                </c:pt>
                <c:pt idx="277">
                  <c:v>-1.8690798376183981E-2</c:v>
                </c:pt>
                <c:pt idx="278">
                  <c:v>2.5683013013875756E-2</c:v>
                </c:pt>
                <c:pt idx="279">
                  <c:v>-1.756154944962611E-2</c:v>
                </c:pt>
                <c:pt idx="280">
                  <c:v>1.8816284639069352E-3</c:v>
                </c:pt>
                <c:pt idx="281">
                  <c:v>-1.434181321495652E-2</c:v>
                </c:pt>
                <c:pt idx="282">
                  <c:v>-1.0999480339511486E-2</c:v>
                </c:pt>
                <c:pt idx="283">
                  <c:v>6.4804273579123313E-3</c:v>
                </c:pt>
                <c:pt idx="284">
                  <c:v>7.6568345949708117E-3</c:v>
                </c:pt>
                <c:pt idx="285">
                  <c:v>2.0464554010879928E-2</c:v>
                </c:pt>
                <c:pt idx="286">
                  <c:v>1.0915552546962193E-2</c:v>
                </c:pt>
                <c:pt idx="287">
                  <c:v>2.8459027370888374E-3</c:v>
                </c:pt>
                <c:pt idx="288">
                  <c:v>1.0182789416576236E-2</c:v>
                </c:pt>
                <c:pt idx="289">
                  <c:v>-1.5781211269933045E-2</c:v>
                </c:pt>
                <c:pt idx="290">
                  <c:v>1.9476158495634596E-2</c:v>
                </c:pt>
                <c:pt idx="291">
                  <c:v>8.7285902503293992E-3</c:v>
                </c:pt>
                <c:pt idx="292">
                  <c:v>8.1632653061224497E-3</c:v>
                </c:pt>
                <c:pt idx="293">
                  <c:v>9.7975708502023792E-3</c:v>
                </c:pt>
                <c:pt idx="294">
                  <c:v>-2.2933205035682781E-2</c:v>
                </c:pt>
                <c:pt idx="295">
                  <c:v>-1.7398440705785723E-2</c:v>
                </c:pt>
                <c:pt idx="296">
                  <c:v>2.4221164286310202E-3</c:v>
                </c:pt>
                <c:pt idx="297">
                  <c:v>2.6662222962840145E-3</c:v>
                </c:pt>
                <c:pt idx="298">
                  <c:v>9.4731593817517085E-3</c:v>
                </c:pt>
                <c:pt idx="299">
                  <c:v>2.057951926243003E-3</c:v>
                </c:pt>
                <c:pt idx="300">
                  <c:v>-2.464470549576909E-3</c:v>
                </c:pt>
                <c:pt idx="301">
                  <c:v>2.0176233220785544E-2</c:v>
                </c:pt>
                <c:pt idx="302">
                  <c:v>5.8927994833710366E-3</c:v>
                </c:pt>
                <c:pt idx="303">
                  <c:v>1.2198057940775187E-2</c:v>
                </c:pt>
                <c:pt idx="304">
                  <c:v>1.9186553555855197E-2</c:v>
                </c:pt>
                <c:pt idx="305">
                  <c:v>2.0303383897316101E-2</c:v>
                </c:pt>
                <c:pt idx="306">
                  <c:v>5.4132357426045132E-3</c:v>
                </c:pt>
                <c:pt idx="307">
                  <c:v>1.1829832410707532E-2</c:v>
                </c:pt>
                <c:pt idx="308">
                  <c:v>4.5716855279920943E-3</c:v>
                </c:pt>
                <c:pt idx="309">
                  <c:v>1.7308266189197417E-2</c:v>
                </c:pt>
                <c:pt idx="310">
                  <c:v>3.6300968025813937E-2</c:v>
                </c:pt>
                <c:pt idx="311">
                  <c:v>-1.6063972825702429E-2</c:v>
                </c:pt>
                <c:pt idx="312">
                  <c:v>-1.1435558112773327E-2</c:v>
                </c:pt>
                <c:pt idx="313">
                  <c:v>2.5318297562750225E-2</c:v>
                </c:pt>
                <c:pt idx="314">
                  <c:v>3.3349890016320075E-3</c:v>
                </c:pt>
                <c:pt idx="315">
                  <c:v>-6.3649222065064051E-3</c:v>
                </c:pt>
                <c:pt idx="316">
                  <c:v>-1.0533807829181422E-2</c:v>
                </c:pt>
                <c:pt idx="317">
                  <c:v>1.5177672277370055E-2</c:v>
                </c:pt>
                <c:pt idx="318">
                  <c:v>9.2113654077801421E-3</c:v>
                </c:pt>
                <c:pt idx="319">
                  <c:v>3.2015727023801177E-2</c:v>
                </c:pt>
                <c:pt idx="320">
                  <c:v>-1.0885094224096644E-3</c:v>
                </c:pt>
                <c:pt idx="321">
                  <c:v>1.4642784172171743E-2</c:v>
                </c:pt>
                <c:pt idx="322">
                  <c:v>2.6446502886293449E-2</c:v>
                </c:pt>
                <c:pt idx="323">
                  <c:v>-2.2233847763536343E-2</c:v>
                </c:pt>
                <c:pt idx="324">
                  <c:v>-1.6185125735687637E-2</c:v>
                </c:pt>
                <c:pt idx="325">
                  <c:v>4.6906866077498144E-3</c:v>
                </c:pt>
                <c:pt idx="326">
                  <c:v>-8.5932742404762289E-3</c:v>
                </c:pt>
                <c:pt idx="327">
                  <c:v>-6.2790062790063876E-3</c:v>
                </c:pt>
                <c:pt idx="328">
                  <c:v>-1.0027472527472582E-2</c:v>
                </c:pt>
                <c:pt idx="329">
                  <c:v>-1.8731788538919234E-3</c:v>
                </c:pt>
                <c:pt idx="330">
                  <c:v>-1.3901438798915687E-2</c:v>
                </c:pt>
                <c:pt idx="331">
                  <c:v>-1.9736378374568347E-2</c:v>
                </c:pt>
                <c:pt idx="332">
                  <c:v>6.4715610843460543E-3</c:v>
                </c:pt>
                <c:pt idx="333">
                  <c:v>2.3576480674431127E-3</c:v>
                </c:pt>
                <c:pt idx="334">
                  <c:v>1.5823235923022087E-2</c:v>
                </c:pt>
                <c:pt idx="335">
                  <c:v>8.6303676676956903E-3</c:v>
                </c:pt>
                <c:pt idx="336">
                  <c:v>7.0260869565216761E-3</c:v>
                </c:pt>
                <c:pt idx="337">
                  <c:v>1.2296214423874007E-2</c:v>
                </c:pt>
                <c:pt idx="338">
                  <c:v>-1.4057595195850979E-2</c:v>
                </c:pt>
                <c:pt idx="339">
                  <c:v>-7.4058693244739293E-3</c:v>
                </c:pt>
                <c:pt idx="340">
                  <c:v>4.741649815215165E-3</c:v>
                </c:pt>
                <c:pt idx="341">
                  <c:v>1.5060031924491551E-2</c:v>
                </c:pt>
                <c:pt idx="342">
                  <c:v>1.0597565978394717E-2</c:v>
                </c:pt>
                <c:pt idx="343">
                  <c:v>-2.9091401123063853E-3</c:v>
                </c:pt>
                <c:pt idx="344">
                  <c:v>-2.5783688424480624E-3</c:v>
                </c:pt>
                <c:pt idx="345">
                  <c:v>4.3537414965985465E-3</c:v>
                </c:pt>
                <c:pt idx="346">
                  <c:v>-1.7813600650230261E-2</c:v>
                </c:pt>
                <c:pt idx="347">
                  <c:v>1.3723191504034268E-2</c:v>
                </c:pt>
                <c:pt idx="348">
                  <c:v>1.2585034013605403E-2</c:v>
                </c:pt>
                <c:pt idx="349">
                  <c:v>1.5048706751763582E-2</c:v>
                </c:pt>
                <c:pt idx="350">
                  <c:v>1.6016943543583212E-2</c:v>
                </c:pt>
                <c:pt idx="351">
                  <c:v>1.6155299329034058E-2</c:v>
                </c:pt>
                <c:pt idx="352">
                  <c:v>-2.9296749791653448E-2</c:v>
                </c:pt>
                <c:pt idx="353">
                  <c:v>3.9624884427421929E-3</c:v>
                </c:pt>
                <c:pt idx="354">
                  <c:v>-2.2168135771609029E-2</c:v>
                </c:pt>
                <c:pt idx="355">
                  <c:v>-1.4598049108644573E-2</c:v>
                </c:pt>
                <c:pt idx="356">
                  <c:v>-1.7067176406335338E-3</c:v>
                </c:pt>
                <c:pt idx="357">
                  <c:v>1.9079532243725779E-2</c:v>
                </c:pt>
                <c:pt idx="358">
                  <c:v>5.5697221849415118E-3</c:v>
                </c:pt>
                <c:pt idx="359">
                  <c:v>4.0707374040708285E-3</c:v>
                </c:pt>
                <c:pt idx="360">
                  <c:v>2.851256147813367E-2</c:v>
                </c:pt>
                <c:pt idx="361">
                  <c:v>4.2003231017770969E-3</c:v>
                </c:pt>
                <c:pt idx="362">
                  <c:v>-1.4543114543114667E-2</c:v>
                </c:pt>
                <c:pt idx="363">
                  <c:v>-2.1614209220321107E-2</c:v>
                </c:pt>
                <c:pt idx="364">
                  <c:v>-1.3348461589801774E-2</c:v>
                </c:pt>
                <c:pt idx="365">
                  <c:v>2.1646485828315846E-3</c:v>
                </c:pt>
                <c:pt idx="366">
                  <c:v>-2.3827202159973006E-2</c:v>
                </c:pt>
                <c:pt idx="367">
                  <c:v>7.2604065827685171E-3</c:v>
                </c:pt>
                <c:pt idx="368">
                  <c:v>5.2859202306584077E-3</c:v>
                </c:pt>
                <c:pt idx="369">
                  <c:v>-1.0925976509150467E-2</c:v>
                </c:pt>
                <c:pt idx="370">
                  <c:v>2.0022093344379457E-3</c:v>
                </c:pt>
                <c:pt idx="371">
                  <c:v>8.5440639426721497E-3</c:v>
                </c:pt>
                <c:pt idx="372">
                  <c:v>-9.5648015303682835E-3</c:v>
                </c:pt>
                <c:pt idx="373">
                  <c:v>1.193350348347927E-2</c:v>
                </c:pt>
                <c:pt idx="374">
                  <c:v>-1.0906612133605961E-2</c:v>
                </c:pt>
                <c:pt idx="375">
                  <c:v>9.6485182632667522E-3</c:v>
                </c:pt>
                <c:pt idx="376">
                  <c:v>2.3412969283276498E-2</c:v>
                </c:pt>
                <c:pt idx="377">
                  <c:v>5.469218968852085E-3</c:v>
                </c:pt>
                <c:pt idx="378">
                  <c:v>-1.9701492537313424E-2</c:v>
                </c:pt>
                <c:pt idx="379">
                  <c:v>1.8270401948843567E-3</c:v>
                </c:pt>
                <c:pt idx="380">
                  <c:v>1.6210739614993628E-3</c:v>
                </c:pt>
                <c:pt idx="381">
                  <c:v>-1.3149908962168647E-2</c:v>
                </c:pt>
                <c:pt idx="382">
                  <c:v>-1.9406860735274041E-2</c:v>
                </c:pt>
                <c:pt idx="383">
                  <c:v>-5.6445993031359045E-3</c:v>
                </c:pt>
                <c:pt idx="384">
                  <c:v>1.4086481182984029E-2</c:v>
                </c:pt>
                <c:pt idx="385">
                  <c:v>1.3268832066344272E-2</c:v>
                </c:pt>
                <c:pt idx="386">
                  <c:v>1.9301595962351547E-2</c:v>
                </c:pt>
                <c:pt idx="387">
                  <c:v>-3.345600535294945E-4</c:v>
                </c:pt>
                <c:pt idx="388">
                  <c:v>3.1392235609103064E-2</c:v>
                </c:pt>
                <c:pt idx="389">
                  <c:v>-1.297942760724252E-2</c:v>
                </c:pt>
                <c:pt idx="390">
                  <c:v>7.3640607535012462E-3</c:v>
                </c:pt>
                <c:pt idx="391">
                  <c:v>-3.3940343319627322E-3</c:v>
                </c:pt>
                <c:pt idx="392">
                  <c:v>2.3839151221429135E-2</c:v>
                </c:pt>
                <c:pt idx="393">
                  <c:v>9.5950873152931139E-4</c:v>
                </c:pt>
                <c:pt idx="394">
                  <c:v>-1.5912576687116441E-2</c:v>
                </c:pt>
                <c:pt idx="395">
                  <c:v>4.2210533151501861E-3</c:v>
                </c:pt>
                <c:pt idx="396">
                  <c:v>-1.7265907915157707E-2</c:v>
                </c:pt>
                <c:pt idx="397">
                  <c:v>-1.3357899585444503E-2</c:v>
                </c:pt>
                <c:pt idx="398">
                  <c:v>1.5006002400960384E-2</c:v>
                </c:pt>
                <c:pt idx="399">
                  <c:v>6.5707339509763483E-5</c:v>
                </c:pt>
                <c:pt idx="400">
                  <c:v>1.3863337713534913E-2</c:v>
                </c:pt>
                <c:pt idx="401">
                  <c:v>-1.3349750502235774E-2</c:v>
                </c:pt>
                <c:pt idx="402">
                  <c:v>2.0821018062397289E-2</c:v>
                </c:pt>
                <c:pt idx="403">
                  <c:v>-2.3806459915067311E-3</c:v>
                </c:pt>
                <c:pt idx="404">
                  <c:v>-3.0377297645920721E-2</c:v>
                </c:pt>
                <c:pt idx="405">
                  <c:v>-1.3702274843687657E-2</c:v>
                </c:pt>
                <c:pt idx="406">
                  <c:v>-2.164823307256547E-2</c:v>
                </c:pt>
                <c:pt idx="407">
                  <c:v>-2.2678706831184892E-2</c:v>
                </c:pt>
                <c:pt idx="408">
                  <c:v>8.4638171815487988E-3</c:v>
                </c:pt>
                <c:pt idx="409">
                  <c:v>6.1547069520214289E-3</c:v>
                </c:pt>
                <c:pt idx="410">
                  <c:v>9.7316835812593996E-3</c:v>
                </c:pt>
                <c:pt idx="411">
                  <c:v>-1.1221258433154314E-2</c:v>
                </c:pt>
                <c:pt idx="412">
                  <c:v>8.7725405555941719E-3</c:v>
                </c:pt>
                <c:pt idx="413">
                  <c:v>-2.2775898957829964E-2</c:v>
                </c:pt>
                <c:pt idx="414">
                  <c:v>-7.2038985804082929E-3</c:v>
                </c:pt>
                <c:pt idx="415">
                  <c:v>-2.0630290958240879E-3</c:v>
                </c:pt>
                <c:pt idx="416">
                  <c:v>-8.6256059309952095E-3</c:v>
                </c:pt>
                <c:pt idx="417">
                  <c:v>2.0133745595743236E-3</c:v>
                </c:pt>
                <c:pt idx="418">
                  <c:v>0</c:v>
                </c:pt>
                <c:pt idx="419">
                  <c:v>7.8220308575529494E-3</c:v>
                </c:pt>
                <c:pt idx="420">
                  <c:v>5.1979493021930348E-3</c:v>
                </c:pt>
                <c:pt idx="421">
                  <c:v>1.5442374442161982E-2</c:v>
                </c:pt>
                <c:pt idx="422">
                  <c:v>-7.1852110219741971E-3</c:v>
                </c:pt>
                <c:pt idx="423">
                  <c:v>1.0680157391793215E-2</c:v>
                </c:pt>
                <c:pt idx="424">
                  <c:v>4.7969966629588271E-3</c:v>
                </c:pt>
                <c:pt idx="425">
                  <c:v>4.2205770428283759E-3</c:v>
                </c:pt>
                <c:pt idx="426">
                  <c:v>2.4803637866888085E-3</c:v>
                </c:pt>
                <c:pt idx="427">
                  <c:v>-3.3539518900343609E-2</c:v>
                </c:pt>
                <c:pt idx="428">
                  <c:v>3.0578865026311925E-2</c:v>
                </c:pt>
                <c:pt idx="429">
                  <c:v>-1.4007728401876907E-2</c:v>
                </c:pt>
                <c:pt idx="430">
                  <c:v>-1.2177199244173705E-2</c:v>
                </c:pt>
                <c:pt idx="431">
                  <c:v>-4.6758767268862671E-3</c:v>
                </c:pt>
                <c:pt idx="432">
                  <c:v>-2.0214961918997815E-2</c:v>
                </c:pt>
                <c:pt idx="433">
                  <c:v>2.7896839811115171E-2</c:v>
                </c:pt>
                <c:pt idx="434">
                  <c:v>-9.3999575941763544E-3</c:v>
                </c:pt>
                <c:pt idx="435">
                  <c:v>-1.0345319634703115E-2</c:v>
                </c:pt>
                <c:pt idx="436">
                  <c:v>-1.2688342585249941E-2</c:v>
                </c:pt>
                <c:pt idx="437">
                  <c:v>7.3019350127783867E-3</c:v>
                </c:pt>
                <c:pt idx="438">
                  <c:v>2.2399420079739062E-2</c:v>
                </c:pt>
                <c:pt idx="439">
                  <c:v>4.6795235394214169E-3</c:v>
                </c:pt>
                <c:pt idx="440">
                  <c:v>-1.1785462244177753E-2</c:v>
                </c:pt>
                <c:pt idx="441">
                  <c:v>2.1209740769835027E-2</c:v>
                </c:pt>
                <c:pt idx="442">
                  <c:v>4.8251748251748093E-3</c:v>
                </c:pt>
                <c:pt idx="443">
                  <c:v>-1.0926299672906906E-2</c:v>
                </c:pt>
                <c:pt idx="444">
                  <c:v>-7.739938080496316E-4</c:v>
                </c:pt>
                <c:pt idx="445">
                  <c:v>2.4646151679460796E-3</c:v>
                </c:pt>
                <c:pt idx="446">
                  <c:v>4.1444225906151653E-3</c:v>
                </c:pt>
                <c:pt idx="447">
                  <c:v>4.1972717733474834E-4</c:v>
                </c:pt>
                <c:pt idx="448">
                  <c:v>7.6917698063082057E-4</c:v>
                </c:pt>
                <c:pt idx="449">
                  <c:v>2.9765231973169305E-2</c:v>
                </c:pt>
                <c:pt idx="450">
                  <c:v>4.4985751119554863E-2</c:v>
                </c:pt>
                <c:pt idx="451">
                  <c:v>3.1166807350173249E-3</c:v>
                </c:pt>
                <c:pt idx="452">
                  <c:v>-1.4046216583597747E-2</c:v>
                </c:pt>
                <c:pt idx="453">
                  <c:v>-1.615021008403348E-2</c:v>
                </c:pt>
                <c:pt idx="454">
                  <c:v>1.3212331509408712E-2</c:v>
                </c:pt>
                <c:pt idx="455">
                  <c:v>-2.515806111696518E-2</c:v>
                </c:pt>
                <c:pt idx="456">
                  <c:v>-2.499662207809786E-3</c:v>
                </c:pt>
                <c:pt idx="457">
                  <c:v>6.6373179817134425E-3</c:v>
                </c:pt>
                <c:pt idx="458">
                  <c:v>3.2294960640517944E-3</c:v>
                </c:pt>
                <c:pt idx="459">
                  <c:v>-5.9687479042318733E-3</c:v>
                </c:pt>
                <c:pt idx="460">
                  <c:v>2.9348266090945853E-2</c:v>
                </c:pt>
                <c:pt idx="461">
                  <c:v>1.2977649603460826E-2</c:v>
                </c:pt>
                <c:pt idx="462">
                  <c:v>-7.0527337431252239E-3</c:v>
                </c:pt>
                <c:pt idx="463">
                  <c:v>1.2706894304704733E-2</c:v>
                </c:pt>
                <c:pt idx="464">
                  <c:v>-2.4451451000578822E-3</c:v>
                </c:pt>
                <c:pt idx="465">
                  <c:v>-7.7404373347093377E-3</c:v>
                </c:pt>
                <c:pt idx="466">
                  <c:v>-6.0456347916531677E-3</c:v>
                </c:pt>
                <c:pt idx="467">
                  <c:v>1.9032047089601024E-2</c:v>
                </c:pt>
                <c:pt idx="468">
                  <c:v>-8.4076760156601132E-3</c:v>
                </c:pt>
                <c:pt idx="469">
                  <c:v>-7.119741100324508E-4</c:v>
                </c:pt>
                <c:pt idx="470">
                  <c:v>1.6451842735928628E-2</c:v>
                </c:pt>
                <c:pt idx="471">
                  <c:v>5.1615369910151167E-3</c:v>
                </c:pt>
                <c:pt idx="472">
                  <c:v>4.1841004184100198E-3</c:v>
                </c:pt>
                <c:pt idx="473">
                  <c:v>-1.0037878787878809E-2</c:v>
                </c:pt>
                <c:pt idx="474">
                  <c:v>3.7051208468847664E-2</c:v>
                </c:pt>
                <c:pt idx="475">
                  <c:v>1.3282499077604209E-2</c:v>
                </c:pt>
                <c:pt idx="476">
                  <c:v>-3.6897681757494916E-2</c:v>
                </c:pt>
                <c:pt idx="477">
                  <c:v>2.0919974795211228E-2</c:v>
                </c:pt>
                <c:pt idx="478">
                  <c:v>-1.9812368843352721E-2</c:v>
                </c:pt>
                <c:pt idx="479">
                  <c:v>-2.1220326175933533E-2</c:v>
                </c:pt>
                <c:pt idx="480">
                  <c:v>-1.0615028306742188E-2</c:v>
                </c:pt>
                <c:pt idx="481">
                  <c:v>2.0222381169126821E-2</c:v>
                </c:pt>
                <c:pt idx="482">
                  <c:v>-3.8878266411728085E-3</c:v>
                </c:pt>
                <c:pt idx="483">
                  <c:v>3.711049971207451E-3</c:v>
                </c:pt>
                <c:pt idx="484">
                  <c:v>-2.5881302989736739E-2</c:v>
                </c:pt>
                <c:pt idx="485">
                  <c:v>1.7276356259407016E-2</c:v>
                </c:pt>
                <c:pt idx="486">
                  <c:v>-3.7954326149885818E-3</c:v>
                </c:pt>
                <c:pt idx="487">
                  <c:v>-1.9888931938525197E-2</c:v>
                </c:pt>
                <c:pt idx="488">
                  <c:v>5.5343259981552474E-3</c:v>
                </c:pt>
                <c:pt idx="489">
                  <c:v>8.0592320796749432E-3</c:v>
                </c:pt>
                <c:pt idx="490">
                  <c:v>1.7549561260969142E-3</c:v>
                </c:pt>
                <c:pt idx="491">
                  <c:v>2.0763041785621519E-2</c:v>
                </c:pt>
                <c:pt idx="492">
                  <c:v>9.5982710399187612E-3</c:v>
                </c:pt>
                <c:pt idx="493">
                  <c:v>2.4050872001511004E-2</c:v>
                </c:pt>
                <c:pt idx="494">
                  <c:v>-4.9185367353220104E-4</c:v>
                </c:pt>
                <c:pt idx="495">
                  <c:v>2.0914067786184623E-3</c:v>
                </c:pt>
                <c:pt idx="496">
                  <c:v>1.4056841200662895E-2</c:v>
                </c:pt>
                <c:pt idx="497">
                  <c:v>1.8644067796610247E-2</c:v>
                </c:pt>
                <c:pt idx="498">
                  <c:v>-4.8728309959590755E-3</c:v>
                </c:pt>
                <c:pt idx="499">
                  <c:v>3.0096739519885295E-2</c:v>
                </c:pt>
                <c:pt idx="500">
                  <c:v>2.2028985507246113E-3</c:v>
                </c:pt>
                <c:pt idx="501">
                  <c:v>4.6274872744107187E-4</c:v>
                </c:pt>
                <c:pt idx="502">
                  <c:v>7.4005550416281285E-3</c:v>
                </c:pt>
                <c:pt idx="503">
                  <c:v>-1.3085399449035818E-2</c:v>
                </c:pt>
                <c:pt idx="504">
                  <c:v>-2.5529192835543234E-2</c:v>
                </c:pt>
                <c:pt idx="505">
                  <c:v>3.2762427642179445E-2</c:v>
                </c:pt>
                <c:pt idx="506">
                  <c:v>1.7161678030740778E-2</c:v>
                </c:pt>
                <c:pt idx="507">
                  <c:v>-1.4145316139294491E-2</c:v>
                </c:pt>
                <c:pt idx="508">
                  <c:v>2.5354385156159832E-3</c:v>
                </c:pt>
                <c:pt idx="509">
                  <c:v>1.023106104149903E-2</c:v>
                </c:pt>
                <c:pt idx="510">
                  <c:v>-7.2826581702321418E-3</c:v>
                </c:pt>
                <c:pt idx="511">
                  <c:v>2.2925263640531868E-2</c:v>
                </c:pt>
                <c:pt idx="512">
                  <c:v>-7.339757956073523E-3</c:v>
                </c:pt>
                <c:pt idx="513">
                  <c:v>1.5973358920810591E-2</c:v>
                </c:pt>
                <c:pt idx="514">
                  <c:v>-9.5000000000000449E-3</c:v>
                </c:pt>
                <c:pt idx="515">
                  <c:v>8.3571709013405635E-3</c:v>
                </c:pt>
                <c:pt idx="516">
                  <c:v>2.4808098787406873E-2</c:v>
                </c:pt>
                <c:pt idx="517">
                  <c:v>7.8701693443334157E-3</c:v>
                </c:pt>
                <c:pt idx="518">
                  <c:v>-7.2701814852711207E-3</c:v>
                </c:pt>
                <c:pt idx="519">
                  <c:v>3.9058261907345061E-3</c:v>
                </c:pt>
                <c:pt idx="520">
                  <c:v>1.1779963255160526E-2</c:v>
                </c:pt>
                <c:pt idx="521">
                  <c:v>-6.3554795983764029E-3</c:v>
                </c:pt>
                <c:pt idx="522">
                  <c:v>-5.8048911582908487E-3</c:v>
                </c:pt>
                <c:pt idx="523">
                  <c:v>2.8166729739957874E-2</c:v>
                </c:pt>
                <c:pt idx="524">
                  <c:v>2.2399831738353089E-2</c:v>
                </c:pt>
                <c:pt idx="525">
                  <c:v>-1.0080230405266448E-2</c:v>
                </c:pt>
                <c:pt idx="526">
                  <c:v>-2.0365752285951725E-2</c:v>
                </c:pt>
                <c:pt idx="527">
                  <c:v>-1.9781501909206564E-2</c:v>
                </c:pt>
                <c:pt idx="528">
                  <c:v>-1.7204999188443471E-2</c:v>
                </c:pt>
                <c:pt idx="529">
                  <c:v>-4.0737682356179966E-3</c:v>
                </c:pt>
                <c:pt idx="530">
                  <c:v>-7.7386545796244736E-4</c:v>
                </c:pt>
                <c:pt idx="531">
                  <c:v>-2.1408419538640287E-2</c:v>
                </c:pt>
                <c:pt idx="532">
                  <c:v>2.8264556246466932E-3</c:v>
                </c:pt>
                <c:pt idx="533">
                  <c:v>-4.5321307779030394E-2</c:v>
                </c:pt>
                <c:pt idx="534">
                  <c:v>2.5980160604629054E-3</c:v>
                </c:pt>
                <c:pt idx="535">
                  <c:v>2.5736160188456866E-2</c:v>
                </c:pt>
                <c:pt idx="536">
                  <c:v>-1.8717345122581334E-2</c:v>
                </c:pt>
                <c:pt idx="537">
                  <c:v>-4.4994441518928077E-2</c:v>
                </c:pt>
                <c:pt idx="538">
                  <c:v>3.0633500796471021E-3</c:v>
                </c:pt>
                <c:pt idx="539">
                  <c:v>1.1421939897385809E-2</c:v>
                </c:pt>
                <c:pt idx="540">
                  <c:v>-6.039012017633915E-3</c:v>
                </c:pt>
                <c:pt idx="541">
                  <c:v>4.0099641533507292E-3</c:v>
                </c:pt>
                <c:pt idx="542">
                  <c:v>2.0695915279878897E-2</c:v>
                </c:pt>
                <c:pt idx="543">
                  <c:v>2.7035038833224657E-2</c:v>
                </c:pt>
                <c:pt idx="544">
                  <c:v>9.8135426889107962E-3</c:v>
                </c:pt>
                <c:pt idx="545">
                  <c:v>-1.909335162636485E-2</c:v>
                </c:pt>
                <c:pt idx="546">
                  <c:v>3.0887580861355623E-3</c:v>
                </c:pt>
                <c:pt idx="547">
                  <c:v>-1.5396235184754855E-2</c:v>
                </c:pt>
                <c:pt idx="548">
                  <c:v>1.7702248185520232E-4</c:v>
                </c:pt>
                <c:pt idx="549">
                  <c:v>-3.421828908554646E-3</c:v>
                </c:pt>
                <c:pt idx="550">
                  <c:v>-8.5839450627515322E-3</c:v>
                </c:pt>
                <c:pt idx="551">
                  <c:v>2.4541708962799388E-2</c:v>
                </c:pt>
                <c:pt idx="552">
                  <c:v>-3.205501806737448E-3</c:v>
                </c:pt>
                <c:pt idx="553">
                  <c:v>-2.2919955563351385E-2</c:v>
                </c:pt>
                <c:pt idx="554">
                  <c:v>6.3431272814312356E-3</c:v>
                </c:pt>
                <c:pt idx="555">
                  <c:v>1.1238627579235386E-2</c:v>
                </c:pt>
                <c:pt idx="556">
                  <c:v>1.1760555098199966E-3</c:v>
                </c:pt>
                <c:pt idx="557">
                  <c:v>-1.1805473980970227E-2</c:v>
                </c:pt>
                <c:pt idx="558">
                  <c:v>-6.4190193164933877E-3</c:v>
                </c:pt>
                <c:pt idx="559">
                  <c:v>-8.8532631453011306E-3</c:v>
                </c:pt>
                <c:pt idx="560">
                  <c:v>-7.5442090651216126E-3</c:v>
                </c:pt>
                <c:pt idx="561">
                  <c:v>-1.0702991972755965E-2</c:v>
                </c:pt>
                <c:pt idx="562">
                  <c:v>-3.0735185640521265E-3</c:v>
                </c:pt>
                <c:pt idx="563">
                  <c:v>-2.0964360587002132E-2</c:v>
                </c:pt>
                <c:pt idx="564">
                  <c:v>4.2826552462527194E-3</c:v>
                </c:pt>
                <c:pt idx="565">
                  <c:v>-1.1915213846732758E-2</c:v>
                </c:pt>
                <c:pt idx="566">
                  <c:v>1.4216806296014274E-2</c:v>
                </c:pt>
                <c:pt idx="567">
                  <c:v>6.3829787234041414E-3</c:v>
                </c:pt>
                <c:pt idx="568">
                  <c:v>2.4126352443725879E-2</c:v>
                </c:pt>
                <c:pt idx="569">
                  <c:v>-2.1068609593199752E-2</c:v>
                </c:pt>
                <c:pt idx="570">
                  <c:v>2.2638466786578215E-2</c:v>
                </c:pt>
                <c:pt idx="571">
                  <c:v>-1.4556040756914671E-3</c:v>
                </c:pt>
                <c:pt idx="572">
                  <c:v>1.0143343051506415E-2</c:v>
                </c:pt>
                <c:pt idx="573">
                  <c:v>1.4370753412302244E-2</c:v>
                </c:pt>
                <c:pt idx="574">
                  <c:v>1.5589804386485027E-2</c:v>
                </c:pt>
                <c:pt idx="575">
                  <c:v>1.342438568843692E-3</c:v>
                </c:pt>
                <c:pt idx="576">
                  <c:v>7.5775238983446687E-3</c:v>
                </c:pt>
                <c:pt idx="577">
                  <c:v>-1.0991553858615418E-3</c:v>
                </c:pt>
                <c:pt idx="578">
                  <c:v>1.1872357676492799E-2</c:v>
                </c:pt>
                <c:pt idx="579">
                  <c:v>-1.3621794871794846E-2</c:v>
                </c:pt>
                <c:pt idx="580">
                  <c:v>6.730880816989652E-3</c:v>
                </c:pt>
                <c:pt idx="581">
                  <c:v>2.4668587896253608E-2</c:v>
                </c:pt>
                <c:pt idx="582">
                  <c:v>3.2005849926875898E-2</c:v>
                </c:pt>
                <c:pt idx="583">
                  <c:v>1.7223524281898928E-2</c:v>
                </c:pt>
                <c:pt idx="584">
                  <c:v>2.3415313722338342E-2</c:v>
                </c:pt>
                <c:pt idx="585">
                  <c:v>8.6387434554974114E-3</c:v>
                </c:pt>
                <c:pt idx="586">
                  <c:v>1.6973786659745558E-2</c:v>
                </c:pt>
                <c:pt idx="587">
                  <c:v>3.1033074724377361E-2</c:v>
                </c:pt>
                <c:pt idx="588">
                  <c:v>-4.4554455445546242E-4</c:v>
                </c:pt>
                <c:pt idx="589">
                  <c:v>-2.4614927442920109E-2</c:v>
                </c:pt>
                <c:pt idx="590">
                  <c:v>-2.2849598862597167E-3</c:v>
                </c:pt>
                <c:pt idx="591">
                  <c:v>3.3080563896380338E-3</c:v>
                </c:pt>
                <c:pt idx="592">
                  <c:v>-1.2579892462209545E-2</c:v>
                </c:pt>
                <c:pt idx="593">
                  <c:v>-1.844241241138397E-2</c:v>
                </c:pt>
                <c:pt idx="594">
                  <c:v>-7.3794944261265328E-3</c:v>
                </c:pt>
                <c:pt idx="595">
                  <c:v>-1.8981335020563084E-2</c:v>
                </c:pt>
                <c:pt idx="596">
                  <c:v>1.4780178437063312E-2</c:v>
                </c:pt>
                <c:pt idx="597">
                  <c:v>2.7223134367882984E-2</c:v>
                </c:pt>
                <c:pt idx="598">
                  <c:v>1.1033771590616215E-2</c:v>
                </c:pt>
                <c:pt idx="599">
                  <c:v>-2.1571727268091132E-2</c:v>
                </c:pt>
                <c:pt idx="600">
                  <c:v>3.6484936933179851E-3</c:v>
                </c:pt>
                <c:pt idx="601">
                  <c:v>-1.3086830078936488E-2</c:v>
                </c:pt>
                <c:pt idx="602">
                  <c:v>4.7884655861923624E-3</c:v>
                </c:pt>
                <c:pt idx="603">
                  <c:v>-1.2568735271013235E-2</c:v>
                </c:pt>
                <c:pt idx="604">
                  <c:v>1.5857862635905492E-2</c:v>
                </c:pt>
                <c:pt idx="605">
                  <c:v>1.1485851519264996E-2</c:v>
                </c:pt>
                <c:pt idx="606">
                  <c:v>-4.6454010529576014E-3</c:v>
                </c:pt>
                <c:pt idx="607">
                  <c:v>8.3488902717277803E-3</c:v>
                </c:pt>
                <c:pt idx="608">
                  <c:v>1.3885317562355888E-3</c:v>
                </c:pt>
                <c:pt idx="609">
                  <c:v>2.7578060805258858E-2</c:v>
                </c:pt>
                <c:pt idx="610">
                  <c:v>-2.9536708481183449E-2</c:v>
                </c:pt>
                <c:pt idx="611">
                  <c:v>6.9008136780307101E-3</c:v>
                </c:pt>
                <c:pt idx="612">
                  <c:v>1.9946808510638181E-2</c:v>
                </c:pt>
                <c:pt idx="613">
                  <c:v>-5.3655601243606122E-3</c:v>
                </c:pt>
                <c:pt idx="614">
                  <c:v>-7.4615578522812696E-3</c:v>
                </c:pt>
                <c:pt idx="615">
                  <c:v>3.2000812719052952E-3</c:v>
                </c:pt>
                <c:pt idx="616">
                  <c:v>-1.4075949367088614E-2</c:v>
                </c:pt>
                <c:pt idx="617">
                  <c:v>-8.0628594905504999E-3</c:v>
                </c:pt>
                <c:pt idx="618">
                  <c:v>-1.5739062904478344E-2</c:v>
                </c:pt>
                <c:pt idx="619">
                  <c:v>-2.4196517805481453E-3</c:v>
                </c:pt>
                <c:pt idx="620">
                  <c:v>-3.2533614553124257E-2</c:v>
                </c:pt>
                <c:pt idx="621">
                  <c:v>-9.1018094615216236E-3</c:v>
                </c:pt>
                <c:pt idx="622">
                  <c:v>9.1854133436003928E-3</c:v>
                </c:pt>
                <c:pt idx="623">
                  <c:v>-5.5591890124263238E-3</c:v>
                </c:pt>
                <c:pt idx="624">
                  <c:v>-6.0835251561986931E-3</c:v>
                </c:pt>
                <c:pt idx="625">
                  <c:v>1.4557485525227542E-2</c:v>
                </c:pt>
                <c:pt idx="626">
                  <c:v>2.5218761889233034E-2</c:v>
                </c:pt>
                <c:pt idx="627">
                  <c:v>-1.1185919524995945E-2</c:v>
                </c:pt>
                <c:pt idx="628">
                  <c:v>1.935449281578375E-2</c:v>
                </c:pt>
                <c:pt idx="629">
                  <c:v>-2.7139325724504268E-2</c:v>
                </c:pt>
                <c:pt idx="630">
                  <c:v>-1.2921014218521848E-2</c:v>
                </c:pt>
                <c:pt idx="631">
                  <c:v>8.8180523606089661E-3</c:v>
                </c:pt>
                <c:pt idx="632">
                  <c:v>4.4519246430316153E-3</c:v>
                </c:pt>
                <c:pt idx="633">
                  <c:v>2.2701475595914597E-3</c:v>
                </c:pt>
                <c:pt idx="634">
                  <c:v>1.4021463625087603E-2</c:v>
                </c:pt>
                <c:pt idx="635">
                  <c:v>-2.8186991437536622E-3</c:v>
                </c:pt>
                <c:pt idx="636">
                  <c:v>1.2426666666666733E-2</c:v>
                </c:pt>
                <c:pt idx="637">
                  <c:v>-7.3223410419850114E-3</c:v>
                </c:pt>
                <c:pt idx="638">
                  <c:v>-9.4459774994693334E-3</c:v>
                </c:pt>
                <c:pt idx="639">
                  <c:v>-2.9143897996357002E-2</c:v>
                </c:pt>
                <c:pt idx="640">
                  <c:v>1.1036309458117205E-2</c:v>
                </c:pt>
                <c:pt idx="641">
                  <c:v>-1.3262744241895027E-2</c:v>
                </c:pt>
                <c:pt idx="642">
                  <c:v>1.6261961391669882E-2</c:v>
                </c:pt>
                <c:pt idx="643">
                  <c:v>1.6273880150220483E-2</c:v>
                </c:pt>
                <c:pt idx="644">
                  <c:v>-3.1062553556127489E-3</c:v>
                </c:pt>
                <c:pt idx="645">
                  <c:v>1.7728591382830802E-3</c:v>
                </c:pt>
                <c:pt idx="646">
                  <c:v>3.5394433420925437E-3</c:v>
                </c:pt>
                <c:pt idx="647">
                  <c:v>-2.8322556511516119E-3</c:v>
                </c:pt>
                <c:pt idx="648">
                  <c:v>-2.2561629153269067E-2</c:v>
                </c:pt>
                <c:pt idx="649">
                  <c:v>2.3137233400954152E-2</c:v>
                </c:pt>
                <c:pt idx="650">
                  <c:v>-8.5204437061250915E-3</c:v>
                </c:pt>
                <c:pt idx="651">
                  <c:v>8.7017619716786565E-3</c:v>
                </c:pt>
                <c:pt idx="652">
                  <c:v>4.9831216846166577E-3</c:v>
                </c:pt>
                <c:pt idx="653">
                  <c:v>4.9584133077415589E-3</c:v>
                </c:pt>
                <c:pt idx="654">
                  <c:v>3.8728845031566115E-3</c:v>
                </c:pt>
                <c:pt idx="655">
                  <c:v>1.4744741570658451E-2</c:v>
                </c:pt>
                <c:pt idx="656">
                  <c:v>-1.3280558304254899E-2</c:v>
                </c:pt>
                <c:pt idx="657">
                  <c:v>1.5992821703789722E-2</c:v>
                </c:pt>
                <c:pt idx="658">
                  <c:v>3.0131435399240692E-3</c:v>
                </c:pt>
                <c:pt idx="659">
                  <c:v>1.0358937173046928E-3</c:v>
                </c:pt>
                <c:pt idx="660">
                  <c:v>-6.1571894241216826E-3</c:v>
                </c:pt>
                <c:pt idx="661">
                  <c:v>-3.1236984589755453E-4</c:v>
                </c:pt>
                <c:pt idx="662">
                  <c:v>9.4781793563170139E-3</c:v>
                </c:pt>
                <c:pt idx="663">
                  <c:v>-1.8056128765992573E-2</c:v>
                </c:pt>
                <c:pt idx="664">
                  <c:v>-2.6689082694126367E-2</c:v>
                </c:pt>
                <c:pt idx="665">
                  <c:v>-3.9404080751375891E-3</c:v>
                </c:pt>
                <c:pt idx="666">
                  <c:v>1.1488646832493387E-2</c:v>
                </c:pt>
                <c:pt idx="667">
                  <c:v>-4.3396731851058253E-3</c:v>
                </c:pt>
                <c:pt idx="668">
                  <c:v>2.2008179078777459E-2</c:v>
                </c:pt>
                <c:pt idx="669">
                  <c:v>2.0797135786868787E-2</c:v>
                </c:pt>
                <c:pt idx="670">
                  <c:v>2.2488136991953858E-2</c:v>
                </c:pt>
                <c:pt idx="671">
                  <c:v>2.3254640839386526E-2</c:v>
                </c:pt>
                <c:pt idx="672">
                  <c:v>4.5846684742420849E-3</c:v>
                </c:pt>
                <c:pt idx="673">
                  <c:v>9.3237805476494538E-3</c:v>
                </c:pt>
                <c:pt idx="674">
                  <c:v>-1.0355892648774774E-2</c:v>
                </c:pt>
                <c:pt idx="675">
                  <c:v>-4.1906165561287158E-2</c:v>
                </c:pt>
                <c:pt idx="676">
                  <c:v>6.7685365603527489E-3</c:v>
                </c:pt>
                <c:pt idx="677">
                  <c:v>-1.1765305083019264E-2</c:v>
                </c:pt>
                <c:pt idx="678">
                  <c:v>-2.7315363603566518E-3</c:v>
                </c:pt>
                <c:pt idx="679">
                  <c:v>-3.875968992248062E-2</c:v>
                </c:pt>
                <c:pt idx="680">
                  <c:v>1.4516129032258003E-2</c:v>
                </c:pt>
                <c:pt idx="681">
                  <c:v>-2.7556968733438358E-3</c:v>
                </c:pt>
                <c:pt idx="682">
                  <c:v>-8.92762248910621E-3</c:v>
                </c:pt>
                <c:pt idx="683">
                  <c:v>-1.7801608579088437E-2</c:v>
                </c:pt>
                <c:pt idx="684">
                  <c:v>-1.2392182552680479E-2</c:v>
                </c:pt>
                <c:pt idx="685">
                  <c:v>-1.2934608368802185E-2</c:v>
                </c:pt>
                <c:pt idx="686">
                  <c:v>-1.4896119168953333E-2</c:v>
                </c:pt>
                <c:pt idx="687">
                  <c:v>-2.1829344551190968E-2</c:v>
                </c:pt>
                <c:pt idx="688">
                  <c:v>-2.9057941535421631E-3</c:v>
                </c:pt>
                <c:pt idx="689">
                  <c:v>-4.9542460803170384E-3</c:v>
                </c:pt>
                <c:pt idx="690">
                  <c:v>1.3940955951265203E-2</c:v>
                </c:pt>
                <c:pt idx="691">
                  <c:v>-2.7209705372617032E-2</c:v>
                </c:pt>
                <c:pt idx="692">
                  <c:v>-6.5918403705682365E-3</c:v>
                </c:pt>
                <c:pt idx="693">
                  <c:v>-1.3629842180774756E-2</c:v>
                </c:pt>
                <c:pt idx="694">
                  <c:v>5.7575757575756888E-3</c:v>
                </c:pt>
                <c:pt idx="695">
                  <c:v>-4.2181379933710865E-4</c:v>
                </c:pt>
                <c:pt idx="696">
                  <c:v>1.3744875813841338E-2</c:v>
                </c:pt>
                <c:pt idx="697">
                  <c:v>2.9317316841103752E-2</c:v>
                </c:pt>
                <c:pt idx="698">
                  <c:v>4.6218730140380195E-4</c:v>
                </c:pt>
                <c:pt idx="699">
                  <c:v>8.7197551538951285E-3</c:v>
                </c:pt>
                <c:pt idx="700">
                  <c:v>-1.1392260132814341E-2</c:v>
                </c:pt>
                <c:pt idx="701">
                  <c:v>-1.6214025131739021E-3</c:v>
                </c:pt>
                <c:pt idx="702">
                  <c:v>8.120178643931024E-4</c:v>
                </c:pt>
                <c:pt idx="703">
                  <c:v>3.4077079107505043E-2</c:v>
                </c:pt>
                <c:pt idx="704">
                  <c:v>-1.7541893179398058E-2</c:v>
                </c:pt>
                <c:pt idx="705">
                  <c:v>-1.711351968054828E-3</c:v>
                </c:pt>
                <c:pt idx="706">
                  <c:v>6.8571428571431172E-4</c:v>
                </c:pt>
                <c:pt idx="707">
                  <c:v>-1.1477843764275873E-2</c:v>
                </c:pt>
                <c:pt idx="708">
                  <c:v>5.9499740049677816E-3</c:v>
                </c:pt>
                <c:pt idx="709">
                  <c:v>6.3167566325952483E-4</c:v>
                </c:pt>
                <c:pt idx="710">
                  <c:v>2.2381635581060909E-3</c:v>
                </c:pt>
                <c:pt idx="711">
                  <c:v>-1.0936784241868969E-2</c:v>
                </c:pt>
                <c:pt idx="712">
                  <c:v>1.1926127482197664E-2</c:v>
                </c:pt>
                <c:pt idx="713">
                  <c:v>-1.4245666228044972E-2</c:v>
                </c:pt>
                <c:pt idx="714">
                  <c:v>-5.4556006964596501E-3</c:v>
                </c:pt>
                <c:pt idx="715">
                  <c:v>1.371381886087765E-2</c:v>
                </c:pt>
                <c:pt idx="716">
                  <c:v>2.2451211789764582E-2</c:v>
                </c:pt>
                <c:pt idx="717">
                  <c:v>-1.1429536625190029E-2</c:v>
                </c:pt>
                <c:pt idx="718">
                  <c:v>1.0194783004898006E-2</c:v>
                </c:pt>
                <c:pt idx="719">
                  <c:v>-9.5844844111188994E-4</c:v>
                </c:pt>
                <c:pt idx="720">
                  <c:v>1.6873589164785607E-2</c:v>
                </c:pt>
                <c:pt idx="721">
                  <c:v>2.1088850657638904E-3</c:v>
                </c:pt>
                <c:pt idx="722">
                  <c:v>2.7136290635210752E-2</c:v>
                </c:pt>
                <c:pt idx="723">
                  <c:v>2.4532269369709449E-2</c:v>
                </c:pt>
                <c:pt idx="724">
                  <c:v>-1.4893169140090581E-2</c:v>
                </c:pt>
                <c:pt idx="725">
                  <c:v>-4.7545274854425253E-3</c:v>
                </c:pt>
                <c:pt idx="726">
                  <c:v>-1.1433172302737648E-2</c:v>
                </c:pt>
                <c:pt idx="727">
                  <c:v>-8.687625563338036E-4</c:v>
                </c:pt>
                <c:pt idx="728">
                  <c:v>-2.8259333731862339E-2</c:v>
                </c:pt>
                <c:pt idx="729">
                  <c:v>-2.5949331692858423E-2</c:v>
                </c:pt>
                <c:pt idx="730">
                  <c:v>1.6478153528162169E-2</c:v>
                </c:pt>
                <c:pt idx="731">
                  <c:v>5.7614098508812148E-3</c:v>
                </c:pt>
                <c:pt idx="732">
                  <c:v>1.2243064135684639E-2</c:v>
                </c:pt>
                <c:pt idx="733">
                  <c:v>-1.381491344873507E-2</c:v>
                </c:pt>
                <c:pt idx="734">
                  <c:v>-1.6202531645569593E-2</c:v>
                </c:pt>
                <c:pt idx="735">
                  <c:v>-2.6305255332533194E-3</c:v>
                </c:pt>
                <c:pt idx="736">
                  <c:v>2.2189094662003351E-2</c:v>
                </c:pt>
                <c:pt idx="737">
                  <c:v>1.5705631590756178E-3</c:v>
                </c:pt>
                <c:pt idx="738">
                  <c:v>3.3042114695340692E-3</c:v>
                </c:pt>
                <c:pt idx="739">
                  <c:v>1.8922690482835534E-2</c:v>
                </c:pt>
                <c:pt idx="740">
                  <c:v>6.354771556919013E-3</c:v>
                </c:pt>
                <c:pt idx="741">
                  <c:v>3.2661948829614739E-3</c:v>
                </c:pt>
                <c:pt idx="742">
                  <c:v>7.1622354856212319E-3</c:v>
                </c:pt>
                <c:pt idx="743">
                  <c:v>-2.6398017455016112E-3</c:v>
                </c:pt>
                <c:pt idx="744">
                  <c:v>2.5171501107329967E-2</c:v>
                </c:pt>
                <c:pt idx="745">
                  <c:v>-1.2118657463511765E-3</c:v>
                </c:pt>
                <c:pt idx="746">
                  <c:v>-1.0972779067313846E-2</c:v>
                </c:pt>
                <c:pt idx="747">
                  <c:v>1.114785577128229E-2</c:v>
                </c:pt>
                <c:pt idx="748">
                  <c:v>1.5297779184470147E-2</c:v>
                </c:pt>
                <c:pt idx="749">
                  <c:v>-7.0140801163817443E-3</c:v>
                </c:pt>
                <c:pt idx="750">
                  <c:v>1.1772708246128086E-2</c:v>
                </c:pt>
                <c:pt idx="751">
                  <c:v>1.7376014893726976E-2</c:v>
                </c:pt>
                <c:pt idx="752">
                  <c:v>-5.2406852030701993E-2</c:v>
                </c:pt>
                <c:pt idx="753">
                  <c:v>-2.6767514215212857E-2</c:v>
                </c:pt>
                <c:pt idx="754">
                  <c:v>6.7243565011299057E-3</c:v>
                </c:pt>
                <c:pt idx="755">
                  <c:v>-1.4289624965781624E-2</c:v>
                </c:pt>
                <c:pt idx="756">
                  <c:v>2.6994001333037181E-2</c:v>
                </c:pt>
                <c:pt idx="757">
                  <c:v>5.4624121146565219E-3</c:v>
                </c:pt>
                <c:pt idx="758">
                  <c:v>-1.1833682964875417E-3</c:v>
                </c:pt>
                <c:pt idx="759">
                  <c:v>1.3463299046798428E-3</c:v>
                </c:pt>
                <c:pt idx="760">
                  <c:v>-5.5932021082069055E-3</c:v>
                </c:pt>
                <c:pt idx="761">
                  <c:v>-9.680908599242791E-3</c:v>
                </c:pt>
                <c:pt idx="762">
                  <c:v>2.2937032384904564E-3</c:v>
                </c:pt>
                <c:pt idx="763">
                  <c:v>1.6182640440254994E-2</c:v>
                </c:pt>
                <c:pt idx="764">
                  <c:v>-2.3967828418230558E-2</c:v>
                </c:pt>
                <c:pt idx="765">
                  <c:v>4.2300719661594807E-3</c:v>
                </c:pt>
                <c:pt idx="766">
                  <c:v>-6.7286652078775606E-3</c:v>
                </c:pt>
                <c:pt idx="767">
                  <c:v>1.7624056837582927E-3</c:v>
                </c:pt>
                <c:pt idx="768">
                  <c:v>-1.1435482984221146E-2</c:v>
                </c:pt>
                <c:pt idx="769">
                  <c:v>2.6694844558144137E-3</c:v>
                </c:pt>
                <c:pt idx="770">
                  <c:v>-1.6473459426479556E-2</c:v>
                </c:pt>
                <c:pt idx="771">
                  <c:v>5.6395217685649262E-5</c:v>
                </c:pt>
                <c:pt idx="772">
                  <c:v>-3.7218744713247895E-3</c:v>
                </c:pt>
                <c:pt idx="773">
                  <c:v>-2.581083375785348E-2</c:v>
                </c:pt>
                <c:pt idx="774">
                  <c:v>6.9722851664632416E-3</c:v>
                </c:pt>
                <c:pt idx="775">
                  <c:v>-4.3852057007674076E-2</c:v>
                </c:pt>
                <c:pt idx="776">
                  <c:v>-5.5518677207170106E-3</c:v>
                </c:pt>
                <c:pt idx="777">
                  <c:v>-2.3059651677892975E-2</c:v>
                </c:pt>
                <c:pt idx="778">
                  <c:v>4.4723274737561262E-3</c:v>
                </c:pt>
                <c:pt idx="779">
                  <c:v>-4.9471275740523863E-3</c:v>
                </c:pt>
                <c:pt idx="780">
                  <c:v>1.3299359890622179E-2</c:v>
                </c:pt>
                <c:pt idx="781">
                  <c:v>-2.8212204845140016E-3</c:v>
                </c:pt>
                <c:pt idx="782">
                  <c:v>-2.9522110830923782E-3</c:v>
                </c:pt>
                <c:pt idx="783">
                  <c:v>1.8074147184010722E-2</c:v>
                </c:pt>
                <c:pt idx="784">
                  <c:v>-6.9074163839068494E-3</c:v>
                </c:pt>
                <c:pt idx="785">
                  <c:v>-1.220256253813925E-4</c:v>
                </c:pt>
                <c:pt idx="786">
                  <c:v>2.2882597022211376E-2</c:v>
                </c:pt>
                <c:pt idx="787">
                  <c:v>1.0797589930203438E-2</c:v>
                </c:pt>
                <c:pt idx="788">
                  <c:v>3.1633616619452395E-2</c:v>
                </c:pt>
                <c:pt idx="789">
                  <c:v>7.6659038901600394E-3</c:v>
                </c:pt>
                <c:pt idx="790">
                  <c:v>-7.948223004428167E-3</c:v>
                </c:pt>
                <c:pt idx="791">
                  <c:v>1.728282018999646E-2</c:v>
                </c:pt>
                <c:pt idx="792">
                  <c:v>1.490774077407744E-2</c:v>
                </c:pt>
                <c:pt idx="793">
                  <c:v>-3.8800509949558706E-3</c:v>
                </c:pt>
                <c:pt idx="794">
                  <c:v>8.9032329864781826E-3</c:v>
                </c:pt>
                <c:pt idx="795">
                  <c:v>-8.8246649385029284E-4</c:v>
                </c:pt>
                <c:pt idx="796">
                  <c:v>8.225227711840909E-3</c:v>
                </c:pt>
                <c:pt idx="797">
                  <c:v>8.760402978538383E-4</c:v>
                </c:pt>
                <c:pt idx="798">
                  <c:v>-1.6411378555799309E-3</c:v>
                </c:pt>
                <c:pt idx="799">
                  <c:v>2.7013698630137025E-2</c:v>
                </c:pt>
                <c:pt idx="800">
                  <c:v>7.5761617670596351E-3</c:v>
                </c:pt>
                <c:pt idx="801">
                  <c:v>-2.0545406407201459E-2</c:v>
                </c:pt>
                <c:pt idx="802">
                  <c:v>3.6762718278640148E-3</c:v>
                </c:pt>
                <c:pt idx="803">
                  <c:v>-4.309183948289854E-3</c:v>
                </c:pt>
                <c:pt idx="804">
                  <c:v>5.3015958885583893E-3</c:v>
                </c:pt>
                <c:pt idx="805">
                  <c:v>4.1973847064521392E-3</c:v>
                </c:pt>
                <c:pt idx="806">
                  <c:v>6.1625850704676985E-3</c:v>
                </c:pt>
                <c:pt idx="807">
                  <c:v>-2.636344269279926E-2</c:v>
                </c:pt>
                <c:pt idx="808">
                  <c:v>-2.4287511624090572E-2</c:v>
                </c:pt>
                <c:pt idx="809">
                  <c:v>2.2425295733587487E-2</c:v>
                </c:pt>
                <c:pt idx="810">
                  <c:v>0</c:v>
                </c:pt>
                <c:pt idx="811">
                  <c:v>2.1494763393101867E-2</c:v>
                </c:pt>
                <c:pt idx="812">
                  <c:v>8.6961189543185609E-3</c:v>
                </c:pt>
                <c:pt idx="813">
                  <c:v>-7.9825448352934918E-3</c:v>
                </c:pt>
                <c:pt idx="814">
                  <c:v>-2.623249825653123E-2</c:v>
                </c:pt>
                <c:pt idx="815">
                  <c:v>8.4839136183340238E-3</c:v>
                </c:pt>
                <c:pt idx="816">
                  <c:v>8.5217961324156131E-3</c:v>
                </c:pt>
                <c:pt idx="817">
                  <c:v>2.80034665800021E-2</c:v>
                </c:pt>
                <c:pt idx="818">
                  <c:v>-2.7925601981137107E-3</c:v>
                </c:pt>
                <c:pt idx="819">
                  <c:v>1.5851209975695413E-3</c:v>
                </c:pt>
                <c:pt idx="820">
                  <c:v>-2.8064992614475592E-2</c:v>
                </c:pt>
                <c:pt idx="821">
                  <c:v>-9.1728180633955589E-3</c:v>
                </c:pt>
                <c:pt idx="822">
                  <c:v>4.2728019720624545E-3</c:v>
                </c:pt>
                <c:pt idx="823">
                  <c:v>-5.1273659521083627E-3</c:v>
                </c:pt>
                <c:pt idx="824">
                  <c:v>-1.3377926421404672E-2</c:v>
                </c:pt>
                <c:pt idx="825">
                  <c:v>2.2728535704362344E-2</c:v>
                </c:pt>
                <c:pt idx="826">
                  <c:v>2.5646598565529227E-2</c:v>
                </c:pt>
                <c:pt idx="827">
                  <c:v>-1.6422970968425484E-2</c:v>
                </c:pt>
                <c:pt idx="828">
                  <c:v>1.9390283313584706E-3</c:v>
                </c:pt>
                <c:pt idx="829">
                  <c:v>-6.3434039350607823E-3</c:v>
                </c:pt>
                <c:pt idx="830">
                  <c:v>2.3750270504219791E-2</c:v>
                </c:pt>
                <c:pt idx="831">
                  <c:v>4.1748137187550627E-3</c:v>
                </c:pt>
                <c:pt idx="832">
                  <c:v>9.7884433217555258E-3</c:v>
                </c:pt>
                <c:pt idx="833">
                  <c:v>-1.4331874087971649E-2</c:v>
                </c:pt>
                <c:pt idx="834">
                  <c:v>2.130809496113785E-2</c:v>
                </c:pt>
                <c:pt idx="835">
                  <c:v>-4.2969558914888384E-3</c:v>
                </c:pt>
                <c:pt idx="836">
                  <c:v>2.9740550096188836E-2</c:v>
                </c:pt>
                <c:pt idx="837">
                  <c:v>1.7571320373642965E-2</c:v>
                </c:pt>
                <c:pt idx="838">
                  <c:v>-9.8248399741973393E-3</c:v>
                </c:pt>
                <c:pt idx="839">
                  <c:v>8.669506389376044E-3</c:v>
                </c:pt>
                <c:pt idx="840">
                  <c:v>4.2229729729729446E-3</c:v>
                </c:pt>
                <c:pt idx="841">
                  <c:v>-3.0673329045663908E-3</c:v>
                </c:pt>
                <c:pt idx="842">
                  <c:v>1.22078308768796E-2</c:v>
                </c:pt>
                <c:pt idx="843">
                  <c:v>0</c:v>
                </c:pt>
                <c:pt idx="844">
                  <c:v>8.3345590037744522E-4</c:v>
                </c:pt>
                <c:pt idx="845">
                  <c:v>-9.5522680513372617E-3</c:v>
                </c:pt>
                <c:pt idx="846">
                  <c:v>-1.1325980513378466E-2</c:v>
                </c:pt>
                <c:pt idx="847">
                  <c:v>1.6008004002000659E-3</c:v>
                </c:pt>
                <c:pt idx="848">
                  <c:v>3.1964838677455538E-3</c:v>
                </c:pt>
                <c:pt idx="849">
                  <c:v>1.7325500348501392E-2</c:v>
                </c:pt>
                <c:pt idx="850">
                  <c:v>-2.0896544974062885E-2</c:v>
                </c:pt>
                <c:pt idx="851">
                  <c:v>2.1492477632828852E-3</c:v>
                </c:pt>
                <c:pt idx="852">
                  <c:v>2.5486284289276875E-2</c:v>
                </c:pt>
                <c:pt idx="853">
                  <c:v>-1.0262146782744095E-2</c:v>
                </c:pt>
                <c:pt idx="854">
                  <c:v>-1.6019656019655975E-2</c:v>
                </c:pt>
                <c:pt idx="855">
                  <c:v>-1.4232920495405626E-2</c:v>
                </c:pt>
                <c:pt idx="856">
                  <c:v>1.286792644004266E-2</c:v>
                </c:pt>
                <c:pt idx="857">
                  <c:v>-1.9556844895713483E-2</c:v>
                </c:pt>
                <c:pt idx="858">
                  <c:v>7.1421283542488702E-4</c:v>
                </c:pt>
                <c:pt idx="859">
                  <c:v>-1.0144779771615054E-2</c:v>
                </c:pt>
                <c:pt idx="860">
                  <c:v>-8.6522119791933791E-3</c:v>
                </c:pt>
                <c:pt idx="861">
                  <c:v>-4.4158138085096509E-3</c:v>
                </c:pt>
                <c:pt idx="862">
                  <c:v>-5.5312043414734603E-3</c:v>
                </c:pt>
                <c:pt idx="863">
                  <c:v>-5.3520831147025405E-3</c:v>
                </c:pt>
                <c:pt idx="864">
                  <c:v>-4.7478370964340269E-4</c:v>
                </c:pt>
                <c:pt idx="865">
                  <c:v>4.6445347548424313E-3</c:v>
                </c:pt>
                <c:pt idx="866">
                  <c:v>-6.7769897557131186E-3</c:v>
                </c:pt>
                <c:pt idx="867">
                  <c:v>7.8282026869776252E-3</c:v>
                </c:pt>
                <c:pt idx="868">
                  <c:v>-7.1376089010180815E-3</c:v>
                </c:pt>
                <c:pt idx="869">
                  <c:v>-6.766042922084793E-3</c:v>
                </c:pt>
                <c:pt idx="870">
                  <c:v>1.0643959552953093E-3</c:v>
                </c:pt>
                <c:pt idx="871">
                  <c:v>-2.6634768740031851E-2</c:v>
                </c:pt>
                <c:pt idx="872">
                  <c:v>-1.2562127915233007E-2</c:v>
                </c:pt>
                <c:pt idx="873">
                  <c:v>-1.0122241274406682E-2</c:v>
                </c:pt>
                <c:pt idx="874">
                  <c:v>-1.5701832811801531E-2</c:v>
                </c:pt>
                <c:pt idx="875">
                  <c:v>-3.2358785126312415E-3</c:v>
                </c:pt>
                <c:pt idx="876">
                  <c:v>-1.1163002619888415E-2</c:v>
                </c:pt>
                <c:pt idx="877">
                  <c:v>-1.3938486349498997E-2</c:v>
                </c:pt>
                <c:pt idx="878">
                  <c:v>1.6413551401869172E-2</c:v>
                </c:pt>
                <c:pt idx="879">
                  <c:v>3.3159013849778811E-2</c:v>
                </c:pt>
                <c:pt idx="880">
                  <c:v>1.6075203025920495E-2</c:v>
                </c:pt>
                <c:pt idx="881">
                  <c:v>5.0911479717523781E-3</c:v>
                </c:pt>
                <c:pt idx="882">
                  <c:v>1.808278867102393E-2</c:v>
                </c:pt>
                <c:pt idx="883">
                  <c:v>5.3498823025893436E-3</c:v>
                </c:pt>
                <c:pt idx="884">
                  <c:v>-3.7249893571732048E-3</c:v>
                </c:pt>
                <c:pt idx="885">
                  <c:v>2.1899369725456499E-3</c:v>
                </c:pt>
                <c:pt idx="886">
                  <c:v>-4.9032670681660052E-3</c:v>
                </c:pt>
                <c:pt idx="887">
                  <c:v>-3.4331315944512858E-2</c:v>
                </c:pt>
                <c:pt idx="888">
                  <c:v>-1.2867443150305167E-2</c:v>
                </c:pt>
                <c:pt idx="889">
                  <c:v>-1.2641869873019441E-2</c:v>
                </c:pt>
                <c:pt idx="890">
                  <c:v>8.0236726796790343E-3</c:v>
                </c:pt>
                <c:pt idx="891">
                  <c:v>-7.2259229987578907E-3</c:v>
                </c:pt>
                <c:pt idx="892">
                  <c:v>-2.791993631297637E-2</c:v>
                </c:pt>
                <c:pt idx="893">
                  <c:v>-5.8496636443351305E-5</c:v>
                </c:pt>
                <c:pt idx="894">
                  <c:v>4.9140049140049338E-3</c:v>
                </c:pt>
                <c:pt idx="895">
                  <c:v>1.2516008848527219E-2</c:v>
                </c:pt>
                <c:pt idx="896">
                  <c:v>6.1519001897314615E-3</c:v>
                </c:pt>
                <c:pt idx="897">
                  <c:v>3.8000000000000034E-2</c:v>
                </c:pt>
                <c:pt idx="898">
                  <c:v>-1.3267272226809779E-2</c:v>
                </c:pt>
                <c:pt idx="899">
                  <c:v>2.1144833742468155E-2</c:v>
                </c:pt>
                <c:pt idx="900">
                  <c:v>1.49155876085887E-2</c:v>
                </c:pt>
                <c:pt idx="901">
                  <c:v>-9.5822566752799369E-3</c:v>
                </c:pt>
                <c:pt idx="902">
                  <c:v>-1.6306120230458908E-3</c:v>
                </c:pt>
                <c:pt idx="903">
                  <c:v>-1.1378484320557509E-2</c:v>
                </c:pt>
                <c:pt idx="904">
                  <c:v>-1.5419351285863821E-3</c:v>
                </c:pt>
                <c:pt idx="905">
                  <c:v>-6.5633445480116799E-3</c:v>
                </c:pt>
                <c:pt idx="906">
                  <c:v>-6.6067066400177527E-3</c:v>
                </c:pt>
                <c:pt idx="907">
                  <c:v>2.7943888671538001E-4</c:v>
                </c:pt>
                <c:pt idx="908">
                  <c:v>-1.592356687898086E-2</c:v>
                </c:pt>
                <c:pt idx="909">
                  <c:v>1.811162209731447E-2</c:v>
                </c:pt>
                <c:pt idx="910">
                  <c:v>1.4220388132946751E-2</c:v>
                </c:pt>
                <c:pt idx="911">
                  <c:v>-1.0502006928025494E-2</c:v>
                </c:pt>
                <c:pt idx="912">
                  <c:v>1.3947543898644091E-2</c:v>
                </c:pt>
                <c:pt idx="913">
                  <c:v>-1.6167041157450476E-2</c:v>
                </c:pt>
                <c:pt idx="914">
                  <c:v>-2.7684937611408191E-2</c:v>
                </c:pt>
                <c:pt idx="915">
                  <c:v>5.3852764250930827E-3</c:v>
                </c:pt>
                <c:pt idx="916">
                  <c:v>9.0033620149295342E-3</c:v>
                </c:pt>
                <c:pt idx="917">
                  <c:v>-1.1294968091715141E-2</c:v>
                </c:pt>
                <c:pt idx="918">
                  <c:v>8.6822413891586812E-3</c:v>
                </c:pt>
                <c:pt idx="919">
                  <c:v>3.13154765275497E-2</c:v>
                </c:pt>
                <c:pt idx="920">
                  <c:v>4.782560948824955E-2</c:v>
                </c:pt>
                <c:pt idx="921">
                  <c:v>-1.3362678824084323E-2</c:v>
                </c:pt>
                <c:pt idx="922">
                  <c:v>5.5236881240704905E-3</c:v>
                </c:pt>
                <c:pt idx="923">
                  <c:v>-1.8909782379040695E-2</c:v>
                </c:pt>
                <c:pt idx="924">
                  <c:v>4.4955313879616633E-2</c:v>
                </c:pt>
                <c:pt idx="925">
                  <c:v>-6.4403111958369827E-3</c:v>
                </c:pt>
                <c:pt idx="926">
                  <c:v>1.3897531632441437E-2</c:v>
                </c:pt>
                <c:pt idx="927">
                  <c:v>1.8923895253681266E-3</c:v>
                </c:pt>
                <c:pt idx="928">
                  <c:v>-1.6233600490070849E-2</c:v>
                </c:pt>
                <c:pt idx="929">
                  <c:v>-2.854029370556854E-3</c:v>
                </c:pt>
                <c:pt idx="930">
                  <c:v>-2.0920066611157421E-2</c:v>
                </c:pt>
                <c:pt idx="931">
                  <c:v>-9.6736472839374574E-3</c:v>
                </c:pt>
                <c:pt idx="932">
                  <c:v>-3.8643194504078943E-3</c:v>
                </c:pt>
                <c:pt idx="933">
                  <c:v>3.9870689655172901E-3</c:v>
                </c:pt>
                <c:pt idx="934">
                  <c:v>-3.5419126328217206E-2</c:v>
                </c:pt>
                <c:pt idx="935">
                  <c:v>-6.1199510403924353E-4</c:v>
                </c:pt>
                <c:pt idx="936">
                  <c:v>4.0583421477481445E-2</c:v>
                </c:pt>
                <c:pt idx="937">
                  <c:v>-1.4605178686068853E-2</c:v>
                </c:pt>
                <c:pt idx="938">
                  <c:v>5.5377599218199153E-3</c:v>
                </c:pt>
                <c:pt idx="939">
                  <c:v>-6.2631607364612958E-3</c:v>
                </c:pt>
                <c:pt idx="940">
                  <c:v>-4.4064113012768344E-2</c:v>
                </c:pt>
                <c:pt idx="941">
                  <c:v>-1.5232465613277292E-2</c:v>
                </c:pt>
                <c:pt idx="942">
                  <c:v>-1.0389010735310995E-2</c:v>
                </c:pt>
                <c:pt idx="943">
                  <c:v>1.3764143240405839E-2</c:v>
                </c:pt>
                <c:pt idx="944">
                  <c:v>-1.7259233690024818E-4</c:v>
                </c:pt>
                <c:pt idx="945">
                  <c:v>-3.1071983428275049E-3</c:v>
                </c:pt>
                <c:pt idx="946">
                  <c:v>1.1024531024531005E-2</c:v>
                </c:pt>
                <c:pt idx="947">
                  <c:v>2.4548983786252961E-3</c:v>
                </c:pt>
                <c:pt idx="948">
                  <c:v>-2.221083205194002E-3</c:v>
                </c:pt>
                <c:pt idx="949">
                  <c:v>1.0901826484018409E-2</c:v>
                </c:pt>
                <c:pt idx="950">
                  <c:v>-2.1286206312461239E-2</c:v>
                </c:pt>
                <c:pt idx="951">
                  <c:v>-2.8268143532941565E-3</c:v>
                </c:pt>
                <c:pt idx="952">
                  <c:v>2.01330633497253E-2</c:v>
                </c:pt>
                <c:pt idx="953">
                  <c:v>-3.3289854250552961E-2</c:v>
                </c:pt>
                <c:pt idx="954">
                  <c:v>-1.2084946615041664E-2</c:v>
                </c:pt>
                <c:pt idx="955">
                  <c:v>2.8503562945367562E-3</c:v>
                </c:pt>
                <c:pt idx="956">
                  <c:v>4.0265277119848819E-3</c:v>
                </c:pt>
                <c:pt idx="957">
                  <c:v>-4.8950224109460512E-3</c:v>
                </c:pt>
                <c:pt idx="958">
                  <c:v>7.1712202927754877E-3</c:v>
                </c:pt>
                <c:pt idx="959">
                  <c:v>-1.359303283511829E-2</c:v>
                </c:pt>
                <c:pt idx="960">
                  <c:v>1.5868281333890094E-2</c:v>
                </c:pt>
                <c:pt idx="961">
                  <c:v>3.4646779024018054E-3</c:v>
                </c:pt>
                <c:pt idx="962">
                  <c:v>2.8967696629213585E-2</c:v>
                </c:pt>
                <c:pt idx="963">
                  <c:v>1.3706420974805188E-2</c:v>
                </c:pt>
                <c:pt idx="964">
                  <c:v>9.0888689407540649E-3</c:v>
                </c:pt>
                <c:pt idx="965">
                  <c:v>2.2684310018903503E-2</c:v>
                </c:pt>
                <c:pt idx="966">
                  <c:v>-1.2232249646623899E-2</c:v>
                </c:pt>
                <c:pt idx="967">
                  <c:v>-4.2379877813859337E-3</c:v>
                </c:pt>
                <c:pt idx="968">
                  <c:v>-2.7139066990935202E-2</c:v>
                </c:pt>
                <c:pt idx="969">
                  <c:v>1.4090108516561664E-2</c:v>
                </c:pt>
                <c:pt idx="970">
                  <c:v>2.6444058490671739E-2</c:v>
                </c:pt>
                <c:pt idx="971">
                  <c:v>-7.2594290704656537E-3</c:v>
                </c:pt>
                <c:pt idx="972">
                  <c:v>-1.8748625467341087E-2</c:v>
                </c:pt>
                <c:pt idx="973">
                  <c:v>1.8098279822939371E-2</c:v>
                </c:pt>
                <c:pt idx="974">
                  <c:v>-1.1227297743533253E-2</c:v>
                </c:pt>
                <c:pt idx="975">
                  <c:v>-7.514193476566817E-3</c:v>
                </c:pt>
                <c:pt idx="976">
                  <c:v>2.4620043744041198E-2</c:v>
                </c:pt>
                <c:pt idx="977">
                  <c:v>-5.2545155993430738E-3</c:v>
                </c:pt>
                <c:pt idx="978">
                  <c:v>-2.5310883679982828E-3</c:v>
                </c:pt>
                <c:pt idx="979">
                  <c:v>2.5761253309796929E-2</c:v>
                </c:pt>
                <c:pt idx="980">
                  <c:v>9.7337994084431435E-3</c:v>
                </c:pt>
                <c:pt idx="981">
                  <c:v>-1.6350660417554289E-2</c:v>
                </c:pt>
                <c:pt idx="982">
                  <c:v>2.409442850181379E-2</c:v>
                </c:pt>
                <c:pt idx="983">
                  <c:v>-2.7017024426350775E-2</c:v>
                </c:pt>
                <c:pt idx="984">
                  <c:v>1.6247350975384496E-2</c:v>
                </c:pt>
                <c:pt idx="985">
                  <c:v>8.1274729975402728E-3</c:v>
                </c:pt>
                <c:pt idx="986">
                  <c:v>-7.8497931473426857E-3</c:v>
                </c:pt>
                <c:pt idx="987">
                  <c:v>-1.1867849887736549E-2</c:v>
                </c:pt>
                <c:pt idx="988">
                  <c:v>-1.7149967539493702E-2</c:v>
                </c:pt>
                <c:pt idx="989">
                  <c:v>2.763252050421099E-2</c:v>
                </c:pt>
                <c:pt idx="990">
                  <c:v>2.3568482511114562E-3</c:v>
                </c:pt>
                <c:pt idx="991">
                  <c:v>-9.5121038849997393E-3</c:v>
                </c:pt>
                <c:pt idx="992">
                  <c:v>9.4415969786889667E-3</c:v>
                </c:pt>
                <c:pt idx="993">
                  <c:v>1.9347942276857322E-2</c:v>
                </c:pt>
                <c:pt idx="994">
                  <c:v>5.4005872483221537E-3</c:v>
                </c:pt>
                <c:pt idx="995">
                  <c:v>1.1368970013037846E-2</c:v>
                </c:pt>
                <c:pt idx="996">
                  <c:v>1.5417934306192855E-2</c:v>
                </c:pt>
                <c:pt idx="997">
                  <c:v>1.3203331302052577E-3</c:v>
                </c:pt>
                <c:pt idx="998">
                  <c:v>5.4265138452175331E-3</c:v>
                </c:pt>
                <c:pt idx="999">
                  <c:v>-1.4627994955863407E-3</c:v>
                </c:pt>
                <c:pt idx="1000">
                  <c:v>-1.5205091937765302E-2</c:v>
                </c:pt>
                <c:pt idx="1001">
                  <c:v>-1.9543472685303938E-2</c:v>
                </c:pt>
                <c:pt idx="1002">
                  <c:v>7.4814272261170189E-3</c:v>
                </c:pt>
                <c:pt idx="1003">
                  <c:v>-1.0749337903100136E-2</c:v>
                </c:pt>
                <c:pt idx="1004">
                  <c:v>5.249343832016223E-5</c:v>
                </c:pt>
                <c:pt idx="1005">
                  <c:v>-3.5168757545535013E-3</c:v>
                </c:pt>
                <c:pt idx="1006">
                  <c:v>1.569742941424352E-2</c:v>
                </c:pt>
                <c:pt idx="1007">
                  <c:v>4.771289285343927E-3</c:v>
                </c:pt>
                <c:pt idx="1008">
                  <c:v>5.2647878600184878E-3</c:v>
                </c:pt>
                <c:pt idx="1009">
                  <c:v>-4.107619634421765E-3</c:v>
                </c:pt>
                <c:pt idx="1010">
                  <c:v>-1.8044957723241611E-3</c:v>
                </c:pt>
                <c:pt idx="1011">
                  <c:v>-4.9584215691338661E-3</c:v>
                </c:pt>
                <c:pt idx="1012">
                  <c:v>4.3083311705163982E-3</c:v>
                </c:pt>
                <c:pt idx="1013">
                  <c:v>-2.6721108124870725E-2</c:v>
                </c:pt>
                <c:pt idx="1014">
                  <c:v>5.3103924379963385E-5</c:v>
                </c:pt>
                <c:pt idx="1015">
                  <c:v>6.2128292268480035E-3</c:v>
                </c:pt>
                <c:pt idx="1016">
                  <c:v>6.5966541770014243E-3</c:v>
                </c:pt>
                <c:pt idx="1017">
                  <c:v>-1.6567054629338347E-2</c:v>
                </c:pt>
                <c:pt idx="1018">
                  <c:v>-6.2373387354729493E-3</c:v>
                </c:pt>
                <c:pt idx="1019">
                  <c:v>-5.6327450244084707E-3</c:v>
                </c:pt>
                <c:pt idx="1020">
                  <c:v>-8.0923608113940438E-3</c:v>
                </c:pt>
                <c:pt idx="1021">
                  <c:v>-1.8764277167410078E-2</c:v>
                </c:pt>
                <c:pt idx="1022">
                  <c:v>-1.6684219278310465E-2</c:v>
                </c:pt>
                <c:pt idx="1023">
                  <c:v>5.0732807215334507E-4</c:v>
                </c:pt>
                <c:pt idx="1024">
                  <c:v>6.4792382669444882E-3</c:v>
                </c:pt>
                <c:pt idx="1025">
                  <c:v>2.742946708464001E-3</c:v>
                </c:pt>
                <c:pt idx="1026">
                  <c:v>-1.3342265393847967E-2</c:v>
                </c:pt>
                <c:pt idx="1027">
                  <c:v>6.4501527667759776E-3</c:v>
                </c:pt>
                <c:pt idx="1028">
                  <c:v>-2.7546660670115194E-3</c:v>
                </c:pt>
                <c:pt idx="1029">
                  <c:v>-7.3848582219965837E-3</c:v>
                </c:pt>
                <c:pt idx="1030">
                  <c:v>-1.4198091776465242E-2</c:v>
                </c:pt>
                <c:pt idx="1031">
                  <c:v>-7.6045627376427095E-3</c:v>
                </c:pt>
                <c:pt idx="1032">
                  <c:v>1.1668408220132471E-2</c:v>
                </c:pt>
                <c:pt idx="1033">
                  <c:v>-2.4674355884547359E-3</c:v>
                </c:pt>
                <c:pt idx="1034">
                  <c:v>-1.5531523239761288E-3</c:v>
                </c:pt>
                <c:pt idx="1035">
                  <c:v>-1.5382842657141139E-2</c:v>
                </c:pt>
                <c:pt idx="1036">
                  <c:v>4.4353423054417696E-2</c:v>
                </c:pt>
                <c:pt idx="1037">
                  <c:v>-3.5242043926490323E-2</c:v>
                </c:pt>
                <c:pt idx="1038">
                  <c:v>-3.1593007724025769E-2</c:v>
                </c:pt>
                <c:pt idx="1039">
                  <c:v>-7.8560719640180052E-3</c:v>
                </c:pt>
                <c:pt idx="1040">
                  <c:v>3.5662475822050496E-3</c:v>
                </c:pt>
                <c:pt idx="1041">
                  <c:v>2.830813708365951E-2</c:v>
                </c:pt>
                <c:pt idx="1042">
                  <c:v>8.4929420722779665E-3</c:v>
                </c:pt>
                <c:pt idx="1043">
                  <c:v>5.1109304216517331E-3</c:v>
                </c:pt>
                <c:pt idx="1044">
                  <c:v>1.4908124349936346E-2</c:v>
                </c:pt>
                <c:pt idx="1045">
                  <c:v>1.8788430881348927E-3</c:v>
                </c:pt>
                <c:pt idx="1046">
                  <c:v>-3.0402909586861364E-2</c:v>
                </c:pt>
                <c:pt idx="1047">
                  <c:v>4.4543429844097465E-3</c:v>
                </c:pt>
                <c:pt idx="1048">
                  <c:v>3.792741276695097E-3</c:v>
                </c:pt>
                <c:pt idx="1049">
                  <c:v>3.4586990641167173E-2</c:v>
                </c:pt>
                <c:pt idx="1050">
                  <c:v>-1.0956287223283451E-2</c:v>
                </c:pt>
                <c:pt idx="1051">
                  <c:v>2.016701698574113E-2</c:v>
                </c:pt>
                <c:pt idx="1052">
                  <c:v>-2.0993429112373372E-2</c:v>
                </c:pt>
                <c:pt idx="1053">
                  <c:v>2.4515101530060875E-2</c:v>
                </c:pt>
                <c:pt idx="1054">
                  <c:v>2.4983344437041338E-3</c:v>
                </c:pt>
                <c:pt idx="1055">
                  <c:v>1.3568145317605456E-2</c:v>
                </c:pt>
                <c:pt idx="1056">
                  <c:v>1.1474155829963906E-2</c:v>
                </c:pt>
                <c:pt idx="1057">
                  <c:v>1.1073898012100167E-2</c:v>
                </c:pt>
                <c:pt idx="1058">
                  <c:v>1.923385157877938E-3</c:v>
                </c:pt>
                <c:pt idx="1059">
                  <c:v>-9.9184130539114474E-3</c:v>
                </c:pt>
                <c:pt idx="1060">
                  <c:v>-2.1005008886733796E-3</c:v>
                </c:pt>
                <c:pt idx="1061">
                  <c:v>-1.1658031088082882E-2</c:v>
                </c:pt>
                <c:pt idx="1062">
                  <c:v>-1.4198339886412783E-3</c:v>
                </c:pt>
                <c:pt idx="1063">
                  <c:v>-2.4937110357650671E-2</c:v>
                </c:pt>
                <c:pt idx="1064">
                  <c:v>3.1407739764442075E-3</c:v>
                </c:pt>
                <c:pt idx="1065">
                  <c:v>1.5766521301576613E-2</c:v>
                </c:pt>
                <c:pt idx="1066">
                  <c:v>1.9319682959048828E-2</c:v>
                </c:pt>
                <c:pt idx="1067">
                  <c:v>2.1113451050272673E-2</c:v>
                </c:pt>
                <c:pt idx="1068">
                  <c:v>2.8027498677948236E-3</c:v>
                </c:pt>
                <c:pt idx="1069">
                  <c:v>-2.0566366081315526E-3</c:v>
                </c:pt>
                <c:pt idx="1070">
                  <c:v>-3.5933206510251892E-3</c:v>
                </c:pt>
                <c:pt idx="1071">
                  <c:v>6.5761561306746348E-3</c:v>
                </c:pt>
                <c:pt idx="1072">
                  <c:v>1.1643835616438248E-2</c:v>
                </c:pt>
                <c:pt idx="1073">
                  <c:v>5.7288682881101128E-3</c:v>
                </c:pt>
                <c:pt idx="1074">
                  <c:v>-2.0765366889337781E-2</c:v>
                </c:pt>
                <c:pt idx="1075">
                  <c:v>2.2104706504495013E-2</c:v>
                </c:pt>
                <c:pt idx="1076">
                  <c:v>7.9159768211920587E-3</c:v>
                </c:pt>
                <c:pt idx="1077">
                  <c:v>1.5964272881268851E-2</c:v>
                </c:pt>
                <c:pt idx="1078">
                  <c:v>1.2126111560226815E-3</c:v>
                </c:pt>
                <c:pt idx="1079">
                  <c:v>-3.6838918046022901E-3</c:v>
                </c:pt>
                <c:pt idx="1080">
                  <c:v>3.0897026794306812E-2</c:v>
                </c:pt>
                <c:pt idx="1081">
                  <c:v>-1.6459490001473957E-2</c:v>
                </c:pt>
                <c:pt idx="1082">
                  <c:v>-2.6176441202917417E-2</c:v>
                </c:pt>
                <c:pt idx="1083">
                  <c:v>3.1804657843438951E-2</c:v>
                </c:pt>
                <c:pt idx="1084">
                  <c:v>4.2259122998907364E-3</c:v>
                </c:pt>
                <c:pt idx="1085">
                  <c:v>-6.3864547749889616E-3</c:v>
                </c:pt>
                <c:pt idx="1086">
                  <c:v>-8.8191330343795806E-3</c:v>
                </c:pt>
                <c:pt idx="1087">
                  <c:v>-3.1166742070074985E-2</c:v>
                </c:pt>
                <c:pt idx="1088">
                  <c:v>2.978259741607435E-2</c:v>
                </c:pt>
                <c:pt idx="1089">
                  <c:v>1.1538267748274258E-2</c:v>
                </c:pt>
                <c:pt idx="1090">
                  <c:v>8.4180115560868584E-3</c:v>
                </c:pt>
                <c:pt idx="1091">
                  <c:v>1.338602123981234E-2</c:v>
                </c:pt>
                <c:pt idx="1092">
                  <c:v>-1.4037824137258703E-2</c:v>
                </c:pt>
                <c:pt idx="1093">
                  <c:v>7.6132094126952349E-3</c:v>
                </c:pt>
                <c:pt idx="1094">
                  <c:v>1.7515454813070323E-2</c:v>
                </c:pt>
                <c:pt idx="1095">
                  <c:v>-3.4331452818361426E-2</c:v>
                </c:pt>
                <c:pt idx="1096">
                  <c:v>9.7867878364207295E-3</c:v>
                </c:pt>
                <c:pt idx="1097">
                  <c:v>1.2164367304554261E-2</c:v>
                </c:pt>
                <c:pt idx="1098">
                  <c:v>2.0030289706385101E-3</c:v>
                </c:pt>
                <c:pt idx="1099">
                  <c:v>-1.3554363725012196E-2</c:v>
                </c:pt>
                <c:pt idx="1100">
                  <c:v>-2.2241992882561716E-3</c:v>
                </c:pt>
                <c:pt idx="1101">
                  <c:v>-6.7865457967999435E-3</c:v>
                </c:pt>
                <c:pt idx="1102">
                  <c:v>6.0847880299251811E-3</c:v>
                </c:pt>
                <c:pt idx="1103">
                  <c:v>-7.9813603014078187E-3</c:v>
                </c:pt>
                <c:pt idx="1104">
                  <c:v>1.2443156264054673E-2</c:v>
                </c:pt>
                <c:pt idx="1105">
                  <c:v>-7.7492596248765703E-3</c:v>
                </c:pt>
                <c:pt idx="1106">
                  <c:v>-7.8097796348803325E-3</c:v>
                </c:pt>
                <c:pt idx="1107">
                  <c:v>1.88007620575554E-2</c:v>
                </c:pt>
                <c:pt idx="1108">
                  <c:v>-2.116037596575005E-3</c:v>
                </c:pt>
                <c:pt idx="1109">
                  <c:v>8.7286714666141157E-3</c:v>
                </c:pt>
                <c:pt idx="1110">
                  <c:v>-1.9995111219750689E-2</c:v>
                </c:pt>
                <c:pt idx="1111">
                  <c:v>2.4344008779806421E-2</c:v>
                </c:pt>
                <c:pt idx="1112">
                  <c:v>-2.2499269504236898E-2</c:v>
                </c:pt>
                <c:pt idx="1113">
                  <c:v>1.9430051813472239E-3</c:v>
                </c:pt>
                <c:pt idx="1114">
                  <c:v>-3.1326139923426176E-3</c:v>
                </c:pt>
                <c:pt idx="1115">
                  <c:v>-1.1622106943335915E-2</c:v>
                </c:pt>
                <c:pt idx="1116">
                  <c:v>-3.9364118092354329E-3</c:v>
                </c:pt>
                <c:pt idx="1117">
                  <c:v>1.9861174443937719E-2</c:v>
                </c:pt>
                <c:pt idx="1118">
                  <c:v>2.7770877837945272E-2</c:v>
                </c:pt>
                <c:pt idx="1119">
                  <c:v>-3.3352668213456967E-3</c:v>
                </c:pt>
                <c:pt idx="1120">
                  <c:v>-5.2378873854211361E-3</c:v>
                </c:pt>
                <c:pt idx="1121">
                  <c:v>-2.9155087514016957E-2</c:v>
                </c:pt>
                <c:pt idx="1122">
                  <c:v>2.7369055390950723E-2</c:v>
                </c:pt>
                <c:pt idx="1123">
                  <c:v>-1.6375012220158483E-2</c:v>
                </c:pt>
                <c:pt idx="1124">
                  <c:v>-1.3914426278387831E-2</c:v>
                </c:pt>
                <c:pt idx="1125">
                  <c:v>2.0158242201280333E-3</c:v>
                </c:pt>
                <c:pt idx="1126">
                  <c:v>1.1970024644168362E-2</c:v>
                </c:pt>
                <c:pt idx="1127">
                  <c:v>2.4402365687590064E-2</c:v>
                </c:pt>
                <c:pt idx="1128">
                  <c:v>3.4640015524936861E-2</c:v>
                </c:pt>
                <c:pt idx="1129">
                  <c:v>1.2238582012566885E-2</c:v>
                </c:pt>
                <c:pt idx="1130">
                  <c:v>-7.1339231945151804E-3</c:v>
                </c:pt>
                <c:pt idx="1131">
                  <c:v>-9.9379461577941662E-3</c:v>
                </c:pt>
                <c:pt idx="1132">
                  <c:v>-2.4505183788877559E-3</c:v>
                </c:pt>
                <c:pt idx="1133">
                  <c:v>1.3085789871504071E-2</c:v>
                </c:pt>
                <c:pt idx="1134">
                  <c:v>1.5434833294474247E-2</c:v>
                </c:pt>
                <c:pt idx="1135">
                  <c:v>1.0102865540044165E-2</c:v>
                </c:pt>
                <c:pt idx="1136">
                  <c:v>-2.9414438988907068E-2</c:v>
                </c:pt>
                <c:pt idx="1137">
                  <c:v>-8.5249894608647788E-3</c:v>
                </c:pt>
                <c:pt idx="1138">
                  <c:v>2.3338215146218293E-2</c:v>
                </c:pt>
                <c:pt idx="1139">
                  <c:v>-8.0328701352661881E-3</c:v>
                </c:pt>
                <c:pt idx="1140">
                  <c:v>-8.3771582817520739E-4</c:v>
                </c:pt>
                <c:pt idx="1141">
                  <c:v>4.3318272858540272E-2</c:v>
                </c:pt>
                <c:pt idx="1142">
                  <c:v>-7.5896245368103888E-4</c:v>
                </c:pt>
                <c:pt idx="1143">
                  <c:v>2.2830846215709112E-2</c:v>
                </c:pt>
                <c:pt idx="1144">
                  <c:v>2.9353950989385397E-2</c:v>
                </c:pt>
                <c:pt idx="1145">
                  <c:v>1.2306386590282221E-2</c:v>
                </c:pt>
                <c:pt idx="1146">
                  <c:v>-6.455669670928612E-3</c:v>
                </c:pt>
                <c:pt idx="1147">
                  <c:v>-3.5483734863507858E-2</c:v>
                </c:pt>
                <c:pt idx="1148">
                  <c:v>-1.3123359580052493E-2</c:v>
                </c:pt>
                <c:pt idx="1149">
                  <c:v>1.0505319148936191E-2</c:v>
                </c:pt>
                <c:pt idx="1150">
                  <c:v>9.7381234372943756E-3</c:v>
                </c:pt>
                <c:pt idx="1151">
                  <c:v>1.885399018202356E-2</c:v>
                </c:pt>
                <c:pt idx="1152">
                  <c:v>-1.7012748902059477E-2</c:v>
                </c:pt>
                <c:pt idx="1153">
                  <c:v>3.5134900667996975E-3</c:v>
                </c:pt>
                <c:pt idx="1154">
                  <c:v>-3.1899719040414935E-2</c:v>
                </c:pt>
                <c:pt idx="1155">
                  <c:v>-1.3483948743135287E-2</c:v>
                </c:pt>
                <c:pt idx="1156">
                  <c:v>8.7350079203440002E-3</c:v>
                </c:pt>
                <c:pt idx="1157">
                  <c:v>-3.3964465183058117E-2</c:v>
                </c:pt>
                <c:pt idx="1158">
                  <c:v>1.3236728438066017E-2</c:v>
                </c:pt>
                <c:pt idx="1159">
                  <c:v>2.9244591125779224E-2</c:v>
                </c:pt>
                <c:pt idx="1160">
                  <c:v>-2.2223211899884122E-2</c:v>
                </c:pt>
                <c:pt idx="1161">
                  <c:v>-3.6893646094283863E-3</c:v>
                </c:pt>
                <c:pt idx="1162">
                  <c:v>2.7475541739050886E-2</c:v>
                </c:pt>
                <c:pt idx="1163">
                  <c:v>8.2758620689655782E-3</c:v>
                </c:pt>
                <c:pt idx="1164">
                  <c:v>6.6634305635231931E-3</c:v>
                </c:pt>
                <c:pt idx="1165">
                  <c:v>2.0603191302823024E-3</c:v>
                </c:pt>
                <c:pt idx="1166">
                  <c:v>-2.1173279671026744E-2</c:v>
                </c:pt>
                <c:pt idx="1167">
                  <c:v>-1.7877094972067293E-3</c:v>
                </c:pt>
                <c:pt idx="1168">
                  <c:v>2.0685023505708552E-2</c:v>
                </c:pt>
                <c:pt idx="1169">
                  <c:v>1.7546168355485621E-3</c:v>
                </c:pt>
                <c:pt idx="1170">
                  <c:v>1.1779130358628532E-2</c:v>
                </c:pt>
                <c:pt idx="1171">
                  <c:v>-5.3232926512593688E-3</c:v>
                </c:pt>
                <c:pt idx="1172">
                  <c:v>-1.3314188748205204E-2</c:v>
                </c:pt>
                <c:pt idx="1173">
                  <c:v>-6.3941438461878426E-3</c:v>
                </c:pt>
                <c:pt idx="1174">
                  <c:v>-1.6199183383632194E-2</c:v>
                </c:pt>
                <c:pt idx="1175">
                  <c:v>-2.1067352370640988E-2</c:v>
                </c:pt>
                <c:pt idx="1176">
                  <c:v>9.216589861755867E-5</c:v>
                </c:pt>
                <c:pt idx="1177">
                  <c:v>-3.1794304672380321E-3</c:v>
                </c:pt>
                <c:pt idx="1178">
                  <c:v>-1.4422410206628782E-2</c:v>
                </c:pt>
                <c:pt idx="1179">
                  <c:v>1.1350311899066589E-2</c:v>
                </c:pt>
                <c:pt idx="1180">
                  <c:v>-1.4283726754162149E-2</c:v>
                </c:pt>
                <c:pt idx="1181">
                  <c:v>7.1042107739355013E-3</c:v>
                </c:pt>
                <c:pt idx="1182">
                  <c:v>8.2687097075586757E-3</c:v>
                </c:pt>
                <c:pt idx="1183">
                  <c:v>2.6595005328267526E-2</c:v>
                </c:pt>
                <c:pt idx="1184">
                  <c:v>5.8220878277746111E-3</c:v>
                </c:pt>
                <c:pt idx="1185">
                  <c:v>1.2833168805528067E-2</c:v>
                </c:pt>
                <c:pt idx="1186">
                  <c:v>1.5505936558567886E-3</c:v>
                </c:pt>
                <c:pt idx="1187">
                  <c:v>-2.1763170699340858E-2</c:v>
                </c:pt>
                <c:pt idx="1188">
                  <c:v>1.3881980556183554E-2</c:v>
                </c:pt>
                <c:pt idx="1189">
                  <c:v>2.6848630809026896E-2</c:v>
                </c:pt>
                <c:pt idx="1190">
                  <c:v>-1.563585823488593E-3</c:v>
                </c:pt>
                <c:pt idx="1191">
                  <c:v>3.3365234035148843E-2</c:v>
                </c:pt>
                <c:pt idx="1192">
                  <c:v>1.4944222268995928E-2</c:v>
                </c:pt>
                <c:pt idx="1193">
                  <c:v>3.1895479054334291E-2</c:v>
                </c:pt>
                <c:pt idx="1194">
                  <c:v>-2.4518670364563899E-3</c:v>
                </c:pt>
                <c:pt idx="1195">
                  <c:v>-1.3538560722056626E-2</c:v>
                </c:pt>
                <c:pt idx="1196">
                  <c:v>1.3070827546768776E-3</c:v>
                </c:pt>
                <c:pt idx="1197">
                  <c:v>-1.1054907399853063E-2</c:v>
                </c:pt>
                <c:pt idx="1198">
                  <c:v>3.5061667285401737E-3</c:v>
                </c:pt>
                <c:pt idx="1199">
                  <c:v>-3.4117066754357633E-3</c:v>
                </c:pt>
                <c:pt idx="1200">
                  <c:v>3.0109300886781531E-3</c:v>
                </c:pt>
                <c:pt idx="1201">
                  <c:v>-1.0280450694958466E-3</c:v>
                </c:pt>
                <c:pt idx="1202">
                  <c:v>-1.4942576050714178E-2</c:v>
                </c:pt>
                <c:pt idx="1203">
                  <c:v>-7.9398244880902868E-3</c:v>
                </c:pt>
                <c:pt idx="1204">
                  <c:v>2.0387531592249382E-2</c:v>
                </c:pt>
                <c:pt idx="1205">
                  <c:v>-6.1922060766184638E-4</c:v>
                </c:pt>
                <c:pt idx="1206">
                  <c:v>-2.0694782931967411E-2</c:v>
                </c:pt>
                <c:pt idx="1207">
                  <c:v>-3.1381812046566669E-2</c:v>
                </c:pt>
                <c:pt idx="1208">
                  <c:v>-4.6594669918132436E-3</c:v>
                </c:pt>
                <c:pt idx="1209">
                  <c:v>4.7687798048737951E-3</c:v>
                </c:pt>
                <c:pt idx="1210">
                  <c:v>-1.8200818601410811E-2</c:v>
                </c:pt>
                <c:pt idx="1211">
                  <c:v>-2.776299450062086E-2</c:v>
                </c:pt>
                <c:pt idx="1212">
                  <c:v>9.2601040051090277E-3</c:v>
                </c:pt>
                <c:pt idx="1213">
                  <c:v>5.06666666666667E-2</c:v>
                </c:pt>
                <c:pt idx="1214">
                  <c:v>1.415297255441793E-2</c:v>
                </c:pt>
                <c:pt idx="1215">
                  <c:v>-1.5312831389183514E-2</c:v>
                </c:pt>
                <c:pt idx="1216">
                  <c:v>-1.4646334108726416E-3</c:v>
                </c:pt>
                <c:pt idx="1217">
                  <c:v>-1.4667817083692984E-3</c:v>
                </c:pt>
                <c:pt idx="1218">
                  <c:v>-1.961462023675806E-2</c:v>
                </c:pt>
                <c:pt idx="1219">
                  <c:v>-2.1725718314824515E-2</c:v>
                </c:pt>
                <c:pt idx="1220">
                  <c:v>-1.8469300418937635E-3</c:v>
                </c:pt>
                <c:pt idx="1221">
                  <c:v>1.286217167614403E-2</c:v>
                </c:pt>
                <c:pt idx="1222">
                  <c:v>4.3666176536113254E-3</c:v>
                </c:pt>
                <c:pt idx="1223">
                  <c:v>-1.0381083359212118E-2</c:v>
                </c:pt>
                <c:pt idx="1224">
                  <c:v>8.4278477607925562E-3</c:v>
                </c:pt>
                <c:pt idx="1225">
                  <c:v>8.6241386974883205E-3</c:v>
                </c:pt>
                <c:pt idx="1226">
                  <c:v>-1.5117457798933309E-2</c:v>
                </c:pt>
                <c:pt idx="1227">
                  <c:v>-1.8750559384229828E-2</c:v>
                </c:pt>
                <c:pt idx="1228">
                  <c:v>1.0534956902449046E-2</c:v>
                </c:pt>
                <c:pt idx="1229">
                  <c:v>1.832295333513843E-2</c:v>
                </c:pt>
                <c:pt idx="1230">
                  <c:v>6.7807126396029127E-3</c:v>
                </c:pt>
                <c:pt idx="1231">
                  <c:v>1.8928555707179696E-2</c:v>
                </c:pt>
                <c:pt idx="1232">
                  <c:v>2.3501965697498586E-2</c:v>
                </c:pt>
                <c:pt idx="1233">
                  <c:v>-2.3637668312861401E-2</c:v>
                </c:pt>
                <c:pt idx="1234">
                  <c:v>7.9114608101681031E-3</c:v>
                </c:pt>
                <c:pt idx="1235">
                  <c:v>2.114609247662352E-2</c:v>
                </c:pt>
                <c:pt idx="1236">
                  <c:v>1.8229932372831534E-2</c:v>
                </c:pt>
                <c:pt idx="1237">
                  <c:v>2.2853842663256435E-2</c:v>
                </c:pt>
                <c:pt idx="1238">
                  <c:v>-8.8324258923169908E-3</c:v>
                </c:pt>
                <c:pt idx="1239">
                  <c:v>1.1108398437500075E-2</c:v>
                </c:pt>
                <c:pt idx="1240">
                  <c:v>1.263632339329545E-2</c:v>
                </c:pt>
                <c:pt idx="1241">
                  <c:v>-9.0211818940507168E-3</c:v>
                </c:pt>
                <c:pt idx="1242">
                  <c:v>3.408726339428915E-3</c:v>
                </c:pt>
                <c:pt idx="1243">
                  <c:v>-2.0582710523160568E-2</c:v>
                </c:pt>
                <c:pt idx="1244">
                  <c:v>-1.297641393944343E-2</c:v>
                </c:pt>
                <c:pt idx="1245">
                  <c:v>5.5812799735405752E-3</c:v>
                </c:pt>
                <c:pt idx="1246">
                  <c:v>1.6938699995888686E-2</c:v>
                </c:pt>
                <c:pt idx="1247">
                  <c:v>3.6385688295938309E-4</c:v>
                </c:pt>
                <c:pt idx="1248">
                  <c:v>2.4571613320400955E-2</c:v>
                </c:pt>
                <c:pt idx="1249">
                  <c:v>2.3863994951088603E-2</c:v>
                </c:pt>
                <c:pt idx="1250">
                  <c:v>-1.5101899294987817E-2</c:v>
                </c:pt>
                <c:pt idx="1251">
                  <c:v>-1.1734793663211866E-3</c:v>
                </c:pt>
                <c:pt idx="1252">
                  <c:v>-7.5582533777168864E-3</c:v>
                </c:pt>
                <c:pt idx="1253">
                  <c:v>1.3377002604372247E-2</c:v>
                </c:pt>
                <c:pt idx="1254">
                  <c:v>1.1720727386005183E-2</c:v>
                </c:pt>
                <c:pt idx="1255">
                  <c:v>-1.2123778000153865E-2</c:v>
                </c:pt>
                <c:pt idx="1256">
                  <c:v>1.4960844664354911E-2</c:v>
                </c:pt>
                <c:pt idx="1257">
                  <c:v>-2.0421480941230637E-2</c:v>
                </c:pt>
                <c:pt idx="1258">
                  <c:v>1.8966260433402465E-2</c:v>
                </c:pt>
                <c:pt idx="1259">
                  <c:v>-3.803407299157785E-2</c:v>
                </c:pt>
                <c:pt idx="1260">
                  <c:v>-2.3986567522187351E-3</c:v>
                </c:pt>
                <c:pt idx="1261">
                  <c:v>-1.0779834896209015E-2</c:v>
                </c:pt>
                <c:pt idx="1262">
                  <c:v>1.1059347782053953E-2</c:v>
                </c:pt>
                <c:pt idx="1263">
                  <c:v>4.367337126372205E-3</c:v>
                </c:pt>
                <c:pt idx="1264">
                  <c:v>-3.4108588981529436E-2</c:v>
                </c:pt>
                <c:pt idx="1265">
                  <c:v>-2.0816124235916042E-2</c:v>
                </c:pt>
                <c:pt idx="1266">
                  <c:v>-8.8155896743715347E-3</c:v>
                </c:pt>
                <c:pt idx="1267">
                  <c:v>1.9022086046214727E-2</c:v>
                </c:pt>
                <c:pt idx="1268">
                  <c:v>2.6100392549903949E-2</c:v>
                </c:pt>
                <c:pt idx="1269">
                  <c:v>1.1110658906841356E-2</c:v>
                </c:pt>
                <c:pt idx="1270">
                  <c:v>2.2822411849943713E-2</c:v>
                </c:pt>
                <c:pt idx="1271">
                  <c:v>-1.1451733501239719E-2</c:v>
                </c:pt>
                <c:pt idx="1272">
                  <c:v>6.9267515923567245E-3</c:v>
                </c:pt>
                <c:pt idx="1273">
                  <c:v>2.4116391239029557E-3</c:v>
                </c:pt>
                <c:pt idx="1274">
                  <c:v>-1.6604220074935942E-2</c:v>
                </c:pt>
                <c:pt idx="1275">
                  <c:v>-5.1335525788080575E-3</c:v>
                </c:pt>
                <c:pt idx="1276">
                  <c:v>-5.2003547528823354E-3</c:v>
                </c:pt>
                <c:pt idx="1277">
                  <c:v>7.5779065526602749E-3</c:v>
                </c:pt>
                <c:pt idx="1278">
                  <c:v>8.2046332046332871E-3</c:v>
                </c:pt>
                <c:pt idx="1279">
                  <c:v>-8.257539492580155E-3</c:v>
                </c:pt>
                <c:pt idx="1280">
                  <c:v>-7.9642814046097018E-3</c:v>
                </c:pt>
                <c:pt idx="1281">
                  <c:v>-2.9558447877387147E-2</c:v>
                </c:pt>
                <c:pt idx="1282">
                  <c:v>8.3563131946185337E-3</c:v>
                </c:pt>
                <c:pt idx="1283">
                  <c:v>-1.2016242645230466E-3</c:v>
                </c:pt>
                <c:pt idx="1284">
                  <c:v>-8.2970338104170217E-5</c:v>
                </c:pt>
                <c:pt idx="1285">
                  <c:v>9.0030286686304094E-3</c:v>
                </c:pt>
                <c:pt idx="1286">
                  <c:v>-7.4013157894736144E-3</c:v>
                </c:pt>
                <c:pt idx="1287">
                  <c:v>-1.4788732394366169E-2</c:v>
                </c:pt>
                <c:pt idx="1288">
                  <c:v>-9.0821174788715681E-3</c:v>
                </c:pt>
                <c:pt idx="1289">
                  <c:v>-5.0070013153985593E-3</c:v>
                </c:pt>
                <c:pt idx="1290">
                  <c:v>3.7954710222183733E-3</c:v>
                </c:pt>
                <c:pt idx="1291">
                  <c:v>-9.1341660293992929E-3</c:v>
                </c:pt>
                <c:pt idx="1292">
                  <c:v>-6.5600480212665664E-3</c:v>
                </c:pt>
                <c:pt idx="1293">
                  <c:v>-2.054380664652564E-2</c:v>
                </c:pt>
                <c:pt idx="1294">
                  <c:v>-5.9927734202872354E-3</c:v>
                </c:pt>
                <c:pt idx="1295">
                  <c:v>-2.7130064722049846E-2</c:v>
                </c:pt>
                <c:pt idx="1296">
                  <c:v>-1.0024605850724583E-2</c:v>
                </c:pt>
                <c:pt idx="1297">
                  <c:v>8.9293933535855557E-3</c:v>
                </c:pt>
                <c:pt idx="1298">
                  <c:v>3.102189781021929E-3</c:v>
                </c:pt>
                <c:pt idx="1299">
                  <c:v>-2.0920502092050572E-3</c:v>
                </c:pt>
                <c:pt idx="1300">
                  <c:v>-3.1446540880503042E-3</c:v>
                </c:pt>
                <c:pt idx="1301">
                  <c:v>1.4584190554564979E-2</c:v>
                </c:pt>
                <c:pt idx="1302">
                  <c:v>-1.8159697188175925E-2</c:v>
                </c:pt>
                <c:pt idx="1303">
                  <c:v>7.3890495204002654E-3</c:v>
                </c:pt>
                <c:pt idx="1304">
                  <c:v>-1.0888382687927045E-2</c:v>
                </c:pt>
                <c:pt idx="1305">
                  <c:v>4.7441389157568637E-3</c:v>
                </c:pt>
                <c:pt idx="1306">
                  <c:v>-1.9712111488034219E-3</c:v>
                </c:pt>
                <c:pt idx="1307">
                  <c:v>-8.1760139635294708E-3</c:v>
                </c:pt>
                <c:pt idx="1308">
                  <c:v>5.3258000277868088E-3</c:v>
                </c:pt>
                <c:pt idx="1309">
                  <c:v>-9.7659848903630195E-3</c:v>
                </c:pt>
                <c:pt idx="1310">
                  <c:v>-1.8701153703014561E-2</c:v>
                </c:pt>
                <c:pt idx="1311">
                  <c:v>-7.2532473689200776E-3</c:v>
                </c:pt>
                <c:pt idx="1312">
                  <c:v>-1.9340050618404006E-2</c:v>
                </c:pt>
                <c:pt idx="1313">
                  <c:v>2.678223607323641E-3</c:v>
                </c:pt>
                <c:pt idx="1314">
                  <c:v>-9.1787674226603191E-3</c:v>
                </c:pt>
                <c:pt idx="1315">
                  <c:v>-1.9507891383197813E-2</c:v>
                </c:pt>
                <c:pt idx="1316">
                  <c:v>6.1487702459509007E-3</c:v>
                </c:pt>
                <c:pt idx="1317">
                  <c:v>6.7074079594574166E-3</c:v>
                </c:pt>
                <c:pt idx="1318">
                  <c:v>-2.5170269469943288E-3</c:v>
                </c:pt>
                <c:pt idx="1319">
                  <c:v>-4.205630597199657E-3</c:v>
                </c:pt>
                <c:pt idx="1320">
                  <c:v>1.4806717678624756E-2</c:v>
                </c:pt>
                <c:pt idx="1321">
                  <c:v>-3.8679984332159246E-3</c:v>
                </c:pt>
                <c:pt idx="1322">
                  <c:v>4.4236913246498196E-3</c:v>
                </c:pt>
                <c:pt idx="1323">
                  <c:v>-1.7470026914607258E-2</c:v>
                </c:pt>
                <c:pt idx="1324">
                  <c:v>9.2140651459308408E-3</c:v>
                </c:pt>
                <c:pt idx="1325">
                  <c:v>-1.8753392883580687E-3</c:v>
                </c:pt>
                <c:pt idx="1326">
                  <c:v>8.553770086526526E-3</c:v>
                </c:pt>
                <c:pt idx="1327">
                  <c:v>-3.9219531326599817E-3</c:v>
                </c:pt>
                <c:pt idx="1328">
                  <c:v>-1.1418446697509563E-2</c:v>
                </c:pt>
                <c:pt idx="1329">
                  <c:v>-1.8570148362043303E-2</c:v>
                </c:pt>
                <c:pt idx="1330">
                  <c:v>-2.8407649774260758E-3</c:v>
                </c:pt>
                <c:pt idx="1331">
                  <c:v>-6.8169100066134379E-3</c:v>
                </c:pt>
                <c:pt idx="1332">
                  <c:v>-2.0027659683450272E-2</c:v>
                </c:pt>
                <c:pt idx="1333">
                  <c:v>2.0071085093037861E-2</c:v>
                </c:pt>
                <c:pt idx="1334">
                  <c:v>1.6550522648083571E-2</c:v>
                </c:pt>
                <c:pt idx="1335">
                  <c:v>-3.1654821311557904E-2</c:v>
                </c:pt>
                <c:pt idx="1336">
                  <c:v>-3.3262193534954007E-2</c:v>
                </c:pt>
                <c:pt idx="1337">
                  <c:v>-2.3530045229377582E-2</c:v>
                </c:pt>
                <c:pt idx="1338">
                  <c:v>2.8673835125448592E-3</c:v>
                </c:pt>
                <c:pt idx="1339">
                  <c:v>4.2557871006763122E-2</c:v>
                </c:pt>
                <c:pt idx="1340">
                  <c:v>-1.8195242866937487E-2</c:v>
                </c:pt>
                <c:pt idx="1341">
                  <c:v>-4.6196819939835904E-3</c:v>
                </c:pt>
                <c:pt idx="1342">
                  <c:v>2.1424716675661083E-2</c:v>
                </c:pt>
                <c:pt idx="1343">
                  <c:v>-7.4496750673640642E-3</c:v>
                </c:pt>
                <c:pt idx="1344">
                  <c:v>1.7992121792824417E-2</c:v>
                </c:pt>
                <c:pt idx="1345">
                  <c:v>1.5111901275883634E-2</c:v>
                </c:pt>
                <c:pt idx="1346">
                  <c:v>-5.1511873486791871E-5</c:v>
                </c:pt>
                <c:pt idx="1347">
                  <c:v>1.4269524005769533E-2</c:v>
                </c:pt>
                <c:pt idx="1348">
                  <c:v>1.513535476662105E-2</c:v>
                </c:pt>
                <c:pt idx="1349">
                  <c:v>-2.1714114174213255E-2</c:v>
                </c:pt>
                <c:pt idx="1350">
                  <c:v>-2.3525801667263744E-3</c:v>
                </c:pt>
                <c:pt idx="1351">
                  <c:v>-9.4837750551083934E-3</c:v>
                </c:pt>
                <c:pt idx="1352">
                  <c:v>8.7982610495801418E-4</c:v>
                </c:pt>
                <c:pt idx="1353">
                  <c:v>-1.8718651429753225E-2</c:v>
                </c:pt>
                <c:pt idx="1354">
                  <c:v>-1.5334352110449473E-2</c:v>
                </c:pt>
                <c:pt idx="1355">
                  <c:v>1.2843840308251133E-3</c:v>
                </c:pt>
                <c:pt idx="1356">
                  <c:v>2.6723677177985765E-4</c:v>
                </c:pt>
                <c:pt idx="1357">
                  <c:v>2.2228159230563701E-2</c:v>
                </c:pt>
                <c:pt idx="1358">
                  <c:v>3.7112539856777376E-3</c:v>
                </c:pt>
                <c:pt idx="1359">
                  <c:v>2.296635767107591E-2</c:v>
                </c:pt>
                <c:pt idx="1360">
                  <c:v>2.1025301634169911E-2</c:v>
                </c:pt>
                <c:pt idx="1361">
                  <c:v>1.8348623853211041E-2</c:v>
                </c:pt>
                <c:pt idx="1362">
                  <c:v>-5.5278104191147766E-2</c:v>
                </c:pt>
                <c:pt idx="1363">
                  <c:v>-1.1816532780513093E-2</c:v>
                </c:pt>
                <c:pt idx="1364">
                  <c:v>7.7096554256044416E-3</c:v>
                </c:pt>
                <c:pt idx="1365">
                  <c:v>-2.045383574476933E-2</c:v>
                </c:pt>
                <c:pt idx="1366">
                  <c:v>-7.9166888050582283E-3</c:v>
                </c:pt>
                <c:pt idx="1367">
                  <c:v>1.0925449871465253E-2</c:v>
                </c:pt>
                <c:pt idx="1368">
                  <c:v>1.1655011655011594E-3</c:v>
                </c:pt>
                <c:pt idx="1369">
                  <c:v>-5.0799026351993843E-3</c:v>
                </c:pt>
                <c:pt idx="1370">
                  <c:v>2.7656632273162368E-2</c:v>
                </c:pt>
                <c:pt idx="1371">
                  <c:v>-6.2622916882310734E-3</c:v>
                </c:pt>
                <c:pt idx="1372">
                  <c:v>1.7915733555543972E-2</c:v>
                </c:pt>
                <c:pt idx="1373">
                  <c:v>-3.5814786390377681E-4</c:v>
                </c:pt>
                <c:pt idx="1374">
                  <c:v>1.9449278329409124E-3</c:v>
                </c:pt>
                <c:pt idx="1375">
                  <c:v>-5.2615447486718493E-3</c:v>
                </c:pt>
                <c:pt idx="1376">
                  <c:v>-1.2838288912853695E-2</c:v>
                </c:pt>
                <c:pt idx="1377">
                  <c:v>-3.0692399729490894E-3</c:v>
                </c:pt>
                <c:pt idx="1378">
                  <c:v>-2.1133375078271673E-2</c:v>
                </c:pt>
                <c:pt idx="1379">
                  <c:v>1.0021856175702304E-2</c:v>
                </c:pt>
                <c:pt idx="1380">
                  <c:v>2.1639309653243076E-3</c:v>
                </c:pt>
                <c:pt idx="1381">
                  <c:v>-6.530440278070408E-3</c:v>
                </c:pt>
                <c:pt idx="1382">
                  <c:v>1.2934690415606586E-2</c:v>
                </c:pt>
                <c:pt idx="1383">
                  <c:v>-1.6014234875444851E-2</c:v>
                </c:pt>
                <c:pt idx="1384">
                  <c:v>-3.0635038825656945E-2</c:v>
                </c:pt>
                <c:pt idx="1385">
                  <c:v>7.0778009437069047E-3</c:v>
                </c:pt>
                <c:pt idx="1386">
                  <c:v>-2.1302097521111549E-2</c:v>
                </c:pt>
                <c:pt idx="1387">
                  <c:v>-2.1598753061678889E-2</c:v>
                </c:pt>
                <c:pt idx="1388">
                  <c:v>2.9585798816568632E-3</c:v>
                </c:pt>
                <c:pt idx="1389">
                  <c:v>1.5656909462219145E-2</c:v>
                </c:pt>
                <c:pt idx="1390">
                  <c:v>-1.1896782841823031E-2</c:v>
                </c:pt>
                <c:pt idx="1391">
                  <c:v>-1.3622746029054302E-2</c:v>
                </c:pt>
                <c:pt idx="1392">
                  <c:v>2.4068767908309391E-2</c:v>
                </c:pt>
                <c:pt idx="1393">
                  <c:v>-2.1824286513710003E-2</c:v>
                </c:pt>
                <c:pt idx="1394">
                  <c:v>1.3729977116704675E-2</c:v>
                </c:pt>
                <c:pt idx="1395">
                  <c:v>7.167042889390577E-3</c:v>
                </c:pt>
                <c:pt idx="1396">
                  <c:v>-1.103826973721073E-2</c:v>
                </c:pt>
                <c:pt idx="1397">
                  <c:v>-1.6997167138810842E-3</c:v>
                </c:pt>
                <c:pt idx="1398">
                  <c:v>-1.3166855845629929E-2</c:v>
                </c:pt>
                <c:pt idx="1399">
                  <c:v>-1.0121923165401375E-2</c:v>
                </c:pt>
                <c:pt idx="1400">
                  <c:v>-1.9753660237044122E-3</c:v>
                </c:pt>
                <c:pt idx="1401">
                  <c:v>-1.0769589009197778E-2</c:v>
                </c:pt>
                <c:pt idx="1402">
                  <c:v>-2.5539928205731793E-2</c:v>
                </c:pt>
                <c:pt idx="1403">
                  <c:v>1.1655293194033496E-2</c:v>
                </c:pt>
                <c:pt idx="1404">
                  <c:v>-9.1332378223495762E-3</c:v>
                </c:pt>
                <c:pt idx="1405">
                  <c:v>1.2952587505271264E-2</c:v>
                </c:pt>
                <c:pt idx="1406">
                  <c:v>-2.0815986677768191E-3</c:v>
                </c:pt>
                <c:pt idx="1407">
                  <c:v>4.469873055605221E-2</c:v>
                </c:pt>
                <c:pt idx="1408">
                  <c:v>9.1847795082435606E-3</c:v>
                </c:pt>
                <c:pt idx="1409">
                  <c:v>-2.08027133973997E-2</c:v>
                </c:pt>
                <c:pt idx="1410">
                  <c:v>-2.118692991571405E-2</c:v>
                </c:pt>
                <c:pt idx="1411">
                  <c:v>-1.3742258920672441E-2</c:v>
                </c:pt>
                <c:pt idx="1412">
                  <c:v>-6.3389546704939737E-3</c:v>
                </c:pt>
                <c:pt idx="1413">
                  <c:v>-2.5637939335580111E-2</c:v>
                </c:pt>
                <c:pt idx="1414">
                  <c:v>-1.7294626312538672E-2</c:v>
                </c:pt>
                <c:pt idx="1415">
                  <c:v>6.2853551225640683E-4</c:v>
                </c:pt>
                <c:pt idx="1416">
                  <c:v>-2.4246231155778803E-2</c:v>
                </c:pt>
                <c:pt idx="1417">
                  <c:v>-1.1587485515643543E-3</c:v>
                </c:pt>
                <c:pt idx="1418">
                  <c:v>4.0603248259860501E-3</c:v>
                </c:pt>
                <c:pt idx="1419">
                  <c:v>-1.5405353360292738E-2</c:v>
                </c:pt>
                <c:pt idx="1420">
                  <c:v>9.9093813156008233E-3</c:v>
                </c:pt>
                <c:pt idx="1421">
                  <c:v>1.6783939061389898E-3</c:v>
                </c:pt>
                <c:pt idx="1422">
                  <c:v>1.7658052458593861E-2</c:v>
                </c:pt>
                <c:pt idx="1423">
                  <c:v>1.0828953201190603E-2</c:v>
                </c:pt>
                <c:pt idx="1424">
                  <c:v>-2.9444931712817872E-3</c:v>
                </c:pt>
                <c:pt idx="1425">
                  <c:v>-2.0735155513667137E-3</c:v>
                </c:pt>
                <c:pt idx="1426">
                  <c:v>7.6816521848633605E-3</c:v>
                </c:pt>
                <c:pt idx="1427">
                  <c:v>6.3109222694327626E-3</c:v>
                </c:pt>
                <c:pt idx="1428">
                  <c:v>-2.6265135051226438E-2</c:v>
                </c:pt>
                <c:pt idx="1429">
                  <c:v>1.4985333503379635E-2</c:v>
                </c:pt>
                <c:pt idx="1430">
                  <c:v>-8.4186718602750205E-3</c:v>
                </c:pt>
                <c:pt idx="1431">
                  <c:v>1.8247481467401603E-2</c:v>
                </c:pt>
                <c:pt idx="1432">
                  <c:v>3.2356418393378245E-3</c:v>
                </c:pt>
                <c:pt idx="1433">
                  <c:v>-9.7996650747378539E-3</c:v>
                </c:pt>
                <c:pt idx="1434">
                  <c:v>3.7582211086753693E-4</c:v>
                </c:pt>
                <c:pt idx="1435">
                  <c:v>2.3041763195792236E-2</c:v>
                </c:pt>
                <c:pt idx="1436">
                  <c:v>-1.1383805618458812E-2</c:v>
                </c:pt>
                <c:pt idx="1437">
                  <c:v>-2.6496626013743585E-2</c:v>
                </c:pt>
                <c:pt idx="1438">
                  <c:v>-3.6883942766296504E-3</c:v>
                </c:pt>
                <c:pt idx="1439">
                  <c:v>2.0233612050807533E-2</c:v>
                </c:pt>
                <c:pt idx="1440">
                  <c:v>2.546296296296292E-2</c:v>
                </c:pt>
                <c:pt idx="1441">
                  <c:v>1.6655481666768286E-2</c:v>
                </c:pt>
                <c:pt idx="1442">
                  <c:v>-3.3005280844935189E-2</c:v>
                </c:pt>
                <c:pt idx="1443">
                  <c:v>-3.3511232468660299E-3</c:v>
                </c:pt>
                <c:pt idx="1444">
                  <c:v>-7.0983810709837258E-3</c:v>
                </c:pt>
                <c:pt idx="1445">
                  <c:v>-2.3830427693465159E-3</c:v>
                </c:pt>
                <c:pt idx="1446">
                  <c:v>-1.6846869499622871E-2</c:v>
                </c:pt>
                <c:pt idx="1447">
                  <c:v>-3.9641943734015639E-3</c:v>
                </c:pt>
                <c:pt idx="1448">
                  <c:v>-1.8230838361792293E-2</c:v>
                </c:pt>
                <c:pt idx="1449">
                  <c:v>3.6942591866091314E-2</c:v>
                </c:pt>
                <c:pt idx="1450">
                  <c:v>1.3241692414402418E-3</c:v>
                </c:pt>
                <c:pt idx="1451">
                  <c:v>-7.7455919395467135E-3</c:v>
                </c:pt>
                <c:pt idx="1452">
                  <c:v>-1.9166084914640998E-2</c:v>
                </c:pt>
                <c:pt idx="1453">
                  <c:v>1.5528955030734242E-2</c:v>
                </c:pt>
                <c:pt idx="1454">
                  <c:v>9.5571838165020712E-3</c:v>
                </c:pt>
                <c:pt idx="1455">
                  <c:v>1.8680971915430788E-2</c:v>
                </c:pt>
                <c:pt idx="1456">
                  <c:v>5.8856328604176764E-3</c:v>
                </c:pt>
                <c:pt idx="1457">
                  <c:v>-6.9598423256961306E-3</c:v>
                </c:pt>
                <c:pt idx="1458">
                  <c:v>-1.1102152204924593E-2</c:v>
                </c:pt>
                <c:pt idx="1459">
                  <c:v>-1.1665830406422386E-2</c:v>
                </c:pt>
                <c:pt idx="1460">
                  <c:v>-5.96522401319981E-3</c:v>
                </c:pt>
                <c:pt idx="1461">
                  <c:v>1.1172114402451482E-2</c:v>
                </c:pt>
                <c:pt idx="1462">
                  <c:v>-8.2707241618787414E-3</c:v>
                </c:pt>
                <c:pt idx="1463">
                  <c:v>4.9019607843136092E-3</c:v>
                </c:pt>
                <c:pt idx="1464">
                  <c:v>1.2226797592651295E-2</c:v>
                </c:pt>
                <c:pt idx="1465">
                  <c:v>-6.7592940292903522E-3</c:v>
                </c:pt>
                <c:pt idx="1466">
                  <c:v>1.5816005040957905E-2</c:v>
                </c:pt>
                <c:pt idx="1467">
                  <c:v>7.0094907263817093E-3</c:v>
                </c:pt>
                <c:pt idx="1468">
                  <c:v>6.4679068621410797E-3</c:v>
                </c:pt>
                <c:pt idx="1469">
                  <c:v>-6.1203256013164244E-5</c:v>
                </c:pt>
                <c:pt idx="1470">
                  <c:v>3.1827641082140426E-3</c:v>
                </c:pt>
                <c:pt idx="1471">
                  <c:v>-1.3178767541183627E-2</c:v>
                </c:pt>
                <c:pt idx="1472">
                  <c:v>-1.2798318288611485E-2</c:v>
                </c:pt>
                <c:pt idx="1473">
                  <c:v>4.3214129141355686E-3</c:v>
                </c:pt>
                <c:pt idx="1474">
                  <c:v>1.4467448241456678E-2</c:v>
                </c:pt>
                <c:pt idx="1475">
                  <c:v>-3.1964593066142748E-3</c:v>
                </c:pt>
                <c:pt idx="1476">
                  <c:v>8.2634435125801889E-3</c:v>
                </c:pt>
                <c:pt idx="1477">
                  <c:v>-3.2415902140672851E-3</c:v>
                </c:pt>
                <c:pt idx="1478">
                  <c:v>-1.1904031416825169E-2</c:v>
                </c:pt>
                <c:pt idx="1479">
                  <c:v>6.2100229770846622E-4</c:v>
                </c:pt>
                <c:pt idx="1480">
                  <c:v>6.3923539998758843E-3</c:v>
                </c:pt>
                <c:pt idx="1481">
                  <c:v>-1.0421805624074973E-2</c:v>
                </c:pt>
                <c:pt idx="1482">
                  <c:v>-8.9736399326976867E-3</c:v>
                </c:pt>
                <c:pt idx="1483">
                  <c:v>-7.4199836508835239E-3</c:v>
                </c:pt>
                <c:pt idx="1484">
                  <c:v>3.2942667089009203E-3</c:v>
                </c:pt>
                <c:pt idx="1485">
                  <c:v>-2.2794721222453834E-2</c:v>
                </c:pt>
                <c:pt idx="1486">
                  <c:v>4.7169811320755895E-3</c:v>
                </c:pt>
                <c:pt idx="1487">
                  <c:v>4.5018972281174905E-3</c:v>
                </c:pt>
                <c:pt idx="1488">
                  <c:v>3.6494013701260848E-3</c:v>
                </c:pt>
                <c:pt idx="1489">
                  <c:v>-8.4843072212298053E-3</c:v>
                </c:pt>
                <c:pt idx="1490">
                  <c:v>4.8253232966608758E-3</c:v>
                </c:pt>
                <c:pt idx="1491">
                  <c:v>-1.6967601485465524E-2</c:v>
                </c:pt>
                <c:pt idx="1492">
                  <c:v>-1.1593825311014142E-2</c:v>
                </c:pt>
                <c:pt idx="1493">
                  <c:v>1.2981878088962102E-2</c:v>
                </c:pt>
                <c:pt idx="1494">
                  <c:v>-2.0556856622430369E-2</c:v>
                </c:pt>
                <c:pt idx="1495">
                  <c:v>-9.7635494155154014E-3</c:v>
                </c:pt>
                <c:pt idx="1496">
                  <c:v>-8.719565363203511E-3</c:v>
                </c:pt>
                <c:pt idx="1497">
                  <c:v>1.0690845118073026E-2</c:v>
                </c:pt>
                <c:pt idx="1498">
                  <c:v>-2.2293633259690783E-2</c:v>
                </c:pt>
                <c:pt idx="1499">
                  <c:v>-8.9016707751299849E-3</c:v>
                </c:pt>
                <c:pt idx="1500">
                  <c:v>-1.6719635207959209E-2</c:v>
                </c:pt>
                <c:pt idx="1501">
                  <c:v>2.6489600899381748E-2</c:v>
                </c:pt>
                <c:pt idx="1502">
                  <c:v>-3.9701553836676874E-3</c:v>
                </c:pt>
                <c:pt idx="1503">
                  <c:v>-7.7657892928320767E-3</c:v>
                </c:pt>
                <c:pt idx="1504">
                  <c:v>2.2163734589277823E-3</c:v>
                </c:pt>
                <c:pt idx="1505">
                  <c:v>1.3959917069799658E-2</c:v>
                </c:pt>
                <c:pt idx="1506">
                  <c:v>-3.2238276990185319E-2</c:v>
                </c:pt>
                <c:pt idx="1507">
                  <c:v>-1.6620888794985657E-2</c:v>
                </c:pt>
                <c:pt idx="1508">
                  <c:v>3.8673637470457069E-3</c:v>
                </c:pt>
                <c:pt idx="1509">
                  <c:v>-9.5598202183061649E-3</c:v>
                </c:pt>
                <c:pt idx="1510">
                  <c:v>-2.2329467694302545E-2</c:v>
                </c:pt>
                <c:pt idx="1511">
                  <c:v>-1.0756649230088998E-2</c:v>
                </c:pt>
                <c:pt idx="1512">
                  <c:v>2.9045952185893075E-3</c:v>
                </c:pt>
                <c:pt idx="1513">
                  <c:v>5.4953215505718781E-3</c:v>
                </c:pt>
                <c:pt idx="1514">
                  <c:v>3.1240768094534636E-2</c:v>
                </c:pt>
                <c:pt idx="1515">
                  <c:v>-2.54243357444674E-2</c:v>
                </c:pt>
                <c:pt idx="1516">
                  <c:v>-2.2927689594356291E-2</c:v>
                </c:pt>
                <c:pt idx="1517">
                  <c:v>-1.8577015643802638E-2</c:v>
                </c:pt>
                <c:pt idx="1518">
                  <c:v>1.5710016093187087E-2</c:v>
                </c:pt>
                <c:pt idx="1519">
                  <c:v>-1.3731703636637945E-2</c:v>
                </c:pt>
                <c:pt idx="1520">
                  <c:v>-2.3485312117503009E-2</c:v>
                </c:pt>
                <c:pt idx="1521">
                  <c:v>1.3160987074030605E-2</c:v>
                </c:pt>
                <c:pt idx="1522">
                  <c:v>-1.1288950746153312E-2</c:v>
                </c:pt>
                <c:pt idx="1523">
                  <c:v>1.7987018065222359E-2</c:v>
                </c:pt>
                <c:pt idx="1524">
                  <c:v>3.7643082123377824E-3</c:v>
                </c:pt>
                <c:pt idx="1525">
                  <c:v>-1.0026021735802864E-2</c:v>
                </c:pt>
                <c:pt idx="1526">
                  <c:v>1.4534209509083846E-2</c:v>
                </c:pt>
                <c:pt idx="1527">
                  <c:v>1.3182961213137379E-2</c:v>
                </c:pt>
                <c:pt idx="1528">
                  <c:v>2.4067388688327231E-2</c:v>
                </c:pt>
                <c:pt idx="1529">
                  <c:v>-6.0957696827260875E-3</c:v>
                </c:pt>
                <c:pt idx="1530">
                  <c:v>-4.6552870760365314E-3</c:v>
                </c:pt>
                <c:pt idx="1531">
                  <c:v>2.3608017817371992E-2</c:v>
                </c:pt>
                <c:pt idx="1532">
                  <c:v>1.7914128227444148E-2</c:v>
                </c:pt>
                <c:pt idx="1533">
                  <c:v>4.4175276095475922E-3</c:v>
                </c:pt>
                <c:pt idx="1534">
                  <c:v>-1.2981485422430394E-2</c:v>
                </c:pt>
                <c:pt idx="1535">
                  <c:v>-1.6098893201092288E-2</c:v>
                </c:pt>
                <c:pt idx="1536">
                  <c:v>-2.2132943754565385E-2</c:v>
                </c:pt>
                <c:pt idx="1537">
                  <c:v>-1.5238664375886994E-2</c:v>
                </c:pt>
                <c:pt idx="1538">
                  <c:v>-2.8066449214898316E-3</c:v>
                </c:pt>
                <c:pt idx="1539">
                  <c:v>-1.8408641411836419E-2</c:v>
                </c:pt>
                <c:pt idx="1540">
                  <c:v>1.1779293242405536E-2</c:v>
                </c:pt>
                <c:pt idx="1541">
                  <c:v>-4.0211397058823525E-2</c:v>
                </c:pt>
                <c:pt idx="1542">
                  <c:v>-1.2209719894661249E-2</c:v>
                </c:pt>
                <c:pt idx="1543">
                  <c:v>-1.0340927451930854E-2</c:v>
                </c:pt>
                <c:pt idx="1544">
                  <c:v>9.9591836734693791E-3</c:v>
                </c:pt>
                <c:pt idx="1545">
                  <c:v>8.6485612673780094E-3</c:v>
                </c:pt>
                <c:pt idx="1546">
                  <c:v>-1.8991906402756668E-2</c:v>
                </c:pt>
                <c:pt idx="1547">
                  <c:v>4.0026139519685911E-3</c:v>
                </c:pt>
                <c:pt idx="1548">
                  <c:v>-1.6027987958668936E-2</c:v>
                </c:pt>
                <c:pt idx="1549">
                  <c:v>4.9611377542583806E-3</c:v>
                </c:pt>
                <c:pt idx="1550">
                  <c:v>-1.8841533651472817E-2</c:v>
                </c:pt>
                <c:pt idx="1551">
                  <c:v>2.4318658280922958E-3</c:v>
                </c:pt>
                <c:pt idx="1552">
                  <c:v>2.3506775974569082E-2</c:v>
                </c:pt>
                <c:pt idx="1553">
                  <c:v>3.2529628116060513E-2</c:v>
                </c:pt>
                <c:pt idx="1554">
                  <c:v>1.7573023034908677E-2</c:v>
                </c:pt>
                <c:pt idx="1555">
                  <c:v>-1.5869311551925367E-2</c:v>
                </c:pt>
                <c:pt idx="1556">
                  <c:v>-7.7464232076516005E-3</c:v>
                </c:pt>
                <c:pt idx="1557">
                  <c:v>-1.4339201784433977E-2</c:v>
                </c:pt>
                <c:pt idx="1558">
                  <c:v>-9.2136102804493691E-3</c:v>
                </c:pt>
                <c:pt idx="1559">
                  <c:v>-2.716371645321803E-2</c:v>
                </c:pt>
                <c:pt idx="1560">
                  <c:v>-9.4750964279725781E-3</c:v>
                </c:pt>
                <c:pt idx="1561">
                  <c:v>1.7946330314060819E-2</c:v>
                </c:pt>
                <c:pt idx="1562">
                  <c:v>3.5592515592515604E-2</c:v>
                </c:pt>
                <c:pt idx="1563">
                  <c:v>7.3074761101742276E-3</c:v>
                </c:pt>
                <c:pt idx="1564">
                  <c:v>3.5873724489796145E-3</c:v>
                </c:pt>
                <c:pt idx="1565">
                  <c:v>1.0961950909524152E-2</c:v>
                </c:pt>
                <c:pt idx="1566">
                  <c:v>-2.451481103166489E-2</c:v>
                </c:pt>
                <c:pt idx="1567">
                  <c:v>-1.2887635924285207E-2</c:v>
                </c:pt>
                <c:pt idx="1568">
                  <c:v>1.3055895552835647E-2</c:v>
                </c:pt>
                <c:pt idx="1569">
                  <c:v>-3.2219089810713304E-3</c:v>
                </c:pt>
                <c:pt idx="1570">
                  <c:v>-5.4141414141414277E-3</c:v>
                </c:pt>
                <c:pt idx="1571">
                  <c:v>1.381215469613262E-2</c:v>
                </c:pt>
                <c:pt idx="1572">
                  <c:v>-2.9652187850617108E-2</c:v>
                </c:pt>
                <c:pt idx="1573">
                  <c:v>1.8830525272547086E-2</c:v>
                </c:pt>
                <c:pt idx="1574">
                  <c:v>-1.240272373540857E-2</c:v>
                </c:pt>
                <c:pt idx="1575">
                  <c:v>9.2752195682508035E-3</c:v>
                </c:pt>
                <c:pt idx="1576">
                  <c:v>4.0663630448935727E-4</c:v>
                </c:pt>
                <c:pt idx="1577">
                  <c:v>1.186895374359803E-2</c:v>
                </c:pt>
                <c:pt idx="1578">
                  <c:v>1.59877882220615E-2</c:v>
                </c:pt>
                <c:pt idx="1579">
                  <c:v>-1.5498972006958673E-2</c:v>
                </c:pt>
                <c:pt idx="1580">
                  <c:v>1.3574297188755002E-2</c:v>
                </c:pt>
                <c:pt idx="1581">
                  <c:v>8.4000316982328418E-3</c:v>
                </c:pt>
                <c:pt idx="1582">
                  <c:v>2.2789783889980399E-2</c:v>
                </c:pt>
                <c:pt idx="1583">
                  <c:v>-7.913945447560515E-3</c:v>
                </c:pt>
                <c:pt idx="1584">
                  <c:v>1.9129491945477067E-2</c:v>
                </c:pt>
                <c:pt idx="1585">
                  <c:v>1.1855004179648927E-2</c:v>
                </c:pt>
                <c:pt idx="1586">
                  <c:v>-6.5339842283139654E-3</c:v>
                </c:pt>
                <c:pt idx="1587">
                  <c:v>1.6102207438766218E-2</c:v>
                </c:pt>
                <c:pt idx="1588">
                  <c:v>-5.4311435161073568E-3</c:v>
                </c:pt>
                <c:pt idx="1589">
                  <c:v>1.4736684619988023E-2</c:v>
                </c:pt>
                <c:pt idx="1590">
                  <c:v>-1.1795060818282092E-3</c:v>
                </c:pt>
                <c:pt idx="1591">
                  <c:v>2.1403793637906269E-3</c:v>
                </c:pt>
                <c:pt idx="1592">
                  <c:v>1.4729709824715617E-3</c:v>
                </c:pt>
                <c:pt idx="1593">
                  <c:v>1.6325930283865267E-2</c:v>
                </c:pt>
                <c:pt idx="1594">
                  <c:v>-9.4066570188129856E-4</c:v>
                </c:pt>
                <c:pt idx="1595">
                  <c:v>9.5603679293111699E-3</c:v>
                </c:pt>
                <c:pt idx="1596">
                  <c:v>9.8285386326135635E-3</c:v>
                </c:pt>
                <c:pt idx="1597">
                  <c:v>-1.3142938334754151E-2</c:v>
                </c:pt>
                <c:pt idx="1598">
                  <c:v>1.497372399395301E-2</c:v>
                </c:pt>
                <c:pt idx="1599">
                  <c:v>2.354776934534359E-2</c:v>
                </c:pt>
                <c:pt idx="1600">
                  <c:v>8.4540225902570779E-3</c:v>
                </c:pt>
                <c:pt idx="1601">
                  <c:v>6.8027210884354363E-3</c:v>
                </c:pt>
                <c:pt idx="1602">
                  <c:v>-1.3035763035763011E-2</c:v>
                </c:pt>
                <c:pt idx="1603">
                  <c:v>2.0676301777193696E-2</c:v>
                </c:pt>
                <c:pt idx="1604">
                  <c:v>-2.3712737127371274E-2</c:v>
                </c:pt>
                <c:pt idx="1605">
                  <c:v>2.6370575988896284E-3</c:v>
                </c:pt>
                <c:pt idx="1606">
                  <c:v>2.4847729789590281E-2</c:v>
                </c:pt>
                <c:pt idx="1607">
                  <c:v>-1.0468021881542399E-2</c:v>
                </c:pt>
                <c:pt idx="1608">
                  <c:v>8.8725088725087557E-3</c:v>
                </c:pt>
                <c:pt idx="1609">
                  <c:v>-1.1026924638073303E-2</c:v>
                </c:pt>
                <c:pt idx="1610">
                  <c:v>1.0739448662699181E-2</c:v>
                </c:pt>
                <c:pt idx="1611">
                  <c:v>-2.1859772604222998E-2</c:v>
                </c:pt>
                <c:pt idx="1612">
                  <c:v>-6.0887013076869542E-3</c:v>
                </c:pt>
                <c:pt idx="1613">
                  <c:v>-9.6762965541247106E-3</c:v>
                </c:pt>
                <c:pt idx="1614">
                  <c:v>2.0385210178547764E-3</c:v>
                </c:pt>
                <c:pt idx="1615">
                  <c:v>-2.644686075061389E-2</c:v>
                </c:pt>
                <c:pt idx="1616">
                  <c:v>2.4138924917134992E-2</c:v>
                </c:pt>
                <c:pt idx="1617">
                  <c:v>5.2768592133961871E-3</c:v>
                </c:pt>
                <c:pt idx="1618">
                  <c:v>-7.2788353863381308E-3</c:v>
                </c:pt>
                <c:pt idx="1619">
                  <c:v>2.3829667230682427E-2</c:v>
                </c:pt>
                <c:pt idx="1620">
                  <c:v>6.8861038424396806E-5</c:v>
                </c:pt>
                <c:pt idx="1621">
                  <c:v>4.4068030021346474E-3</c:v>
                </c:pt>
                <c:pt idx="1622">
                  <c:v>4.9359018303969208E-3</c:v>
                </c:pt>
                <c:pt idx="1623">
                  <c:v>2.5445119039497848E-2</c:v>
                </c:pt>
                <c:pt idx="1624">
                  <c:v>2.8605641298563521E-3</c:v>
                </c:pt>
                <c:pt idx="1625">
                  <c:v>-1.6384742951907123E-2</c:v>
                </c:pt>
                <c:pt idx="1626">
                  <c:v>1.8208794173186554E-3</c:v>
                </c:pt>
                <c:pt idx="1627">
                  <c:v>7.0010097610231706E-3</c:v>
                </c:pt>
                <c:pt idx="1628">
                  <c:v>0</c:v>
                </c:pt>
                <c:pt idx="1629">
                  <c:v>-9.8937094725582569E-3</c:v>
                </c:pt>
                <c:pt idx="1630">
                  <c:v>-1.2288164202282232E-2</c:v>
                </c:pt>
                <c:pt idx="1631">
                  <c:v>-2.6317588351903714E-2</c:v>
                </c:pt>
                <c:pt idx="1632">
                  <c:v>7.9331648413366717E-3</c:v>
                </c:pt>
                <c:pt idx="1633">
                  <c:v>-1.2746395486522144E-2</c:v>
                </c:pt>
                <c:pt idx="1634">
                  <c:v>-9.7361365881190581E-3</c:v>
                </c:pt>
                <c:pt idx="1635">
                  <c:v>8.4781989170703738E-3</c:v>
                </c:pt>
                <c:pt idx="1636">
                  <c:v>1.7379018014835601E-2</c:v>
                </c:pt>
                <c:pt idx="1637">
                  <c:v>-1.5901673494896133E-2</c:v>
                </c:pt>
                <c:pt idx="1638">
                  <c:v>-5.1510019757267126E-3</c:v>
                </c:pt>
                <c:pt idx="1639">
                  <c:v>-5.8160153202356304E-3</c:v>
                </c:pt>
                <c:pt idx="1640">
                  <c:v>8.3470072055362495E-3</c:v>
                </c:pt>
                <c:pt idx="1641">
                  <c:v>-1.5989811801330061E-2</c:v>
                </c:pt>
                <c:pt idx="1642">
                  <c:v>-1.2223180903077486E-2</c:v>
                </c:pt>
                <c:pt idx="1643">
                  <c:v>7.0607075265686336E-3</c:v>
                </c:pt>
                <c:pt idx="1644">
                  <c:v>-9.1073364654860201E-3</c:v>
                </c:pt>
                <c:pt idx="1645">
                  <c:v>-1.5829017433802727E-2</c:v>
                </c:pt>
                <c:pt idx="1646">
                  <c:v>2.2235398754818513E-4</c:v>
                </c:pt>
                <c:pt idx="1647">
                  <c:v>-1.400518710633558E-2</c:v>
                </c:pt>
                <c:pt idx="1648">
                  <c:v>-3.9080114234180839E-3</c:v>
                </c:pt>
                <c:pt idx="1649">
                  <c:v>2.0597555454957131E-2</c:v>
                </c:pt>
                <c:pt idx="1650">
                  <c:v>-2.4395653138169029E-3</c:v>
                </c:pt>
                <c:pt idx="1651">
                  <c:v>-1.7044612420334206E-3</c:v>
                </c:pt>
                <c:pt idx="1652">
                  <c:v>-7.0521861777152178E-3</c:v>
                </c:pt>
                <c:pt idx="1653">
                  <c:v>-2.3549641148325192E-2</c:v>
                </c:pt>
                <c:pt idx="1654">
                  <c:v>3.2156802695045361E-3</c:v>
                </c:pt>
                <c:pt idx="1655">
                  <c:v>1.6408456078760632E-2</c:v>
                </c:pt>
                <c:pt idx="1656">
                  <c:v>2.0273314311458089E-2</c:v>
                </c:pt>
                <c:pt idx="1657">
                  <c:v>4.5334118339711488E-2</c:v>
                </c:pt>
                <c:pt idx="1658">
                  <c:v>-4.2945649112924901E-3</c:v>
                </c:pt>
                <c:pt idx="1659">
                  <c:v>3.606024181573859E-3</c:v>
                </c:pt>
                <c:pt idx="1660">
                  <c:v>-1.6908552909680186E-2</c:v>
                </c:pt>
                <c:pt idx="1661">
                  <c:v>2.9525584061917763E-2</c:v>
                </c:pt>
                <c:pt idx="1662">
                  <c:v>1.6010023666991589E-2</c:v>
                </c:pt>
                <c:pt idx="1663">
                  <c:v>1.5552206083858466E-2</c:v>
                </c:pt>
                <c:pt idx="1664">
                  <c:v>9.7820953922958722E-3</c:v>
                </c:pt>
                <c:pt idx="1665">
                  <c:v>-1.6702298236237305E-3</c:v>
                </c:pt>
                <c:pt idx="1666">
                  <c:v>-3.9617212072542429E-2</c:v>
                </c:pt>
                <c:pt idx="1667">
                  <c:v>2.0137969479478886E-2</c:v>
                </c:pt>
                <c:pt idx="1668">
                  <c:v>1.0860655737704941E-2</c:v>
                </c:pt>
                <c:pt idx="1669">
                  <c:v>4.459760794648264E-3</c:v>
                </c:pt>
                <c:pt idx="1670">
                  <c:v>-1.2579885637403327E-2</c:v>
                </c:pt>
                <c:pt idx="1671">
                  <c:v>1.403460961983923E-2</c:v>
                </c:pt>
                <c:pt idx="1672">
                  <c:v>5.1061542596075715E-3</c:v>
                </c:pt>
                <c:pt idx="1673">
                  <c:v>3.5427807486631095E-3</c:v>
                </c:pt>
                <c:pt idx="1674">
                  <c:v>-1.7051888363418387E-2</c:v>
                </c:pt>
                <c:pt idx="1675">
                  <c:v>-1.7212170495358083E-2</c:v>
                </c:pt>
                <c:pt idx="1676">
                  <c:v>-1.0342687719782505E-3</c:v>
                </c:pt>
                <c:pt idx="1677">
                  <c:v>-1.3114301490888855E-3</c:v>
                </c:pt>
                <c:pt idx="1678">
                  <c:v>-1.5965166908563151E-2</c:v>
                </c:pt>
                <c:pt idx="1679">
                  <c:v>2.7742660486023439E-2</c:v>
                </c:pt>
                <c:pt idx="1680">
                  <c:v>-6.560513906922763E-3</c:v>
                </c:pt>
                <c:pt idx="1681">
                  <c:v>-6.1910985760475616E-4</c:v>
                </c:pt>
                <c:pt idx="1682">
                  <c:v>4.5429515418501966E-3</c:v>
                </c:pt>
                <c:pt idx="1683">
                  <c:v>2.3571330683842661E-2</c:v>
                </c:pt>
                <c:pt idx="1684">
                  <c:v>-1.1848975766501419E-2</c:v>
                </c:pt>
                <c:pt idx="1685">
                  <c:v>-2.5066052435472157E-3</c:v>
                </c:pt>
                <c:pt idx="1686">
                  <c:v>-1.9695734854659096E-2</c:v>
                </c:pt>
                <c:pt idx="1687">
                  <c:v>1.690453096854647E-2</c:v>
                </c:pt>
                <c:pt idx="1688">
                  <c:v>7.1535631557433669E-3</c:v>
                </c:pt>
                <c:pt idx="1689">
                  <c:v>2.8411012649664307E-3</c:v>
                </c:pt>
                <c:pt idx="1690">
                  <c:v>4.9241146711635061E-3</c:v>
                </c:pt>
                <c:pt idx="1691">
                  <c:v>2.899718082964171E-2</c:v>
                </c:pt>
                <c:pt idx="1692">
                  <c:v>-1.369863013698682E-3</c:v>
                </c:pt>
                <c:pt idx="1693">
                  <c:v>-8.7530210987001329E-3</c:v>
                </c:pt>
                <c:pt idx="1694">
                  <c:v>-8.7644151565074956E-3</c:v>
                </c:pt>
                <c:pt idx="1695">
                  <c:v>1.6620130301821568E-2</c:v>
                </c:pt>
                <c:pt idx="1696">
                  <c:v>9.6782631441277682E-3</c:v>
                </c:pt>
                <c:pt idx="1697">
                  <c:v>7.9663212435232503E-3</c:v>
                </c:pt>
                <c:pt idx="1698">
                  <c:v>-9.8310094454796704E-3</c:v>
                </c:pt>
                <c:pt idx="1699">
                  <c:v>9.0201168072681047E-3</c:v>
                </c:pt>
                <c:pt idx="1700">
                  <c:v>9.8398610843141113E-3</c:v>
                </c:pt>
                <c:pt idx="1701">
                  <c:v>2.1016431027893519E-3</c:v>
                </c:pt>
                <c:pt idx="1702">
                  <c:v>-1.7159199237367767E-3</c:v>
                </c:pt>
                <c:pt idx="1703">
                  <c:v>7.8940667175960051E-3</c:v>
                </c:pt>
                <c:pt idx="1704">
                  <c:v>6.6953006568974379E-3</c:v>
                </c:pt>
                <c:pt idx="1705">
                  <c:v>-7.2154599071402037E-3</c:v>
                </c:pt>
                <c:pt idx="1706">
                  <c:v>-4.4871389749098125E-3</c:v>
                </c:pt>
                <c:pt idx="1707">
                  <c:v>-2.6599796851193482E-2</c:v>
                </c:pt>
                <c:pt idx="1708">
                  <c:v>9.7828213656818621E-3</c:v>
                </c:pt>
                <c:pt idx="1709">
                  <c:v>-1.3563262933540524E-3</c:v>
                </c:pt>
                <c:pt idx="1710">
                  <c:v>2.4835079549864206E-2</c:v>
                </c:pt>
                <c:pt idx="1711">
                  <c:v>-2.7704152467499778E-2</c:v>
                </c:pt>
                <c:pt idx="1712">
                  <c:v>3.0505614331148108E-3</c:v>
                </c:pt>
                <c:pt idx="1713">
                  <c:v>9.7709330917563047E-3</c:v>
                </c:pt>
                <c:pt idx="1714">
                  <c:v>-1.0637616148670457E-2</c:v>
                </c:pt>
                <c:pt idx="1715">
                  <c:v>8.031608264784048E-3</c:v>
                </c:pt>
                <c:pt idx="1716">
                  <c:v>4.8191222771959133E-3</c:v>
                </c:pt>
                <c:pt idx="1717">
                  <c:v>8.7607110883745013E-3</c:v>
                </c:pt>
                <c:pt idx="1718">
                  <c:v>-3.2963549920761344E-3</c:v>
                </c:pt>
                <c:pt idx="1719">
                  <c:v>-4.9608853272276175E-2</c:v>
                </c:pt>
                <c:pt idx="1720">
                  <c:v>1.6730241584688482E-3</c:v>
                </c:pt>
                <c:pt idx="1721">
                  <c:v>1.8706574024585857E-3</c:v>
                </c:pt>
                <c:pt idx="1722">
                  <c:v>-1.1136303014137209E-2</c:v>
                </c:pt>
                <c:pt idx="1723">
                  <c:v>-2.0432935464292947E-2</c:v>
                </c:pt>
                <c:pt idx="1724">
                  <c:v>8.605259534627565E-3</c:v>
                </c:pt>
                <c:pt idx="1725">
                  <c:v>6.6207084840625144E-3</c:v>
                </c:pt>
                <c:pt idx="1726">
                  <c:v>2.5291564957960526E-2</c:v>
                </c:pt>
                <c:pt idx="1727">
                  <c:v>-1.2300773758349405E-2</c:v>
                </c:pt>
                <c:pt idx="1728">
                  <c:v>1.9082691663876761E-2</c:v>
                </c:pt>
                <c:pt idx="1729">
                  <c:v>6.5703022339042537E-4</c:v>
                </c:pt>
                <c:pt idx="1730">
                  <c:v>-7.4195666447801952E-3</c:v>
                </c:pt>
                <c:pt idx="1731">
                  <c:v>8.2688364093404781E-3</c:v>
                </c:pt>
                <c:pt idx="1732">
                  <c:v>1.4171368586799798E-2</c:v>
                </c:pt>
                <c:pt idx="1733">
                  <c:v>-7.8923534739293484E-3</c:v>
                </c:pt>
                <c:pt idx="1734">
                  <c:v>2.5169535732915915E-2</c:v>
                </c:pt>
                <c:pt idx="1735">
                  <c:v>6.9965653224789235E-4</c:v>
                </c:pt>
                <c:pt idx="1736">
                  <c:v>-1.9068200597470285E-2</c:v>
                </c:pt>
                <c:pt idx="1737">
                  <c:v>-1.7494978293267783E-2</c:v>
                </c:pt>
                <c:pt idx="1738">
                  <c:v>1.727890259183542E-2</c:v>
                </c:pt>
                <c:pt idx="1739">
                  <c:v>-8.2982171799027629E-3</c:v>
                </c:pt>
                <c:pt idx="1740">
                  <c:v>1.7650519709747677E-3</c:v>
                </c:pt>
                <c:pt idx="1741">
                  <c:v>2.0882276168101878E-3</c:v>
                </c:pt>
                <c:pt idx="1742">
                  <c:v>-1.3675436311539981E-3</c:v>
                </c:pt>
                <c:pt idx="1743">
                  <c:v>1.5780893381154328E-2</c:v>
                </c:pt>
                <c:pt idx="1744">
                  <c:v>-7.1900879501829908E-3</c:v>
                </c:pt>
                <c:pt idx="1745">
                  <c:v>-1.7070805043647039E-2</c:v>
                </c:pt>
                <c:pt idx="1746">
                  <c:v>-3.5852904414183207E-2</c:v>
                </c:pt>
                <c:pt idx="1747">
                  <c:v>-1.4328602620087879E-3</c:v>
                </c:pt>
                <c:pt idx="1748">
                  <c:v>-3.7581141100101328E-3</c:v>
                </c:pt>
                <c:pt idx="1749">
                  <c:v>1.9890260631001213E-2</c:v>
                </c:pt>
                <c:pt idx="1750">
                  <c:v>-1.0692669804976296E-2</c:v>
                </c:pt>
                <c:pt idx="1751">
                  <c:v>1.6518251648426199E-2</c:v>
                </c:pt>
                <c:pt idx="1752">
                  <c:v>-4.2129196201684867E-3</c:v>
                </c:pt>
                <c:pt idx="1753">
                  <c:v>2.753340944194476E-2</c:v>
                </c:pt>
                <c:pt idx="1754">
                  <c:v>-1.4966342069145756E-2</c:v>
                </c:pt>
                <c:pt idx="1755">
                  <c:v>-5.9049893842886567E-3</c:v>
                </c:pt>
                <c:pt idx="1756">
                  <c:v>1.107922311953545E-2</c:v>
                </c:pt>
                <c:pt idx="1757">
                  <c:v>1.9143177767509255E-2</c:v>
                </c:pt>
                <c:pt idx="1758">
                  <c:v>1.3666688257011554E-2</c:v>
                </c:pt>
                <c:pt idx="1759">
                  <c:v>-2.0638977635782683E-2</c:v>
                </c:pt>
                <c:pt idx="1760">
                  <c:v>1.755072747439158E-2</c:v>
                </c:pt>
                <c:pt idx="1761">
                  <c:v>2.5647601949212645E-4</c:v>
                </c:pt>
                <c:pt idx="1762">
                  <c:v>-2.525641025641024E-2</c:v>
                </c:pt>
                <c:pt idx="1763">
                  <c:v>-8.4177298434828431E-3</c:v>
                </c:pt>
                <c:pt idx="1764">
                  <c:v>-5.1067780872795475E-3</c:v>
                </c:pt>
                <c:pt idx="1765">
                  <c:v>-1.213252449836673E-2</c:v>
                </c:pt>
                <c:pt idx="1766">
                  <c:v>2.0919090356974118E-2</c:v>
                </c:pt>
                <c:pt idx="1767">
                  <c:v>8.8571617423491532E-3</c:v>
                </c:pt>
                <c:pt idx="1768">
                  <c:v>1.8345017362248649E-2</c:v>
                </c:pt>
                <c:pt idx="1769">
                  <c:v>-1.3446567586694996E-2</c:v>
                </c:pt>
                <c:pt idx="1770">
                  <c:v>-2.5890178687883129E-2</c:v>
                </c:pt>
                <c:pt idx="1771">
                  <c:v>7.4981589341902959E-3</c:v>
                </c:pt>
                <c:pt idx="1772">
                  <c:v>9.3029437171896043E-4</c:v>
                </c:pt>
                <c:pt idx="1773">
                  <c:v>1.400783376485437E-2</c:v>
                </c:pt>
                <c:pt idx="1774">
                  <c:v>1.0802671205970782E-2</c:v>
                </c:pt>
                <c:pt idx="1775">
                  <c:v>2.8499255133106172E-3</c:v>
                </c:pt>
                <c:pt idx="1776">
                  <c:v>1.2981980236388238E-2</c:v>
                </c:pt>
                <c:pt idx="1777">
                  <c:v>1.5939811272634532E-3</c:v>
                </c:pt>
                <c:pt idx="1778">
                  <c:v>3.628493220446834E-3</c:v>
                </c:pt>
                <c:pt idx="1779">
                  <c:v>3.1586959279462069E-2</c:v>
                </c:pt>
                <c:pt idx="1780">
                  <c:v>2.072060993605512E-2</c:v>
                </c:pt>
                <c:pt idx="1781">
                  <c:v>-1.6203843141979386E-2</c:v>
                </c:pt>
                <c:pt idx="1782">
                  <c:v>-2.4491795248591724E-2</c:v>
                </c:pt>
                <c:pt idx="1783">
                  <c:v>2.1780065277429067E-2</c:v>
                </c:pt>
                <c:pt idx="1784">
                  <c:v>-6.5114564776706328E-3</c:v>
                </c:pt>
                <c:pt idx="1785">
                  <c:v>-1.6694490818028927E-3</c:v>
                </c:pt>
                <c:pt idx="1786">
                  <c:v>-7.3083116561377852E-3</c:v>
                </c:pt>
                <c:pt idx="1787">
                  <c:v>5.5527826303967201E-3</c:v>
                </c:pt>
                <c:pt idx="1788">
                  <c:v>-6.0805360799155543E-3</c:v>
                </c:pt>
                <c:pt idx="1789">
                  <c:v>-1.8353205568387525E-2</c:v>
                </c:pt>
                <c:pt idx="1790">
                  <c:v>-2.7726550079491343E-2</c:v>
                </c:pt>
                <c:pt idx="1791">
                  <c:v>-3.7281705801556604E-2</c:v>
                </c:pt>
                <c:pt idx="1792">
                  <c:v>-1.6237516135606946E-2</c:v>
                </c:pt>
                <c:pt idx="1793">
                  <c:v>1.9751381215469509E-2</c:v>
                </c:pt>
                <c:pt idx="1794">
                  <c:v>-1.4425030475416467E-2</c:v>
                </c:pt>
                <c:pt idx="1795">
                  <c:v>6.8714354428577653E-5</c:v>
                </c:pt>
                <c:pt idx="1796">
                  <c:v>1.8070633502817065E-2</c:v>
                </c:pt>
                <c:pt idx="1797">
                  <c:v>2.1056894108119086E-2</c:v>
                </c:pt>
                <c:pt idx="1798">
                  <c:v>-8.3944741886442052E-3</c:v>
                </c:pt>
                <c:pt idx="1799">
                  <c:v>1.1598453539527933E-2</c:v>
                </c:pt>
                <c:pt idx="1800">
                  <c:v>-5.4691618344753831E-3</c:v>
                </c:pt>
                <c:pt idx="1801">
                  <c:v>-3.014642549526278E-2</c:v>
                </c:pt>
                <c:pt idx="1802">
                  <c:v>1.5439267659516266E-2</c:v>
                </c:pt>
                <c:pt idx="1803">
                  <c:v>2.1528525296018678E-3</c:v>
                </c:pt>
                <c:pt idx="1804">
                  <c:v>-1.3426423200859291E-2</c:v>
                </c:pt>
                <c:pt idx="1805">
                  <c:v>3.6744692433314644E-3</c:v>
                </c:pt>
                <c:pt idx="1806">
                  <c:v>5.627118644067881E-3</c:v>
                </c:pt>
                <c:pt idx="1807">
                  <c:v>3.0337760399109324E-3</c:v>
                </c:pt>
                <c:pt idx="1808">
                  <c:v>-1.4854147062777309E-2</c:v>
                </c:pt>
                <c:pt idx="1809">
                  <c:v>-2.3879375042641354E-3</c:v>
                </c:pt>
                <c:pt idx="1810">
                  <c:v>5.2660374777732883E-3</c:v>
                </c:pt>
                <c:pt idx="1811">
                  <c:v>1.224573100210887E-2</c:v>
                </c:pt>
                <c:pt idx="1812">
                  <c:v>-3.0243968008601967E-3</c:v>
                </c:pt>
                <c:pt idx="1813">
                  <c:v>-1.6650937036537677E-2</c:v>
                </c:pt>
                <c:pt idx="1814">
                  <c:v>7.0610817851511692E-3</c:v>
                </c:pt>
                <c:pt idx="1815">
                  <c:v>1.98774676650782E-2</c:v>
                </c:pt>
                <c:pt idx="1816">
                  <c:v>-8.9440662127887021E-3</c:v>
                </c:pt>
                <c:pt idx="1817">
                  <c:v>8.3512931034483377E-3</c:v>
                </c:pt>
                <c:pt idx="1818">
                  <c:v>1.6898209991985047E-2</c:v>
                </c:pt>
                <c:pt idx="1819">
                  <c:v>1.7077175697865314E-2</c:v>
                </c:pt>
                <c:pt idx="1820">
                  <c:v>2.1569260574749782E-2</c:v>
                </c:pt>
                <c:pt idx="1821">
                  <c:v>4.8675643213857405E-3</c:v>
                </c:pt>
                <c:pt idx="1822">
                  <c:v>2.2521389028686362E-2</c:v>
                </c:pt>
                <c:pt idx="1823">
                  <c:v>2.171773102005661E-2</c:v>
                </c:pt>
                <c:pt idx="1824">
                  <c:v>-1.2645270066839251E-2</c:v>
                </c:pt>
                <c:pt idx="1825">
                  <c:v>5.3058486308471342E-3</c:v>
                </c:pt>
                <c:pt idx="18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E5-4390-A8BD-6A277FE5F306}"/>
            </c:ext>
          </c:extLst>
        </c:ser>
        <c:ser>
          <c:idx val="3"/>
          <c:order val="3"/>
          <c:tx>
            <c:v>ENGRO</c:v>
          </c:tx>
          <c:spPr>
            <a:ln w="47520">
              <a:noFill/>
            </a:ln>
          </c:spPr>
          <c:marker>
            <c:symbol val="circle"/>
            <c:size val="3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'Scatter Data'!$A$3:$A$1830</c:f>
              <c:strCache>
                <c:ptCount val="1828"/>
                <c:pt idx="0">
                  <c:v>1.22%</c:v>
                </c:pt>
                <c:pt idx="1">
                  <c:v>-0.13%</c:v>
                </c:pt>
                <c:pt idx="2">
                  <c:v>0.80%</c:v>
                </c:pt>
                <c:pt idx="3">
                  <c:v>0.42%</c:v>
                </c:pt>
                <c:pt idx="4">
                  <c:v>0.54%</c:v>
                </c:pt>
                <c:pt idx="5">
                  <c:v>0.88%</c:v>
                </c:pt>
                <c:pt idx="6">
                  <c:v>-0.32%</c:v>
                </c:pt>
                <c:pt idx="7">
                  <c:v>-0.33%</c:v>
                </c:pt>
                <c:pt idx="8">
                  <c:v>-2.01%</c:v>
                </c:pt>
                <c:pt idx="9">
                  <c:v>0.29%</c:v>
                </c:pt>
                <c:pt idx="10">
                  <c:v>-1.29%</c:v>
                </c:pt>
                <c:pt idx="11">
                  <c:v>-0.84%</c:v>
                </c:pt>
                <c:pt idx="12">
                  <c:v>-0.40%</c:v>
                </c:pt>
                <c:pt idx="13">
                  <c:v>0.78%</c:v>
                </c:pt>
                <c:pt idx="14">
                  <c:v>0.69%</c:v>
                </c:pt>
                <c:pt idx="15">
                  <c:v>0.56%</c:v>
                </c:pt>
                <c:pt idx="16">
                  <c:v>-0.17%</c:v>
                </c:pt>
                <c:pt idx="17">
                  <c:v>0.36%</c:v>
                </c:pt>
                <c:pt idx="18">
                  <c:v>-0.98%</c:v>
                </c:pt>
                <c:pt idx="19">
                  <c:v>1.78%</c:v>
                </c:pt>
                <c:pt idx="20">
                  <c:v>1.87%</c:v>
                </c:pt>
                <c:pt idx="21">
                  <c:v>-0.65%</c:v>
                </c:pt>
                <c:pt idx="22">
                  <c:v>-1.37%</c:v>
                </c:pt>
                <c:pt idx="23">
                  <c:v>-1.28%</c:v>
                </c:pt>
                <c:pt idx="24">
                  <c:v>-1.02%</c:v>
                </c:pt>
                <c:pt idx="25">
                  <c:v>-1.02%</c:v>
                </c:pt>
                <c:pt idx="26">
                  <c:v>0.38%</c:v>
                </c:pt>
                <c:pt idx="27">
                  <c:v>0.24%</c:v>
                </c:pt>
                <c:pt idx="28">
                  <c:v>1.00%</c:v>
                </c:pt>
                <c:pt idx="29">
                  <c:v>0.24%</c:v>
                </c:pt>
                <c:pt idx="30">
                  <c:v>0.28%</c:v>
                </c:pt>
                <c:pt idx="31">
                  <c:v>-0.30%</c:v>
                </c:pt>
                <c:pt idx="32">
                  <c:v>1.80%</c:v>
                </c:pt>
                <c:pt idx="33">
                  <c:v>1.86%</c:v>
                </c:pt>
                <c:pt idx="34">
                  <c:v>-0.86%</c:v>
                </c:pt>
                <c:pt idx="35">
                  <c:v>0.38%</c:v>
                </c:pt>
                <c:pt idx="36">
                  <c:v>-0.26%</c:v>
                </c:pt>
                <c:pt idx="37">
                  <c:v>-0.26%</c:v>
                </c:pt>
                <c:pt idx="38">
                  <c:v>-0.60%</c:v>
                </c:pt>
                <c:pt idx="39">
                  <c:v>-1.27%</c:v>
                </c:pt>
                <c:pt idx="40">
                  <c:v>-0.27%</c:v>
                </c:pt>
                <c:pt idx="41">
                  <c:v>1.10%</c:v>
                </c:pt>
                <c:pt idx="42">
                  <c:v>1.60%</c:v>
                </c:pt>
                <c:pt idx="43">
                  <c:v>1.11%</c:v>
                </c:pt>
                <c:pt idx="44">
                  <c:v>0.20%</c:v>
                </c:pt>
                <c:pt idx="45">
                  <c:v>1.56%</c:v>
                </c:pt>
                <c:pt idx="46">
                  <c:v>-0.05%</c:v>
                </c:pt>
                <c:pt idx="47">
                  <c:v>-0.10%</c:v>
                </c:pt>
                <c:pt idx="48">
                  <c:v>-1.47%</c:v>
                </c:pt>
                <c:pt idx="49">
                  <c:v>1.38%</c:v>
                </c:pt>
                <c:pt idx="50">
                  <c:v>1.18%</c:v>
                </c:pt>
                <c:pt idx="51">
                  <c:v>-1.04%</c:v>
                </c:pt>
                <c:pt idx="52">
                  <c:v>-1.39%</c:v>
                </c:pt>
                <c:pt idx="53">
                  <c:v>2.29%</c:v>
                </c:pt>
                <c:pt idx="54">
                  <c:v>0.29%</c:v>
                </c:pt>
                <c:pt idx="55">
                  <c:v>-1.19%</c:v>
                </c:pt>
                <c:pt idx="56">
                  <c:v>-0.31%</c:v>
                </c:pt>
                <c:pt idx="57">
                  <c:v>0.69%</c:v>
                </c:pt>
                <c:pt idx="58">
                  <c:v>1.25%</c:v>
                </c:pt>
                <c:pt idx="59">
                  <c:v>0.95%</c:v>
                </c:pt>
                <c:pt idx="60">
                  <c:v>1.86%</c:v>
                </c:pt>
                <c:pt idx="61">
                  <c:v>0.86%</c:v>
                </c:pt>
                <c:pt idx="62">
                  <c:v>0.55%</c:v>
                </c:pt>
                <c:pt idx="63">
                  <c:v>1.42%</c:v>
                </c:pt>
                <c:pt idx="64">
                  <c:v>-0.53%</c:v>
                </c:pt>
                <c:pt idx="65">
                  <c:v>-0.63%</c:v>
                </c:pt>
                <c:pt idx="66">
                  <c:v>-1.57%</c:v>
                </c:pt>
                <c:pt idx="67">
                  <c:v>0.90%</c:v>
                </c:pt>
                <c:pt idx="68">
                  <c:v>-0.76%</c:v>
                </c:pt>
                <c:pt idx="69">
                  <c:v>0.32%</c:v>
                </c:pt>
                <c:pt idx="70">
                  <c:v>0.15%</c:v>
                </c:pt>
                <c:pt idx="71">
                  <c:v>-0.35%</c:v>
                </c:pt>
                <c:pt idx="72">
                  <c:v>-0.42%</c:v>
                </c:pt>
                <c:pt idx="73">
                  <c:v>1.16%</c:v>
                </c:pt>
                <c:pt idx="74">
                  <c:v>1.88%</c:v>
                </c:pt>
                <c:pt idx="75">
                  <c:v>-0.44%</c:v>
                </c:pt>
                <c:pt idx="76">
                  <c:v>-0.85%</c:v>
                </c:pt>
                <c:pt idx="77">
                  <c:v>2.22%</c:v>
                </c:pt>
                <c:pt idx="78">
                  <c:v>0.14%</c:v>
                </c:pt>
                <c:pt idx="79">
                  <c:v>-0.60%</c:v>
                </c:pt>
                <c:pt idx="80">
                  <c:v>-0.34%</c:v>
                </c:pt>
                <c:pt idx="81">
                  <c:v>1.01%</c:v>
                </c:pt>
                <c:pt idx="82">
                  <c:v>-0.06%</c:v>
                </c:pt>
                <c:pt idx="83">
                  <c:v>0.14%</c:v>
                </c:pt>
                <c:pt idx="84">
                  <c:v>-1.43%</c:v>
                </c:pt>
                <c:pt idx="85">
                  <c:v>-0.85%</c:v>
                </c:pt>
                <c:pt idx="86">
                  <c:v>1.30%</c:v>
                </c:pt>
                <c:pt idx="87">
                  <c:v>0.51%</c:v>
                </c:pt>
                <c:pt idx="88">
                  <c:v>1.18%</c:v>
                </c:pt>
                <c:pt idx="89">
                  <c:v>-1.89%</c:v>
                </c:pt>
                <c:pt idx="90">
                  <c:v>-0.62%</c:v>
                </c:pt>
                <c:pt idx="91">
                  <c:v>0.39%</c:v>
                </c:pt>
                <c:pt idx="92">
                  <c:v>0.80%</c:v>
                </c:pt>
                <c:pt idx="93">
                  <c:v>2.40%</c:v>
                </c:pt>
                <c:pt idx="94">
                  <c:v>0.26%</c:v>
                </c:pt>
                <c:pt idx="95">
                  <c:v>-0.98%</c:v>
                </c:pt>
                <c:pt idx="96">
                  <c:v>-0.83%</c:v>
                </c:pt>
                <c:pt idx="97">
                  <c:v>-1.48%</c:v>
                </c:pt>
                <c:pt idx="98">
                  <c:v>1.56%</c:v>
                </c:pt>
                <c:pt idx="99">
                  <c:v>-0.14%</c:v>
                </c:pt>
                <c:pt idx="100">
                  <c:v>-0.69%</c:v>
                </c:pt>
                <c:pt idx="101">
                  <c:v>1.34%</c:v>
                </c:pt>
                <c:pt idx="102">
                  <c:v>1.56%</c:v>
                </c:pt>
                <c:pt idx="103">
                  <c:v>-0.33%</c:v>
                </c:pt>
                <c:pt idx="104">
                  <c:v>-0.55%</c:v>
                </c:pt>
                <c:pt idx="105">
                  <c:v>0.37%</c:v>
                </c:pt>
                <c:pt idx="106">
                  <c:v>-1.88%</c:v>
                </c:pt>
                <c:pt idx="107">
                  <c:v>0.60%</c:v>
                </c:pt>
                <c:pt idx="108">
                  <c:v>0.81%</c:v>
                </c:pt>
                <c:pt idx="109">
                  <c:v>0.24%</c:v>
                </c:pt>
                <c:pt idx="110">
                  <c:v>0.84%</c:v>
                </c:pt>
                <c:pt idx="111">
                  <c:v>0.05%</c:v>
                </c:pt>
                <c:pt idx="112">
                  <c:v>0.23%</c:v>
                </c:pt>
                <c:pt idx="113">
                  <c:v>1.61%</c:v>
                </c:pt>
                <c:pt idx="114">
                  <c:v>0.16%</c:v>
                </c:pt>
                <c:pt idx="115">
                  <c:v>1.88%</c:v>
                </c:pt>
                <c:pt idx="116">
                  <c:v>1.01%</c:v>
                </c:pt>
                <c:pt idx="117">
                  <c:v>-0.26%</c:v>
                </c:pt>
                <c:pt idx="118">
                  <c:v>-0.01%</c:v>
                </c:pt>
                <c:pt idx="119">
                  <c:v>-0.73%</c:v>
                </c:pt>
                <c:pt idx="120">
                  <c:v>1.42%</c:v>
                </c:pt>
                <c:pt idx="121">
                  <c:v>3.18%</c:v>
                </c:pt>
                <c:pt idx="122">
                  <c:v>-0.25%</c:v>
                </c:pt>
                <c:pt idx="123">
                  <c:v>0.37%</c:v>
                </c:pt>
                <c:pt idx="124">
                  <c:v>0.59%</c:v>
                </c:pt>
                <c:pt idx="125">
                  <c:v>0.14%</c:v>
                </c:pt>
                <c:pt idx="126">
                  <c:v>-0.15%</c:v>
                </c:pt>
                <c:pt idx="127">
                  <c:v>0.76%</c:v>
                </c:pt>
                <c:pt idx="128">
                  <c:v>-1.62%</c:v>
                </c:pt>
                <c:pt idx="129">
                  <c:v>-0.95%</c:v>
                </c:pt>
                <c:pt idx="130">
                  <c:v>0.30%</c:v>
                </c:pt>
                <c:pt idx="131">
                  <c:v>0.11%</c:v>
                </c:pt>
                <c:pt idx="132">
                  <c:v>0.26%</c:v>
                </c:pt>
                <c:pt idx="133">
                  <c:v>0.70%</c:v>
                </c:pt>
                <c:pt idx="134">
                  <c:v>1.39%</c:v>
                </c:pt>
                <c:pt idx="135">
                  <c:v>-1.16%</c:v>
                </c:pt>
                <c:pt idx="136">
                  <c:v>-0.74%</c:v>
                </c:pt>
                <c:pt idx="137">
                  <c:v>1.25%</c:v>
                </c:pt>
                <c:pt idx="138">
                  <c:v>0.14%</c:v>
                </c:pt>
                <c:pt idx="139">
                  <c:v>0.25%</c:v>
                </c:pt>
                <c:pt idx="140">
                  <c:v>1.41%</c:v>
                </c:pt>
                <c:pt idx="141">
                  <c:v>-2.04%</c:v>
                </c:pt>
                <c:pt idx="142">
                  <c:v>1.73%</c:v>
                </c:pt>
                <c:pt idx="143">
                  <c:v>0.26%</c:v>
                </c:pt>
                <c:pt idx="144">
                  <c:v>-1.41%</c:v>
                </c:pt>
                <c:pt idx="145">
                  <c:v>1.41%</c:v>
                </c:pt>
                <c:pt idx="146">
                  <c:v>2.07%</c:v>
                </c:pt>
                <c:pt idx="147">
                  <c:v>1.74%</c:v>
                </c:pt>
                <c:pt idx="148">
                  <c:v>-0.25%</c:v>
                </c:pt>
                <c:pt idx="149">
                  <c:v>0.83%</c:v>
                </c:pt>
                <c:pt idx="150">
                  <c:v>0.64%</c:v>
                </c:pt>
                <c:pt idx="151">
                  <c:v>-1.52%</c:v>
                </c:pt>
                <c:pt idx="152">
                  <c:v>2.94%</c:v>
                </c:pt>
                <c:pt idx="153">
                  <c:v>-1.09%</c:v>
                </c:pt>
                <c:pt idx="154">
                  <c:v>2.38%</c:v>
                </c:pt>
                <c:pt idx="155">
                  <c:v>0.00%</c:v>
                </c:pt>
                <c:pt idx="156">
                  <c:v>0.34%</c:v>
                </c:pt>
                <c:pt idx="157">
                  <c:v>-0.25%</c:v>
                </c:pt>
                <c:pt idx="158">
                  <c:v>1.62%</c:v>
                </c:pt>
                <c:pt idx="159">
                  <c:v>2.06%</c:v>
                </c:pt>
                <c:pt idx="160">
                  <c:v>0.24%</c:v>
                </c:pt>
                <c:pt idx="161">
                  <c:v>-0.67%</c:v>
                </c:pt>
                <c:pt idx="162">
                  <c:v>-0.76%</c:v>
                </c:pt>
                <c:pt idx="163">
                  <c:v>0.80%</c:v>
                </c:pt>
                <c:pt idx="164">
                  <c:v>-2.49%</c:v>
                </c:pt>
                <c:pt idx="165">
                  <c:v>-1.79%</c:v>
                </c:pt>
                <c:pt idx="166">
                  <c:v>0.05%</c:v>
                </c:pt>
                <c:pt idx="167">
                  <c:v>0.38%</c:v>
                </c:pt>
                <c:pt idx="168">
                  <c:v>-0.51%</c:v>
                </c:pt>
                <c:pt idx="169">
                  <c:v>-0.45%</c:v>
                </c:pt>
                <c:pt idx="170">
                  <c:v>-1.92%</c:v>
                </c:pt>
                <c:pt idx="171">
                  <c:v>-0.41%</c:v>
                </c:pt>
                <c:pt idx="172">
                  <c:v>-0.14%</c:v>
                </c:pt>
                <c:pt idx="173">
                  <c:v>0.37%</c:v>
                </c:pt>
                <c:pt idx="174">
                  <c:v>0.69%</c:v>
                </c:pt>
                <c:pt idx="175">
                  <c:v>-2.17%</c:v>
                </c:pt>
                <c:pt idx="176">
                  <c:v>1.81%</c:v>
                </c:pt>
                <c:pt idx="177">
                  <c:v>-2.36%</c:v>
                </c:pt>
                <c:pt idx="178">
                  <c:v>0.62%</c:v>
                </c:pt>
                <c:pt idx="179">
                  <c:v>-0.48%</c:v>
                </c:pt>
                <c:pt idx="180">
                  <c:v>1.15%</c:v>
                </c:pt>
                <c:pt idx="181">
                  <c:v>0.66%</c:v>
                </c:pt>
                <c:pt idx="182">
                  <c:v>-0.18%</c:v>
                </c:pt>
                <c:pt idx="183">
                  <c:v>-0.32%</c:v>
                </c:pt>
                <c:pt idx="184">
                  <c:v>-1.85%</c:v>
                </c:pt>
                <c:pt idx="185">
                  <c:v>-0.07%</c:v>
                </c:pt>
                <c:pt idx="186">
                  <c:v>-0.79%</c:v>
                </c:pt>
                <c:pt idx="187">
                  <c:v>-1.03%</c:v>
                </c:pt>
                <c:pt idx="188">
                  <c:v>-1.23%</c:v>
                </c:pt>
                <c:pt idx="189">
                  <c:v>0.05%</c:v>
                </c:pt>
                <c:pt idx="190">
                  <c:v>-0.44%</c:v>
                </c:pt>
                <c:pt idx="191">
                  <c:v>1.02%</c:v>
                </c:pt>
                <c:pt idx="192">
                  <c:v>-0.58%</c:v>
                </c:pt>
                <c:pt idx="193">
                  <c:v>-1.65%</c:v>
                </c:pt>
                <c:pt idx="194">
                  <c:v>-0.86%</c:v>
                </c:pt>
                <c:pt idx="195">
                  <c:v>0.07%</c:v>
                </c:pt>
                <c:pt idx="196">
                  <c:v>-2.04%</c:v>
                </c:pt>
                <c:pt idx="197">
                  <c:v>1.53%</c:v>
                </c:pt>
                <c:pt idx="198">
                  <c:v>-0.23%</c:v>
                </c:pt>
                <c:pt idx="199">
                  <c:v>-0.12%</c:v>
                </c:pt>
                <c:pt idx="200">
                  <c:v>0.18%</c:v>
                </c:pt>
                <c:pt idx="201">
                  <c:v>0.79%</c:v>
                </c:pt>
                <c:pt idx="202">
                  <c:v>0.78%</c:v>
                </c:pt>
                <c:pt idx="203">
                  <c:v>-0.83%</c:v>
                </c:pt>
                <c:pt idx="204">
                  <c:v>-0.78%</c:v>
                </c:pt>
                <c:pt idx="205">
                  <c:v>2.27%</c:v>
                </c:pt>
                <c:pt idx="206">
                  <c:v>-2.36%</c:v>
                </c:pt>
                <c:pt idx="207">
                  <c:v>-1.12%</c:v>
                </c:pt>
                <c:pt idx="208">
                  <c:v>-0.97%</c:v>
                </c:pt>
                <c:pt idx="209">
                  <c:v>1.06%</c:v>
                </c:pt>
                <c:pt idx="210">
                  <c:v>0.35%</c:v>
                </c:pt>
                <c:pt idx="211">
                  <c:v>0.39%</c:v>
                </c:pt>
                <c:pt idx="212">
                  <c:v>-0.96%</c:v>
                </c:pt>
                <c:pt idx="213">
                  <c:v>0.40%</c:v>
                </c:pt>
                <c:pt idx="214">
                  <c:v>-1.06%</c:v>
                </c:pt>
                <c:pt idx="215">
                  <c:v>-0.60%</c:v>
                </c:pt>
                <c:pt idx="216">
                  <c:v>-0.83%</c:v>
                </c:pt>
                <c:pt idx="217">
                  <c:v>-0.79%</c:v>
                </c:pt>
                <c:pt idx="218">
                  <c:v>-1.10%</c:v>
                </c:pt>
                <c:pt idx="219">
                  <c:v>0.27%</c:v>
                </c:pt>
                <c:pt idx="220">
                  <c:v>0.37%</c:v>
                </c:pt>
                <c:pt idx="221">
                  <c:v>-0.90%</c:v>
                </c:pt>
                <c:pt idx="222">
                  <c:v>-0.49%</c:v>
                </c:pt>
                <c:pt idx="223">
                  <c:v>0.52%</c:v>
                </c:pt>
                <c:pt idx="224">
                  <c:v>0.20%</c:v>
                </c:pt>
                <c:pt idx="225">
                  <c:v>1.66%</c:v>
                </c:pt>
                <c:pt idx="226">
                  <c:v>-0.26%</c:v>
                </c:pt>
                <c:pt idx="227">
                  <c:v>0.40%</c:v>
                </c:pt>
                <c:pt idx="228">
                  <c:v>0.78%</c:v>
                </c:pt>
                <c:pt idx="229">
                  <c:v>-1.10%</c:v>
                </c:pt>
                <c:pt idx="230">
                  <c:v>-1.20%</c:v>
                </c:pt>
                <c:pt idx="231">
                  <c:v>-1.53%</c:v>
                </c:pt>
                <c:pt idx="232">
                  <c:v>0.50%</c:v>
                </c:pt>
                <c:pt idx="233">
                  <c:v>-0.19%</c:v>
                </c:pt>
                <c:pt idx="234">
                  <c:v>0.32%</c:v>
                </c:pt>
                <c:pt idx="235">
                  <c:v>0.17%</c:v>
                </c:pt>
                <c:pt idx="236">
                  <c:v>0.27%</c:v>
                </c:pt>
                <c:pt idx="237">
                  <c:v>0.75%</c:v>
                </c:pt>
                <c:pt idx="238">
                  <c:v>-0.42%</c:v>
                </c:pt>
                <c:pt idx="239">
                  <c:v>0.88%</c:v>
                </c:pt>
                <c:pt idx="240">
                  <c:v>0.72%</c:v>
                </c:pt>
                <c:pt idx="241">
                  <c:v>-1.54%</c:v>
                </c:pt>
                <c:pt idx="242">
                  <c:v>-0.24%</c:v>
                </c:pt>
                <c:pt idx="243">
                  <c:v>1.79%</c:v>
                </c:pt>
                <c:pt idx="244">
                  <c:v>4.11%</c:v>
                </c:pt>
                <c:pt idx="245">
                  <c:v>-0.02%</c:v>
                </c:pt>
                <c:pt idx="246">
                  <c:v>0.06%</c:v>
                </c:pt>
                <c:pt idx="247">
                  <c:v>-1.82%</c:v>
                </c:pt>
                <c:pt idx="248">
                  <c:v>0.16%</c:v>
                </c:pt>
                <c:pt idx="249">
                  <c:v>-0.04%</c:v>
                </c:pt>
                <c:pt idx="250">
                  <c:v>-0.61%</c:v>
                </c:pt>
                <c:pt idx="251">
                  <c:v>2.04%</c:v>
                </c:pt>
                <c:pt idx="252">
                  <c:v>0.27%</c:v>
                </c:pt>
                <c:pt idx="253">
                  <c:v>-1.09%</c:v>
                </c:pt>
                <c:pt idx="254">
                  <c:v>-1.20%</c:v>
                </c:pt>
                <c:pt idx="255">
                  <c:v>0.87%</c:v>
                </c:pt>
                <c:pt idx="256">
                  <c:v>-0.68%</c:v>
                </c:pt>
                <c:pt idx="257">
                  <c:v>-1.03%</c:v>
                </c:pt>
                <c:pt idx="258">
                  <c:v>-1.88%</c:v>
                </c:pt>
                <c:pt idx="259">
                  <c:v>-0.12%</c:v>
                </c:pt>
                <c:pt idx="260">
                  <c:v>0.71%</c:v>
                </c:pt>
                <c:pt idx="261">
                  <c:v>0.96%</c:v>
                </c:pt>
                <c:pt idx="262">
                  <c:v>0.31%</c:v>
                </c:pt>
                <c:pt idx="263">
                  <c:v>1.90%</c:v>
                </c:pt>
                <c:pt idx="264">
                  <c:v>-1.31%</c:v>
                </c:pt>
                <c:pt idx="265">
                  <c:v>0.25%</c:v>
                </c:pt>
                <c:pt idx="266">
                  <c:v>0.46%</c:v>
                </c:pt>
                <c:pt idx="267">
                  <c:v>-1.82%</c:v>
                </c:pt>
                <c:pt idx="268">
                  <c:v>-0.18%</c:v>
                </c:pt>
                <c:pt idx="269">
                  <c:v>-1.21%</c:v>
                </c:pt>
                <c:pt idx="270">
                  <c:v>0.29%</c:v>
                </c:pt>
                <c:pt idx="271">
                  <c:v>-0.91%</c:v>
                </c:pt>
                <c:pt idx="272">
                  <c:v>0.78%</c:v>
                </c:pt>
                <c:pt idx="273">
                  <c:v>1.83%</c:v>
                </c:pt>
                <c:pt idx="274">
                  <c:v>-0.21%</c:v>
                </c:pt>
                <c:pt idx="275">
                  <c:v>-0.70%</c:v>
                </c:pt>
                <c:pt idx="276">
                  <c:v>-1.34%</c:v>
                </c:pt>
                <c:pt idx="277">
                  <c:v>0.48%</c:v>
                </c:pt>
                <c:pt idx="278">
                  <c:v>-1.01%</c:v>
                </c:pt>
                <c:pt idx="279">
                  <c:v>1.09%</c:v>
                </c:pt>
                <c:pt idx="280">
                  <c:v>1.92%</c:v>
                </c:pt>
                <c:pt idx="281">
                  <c:v>2.00%</c:v>
                </c:pt>
                <c:pt idx="282">
                  <c:v>2.10%</c:v>
                </c:pt>
                <c:pt idx="283">
                  <c:v>0.16%</c:v>
                </c:pt>
                <c:pt idx="284">
                  <c:v>0.56%</c:v>
                </c:pt>
                <c:pt idx="285">
                  <c:v>-0.86%</c:v>
                </c:pt>
                <c:pt idx="286">
                  <c:v>-1.47%</c:v>
                </c:pt>
                <c:pt idx="287">
                  <c:v>0.87%</c:v>
                </c:pt>
                <c:pt idx="288">
                  <c:v>-1.58%</c:v>
                </c:pt>
                <c:pt idx="289">
                  <c:v>1.16%</c:v>
                </c:pt>
                <c:pt idx="290">
                  <c:v>-0.94%</c:v>
                </c:pt>
                <c:pt idx="291">
                  <c:v>-0.20%</c:v>
                </c:pt>
                <c:pt idx="292">
                  <c:v>2.00%</c:v>
                </c:pt>
                <c:pt idx="293">
                  <c:v>0.33%</c:v>
                </c:pt>
                <c:pt idx="294">
                  <c:v>0.61%</c:v>
                </c:pt>
                <c:pt idx="295">
                  <c:v>-0.27%</c:v>
                </c:pt>
                <c:pt idx="296">
                  <c:v>1.01%</c:v>
                </c:pt>
                <c:pt idx="297">
                  <c:v>-0.26%</c:v>
                </c:pt>
                <c:pt idx="298">
                  <c:v>-1.02%</c:v>
                </c:pt>
                <c:pt idx="299">
                  <c:v>-1.09%</c:v>
                </c:pt>
                <c:pt idx="300">
                  <c:v>-1.74%</c:v>
                </c:pt>
                <c:pt idx="301">
                  <c:v>-1.39%</c:v>
                </c:pt>
                <c:pt idx="302">
                  <c:v>0.80%</c:v>
                </c:pt>
                <c:pt idx="303">
                  <c:v>-0.06%</c:v>
                </c:pt>
                <c:pt idx="304">
                  <c:v>-1.05%</c:v>
                </c:pt>
                <c:pt idx="305">
                  <c:v>0.93%</c:v>
                </c:pt>
                <c:pt idx="306">
                  <c:v>0.24%</c:v>
                </c:pt>
                <c:pt idx="307">
                  <c:v>0.54%</c:v>
                </c:pt>
                <c:pt idx="308">
                  <c:v>-1.09%</c:v>
                </c:pt>
                <c:pt idx="309">
                  <c:v>-0.49%</c:v>
                </c:pt>
                <c:pt idx="310">
                  <c:v>0.43%</c:v>
                </c:pt>
                <c:pt idx="311">
                  <c:v>-0.27%</c:v>
                </c:pt>
                <c:pt idx="312">
                  <c:v>1.18%</c:v>
                </c:pt>
                <c:pt idx="313">
                  <c:v>0.91%</c:v>
                </c:pt>
                <c:pt idx="314">
                  <c:v>1.73%</c:v>
                </c:pt>
                <c:pt idx="315">
                  <c:v>0.38%</c:v>
                </c:pt>
                <c:pt idx="316">
                  <c:v>-0.69%</c:v>
                </c:pt>
                <c:pt idx="317">
                  <c:v>0.09%</c:v>
                </c:pt>
                <c:pt idx="318">
                  <c:v>2.67%</c:v>
                </c:pt>
                <c:pt idx="319">
                  <c:v>1.27%</c:v>
                </c:pt>
                <c:pt idx="320">
                  <c:v>-0.14%</c:v>
                </c:pt>
                <c:pt idx="321">
                  <c:v>0.84%</c:v>
                </c:pt>
                <c:pt idx="322">
                  <c:v>-0.20%</c:v>
                </c:pt>
                <c:pt idx="323">
                  <c:v>-0.33%</c:v>
                </c:pt>
                <c:pt idx="324">
                  <c:v>1.32%</c:v>
                </c:pt>
                <c:pt idx="325">
                  <c:v>0.52%</c:v>
                </c:pt>
                <c:pt idx="326">
                  <c:v>1.10%</c:v>
                </c:pt>
                <c:pt idx="327">
                  <c:v>2.02%</c:v>
                </c:pt>
                <c:pt idx="328">
                  <c:v>-0.53%</c:v>
                </c:pt>
                <c:pt idx="329">
                  <c:v>0.39%</c:v>
                </c:pt>
                <c:pt idx="330">
                  <c:v>1.11%</c:v>
                </c:pt>
                <c:pt idx="331">
                  <c:v>0.94%</c:v>
                </c:pt>
                <c:pt idx="332">
                  <c:v>-0.39%</c:v>
                </c:pt>
                <c:pt idx="333">
                  <c:v>0.09%</c:v>
                </c:pt>
                <c:pt idx="334">
                  <c:v>2.22%</c:v>
                </c:pt>
                <c:pt idx="335">
                  <c:v>-0.60%</c:v>
                </c:pt>
                <c:pt idx="336">
                  <c:v>0.56%</c:v>
                </c:pt>
                <c:pt idx="337">
                  <c:v>0.60%</c:v>
                </c:pt>
                <c:pt idx="338">
                  <c:v>-1.59%</c:v>
                </c:pt>
                <c:pt idx="339">
                  <c:v>0.77%</c:v>
                </c:pt>
                <c:pt idx="340">
                  <c:v>-1.49%</c:v>
                </c:pt>
                <c:pt idx="341">
                  <c:v>0.28%</c:v>
                </c:pt>
                <c:pt idx="342">
                  <c:v>1.44%</c:v>
                </c:pt>
                <c:pt idx="343">
                  <c:v>-0.53%</c:v>
                </c:pt>
                <c:pt idx="344">
                  <c:v>-1.69%</c:v>
                </c:pt>
                <c:pt idx="345">
                  <c:v>0.01%</c:v>
                </c:pt>
                <c:pt idx="346">
                  <c:v>0.01%</c:v>
                </c:pt>
                <c:pt idx="347">
                  <c:v>0.17%</c:v>
                </c:pt>
                <c:pt idx="348">
                  <c:v>0.29%</c:v>
                </c:pt>
                <c:pt idx="349">
                  <c:v>0.36%</c:v>
                </c:pt>
                <c:pt idx="350">
                  <c:v>-1.62%</c:v>
                </c:pt>
                <c:pt idx="351">
                  <c:v>1.25%</c:v>
                </c:pt>
                <c:pt idx="352">
                  <c:v>-2.42%</c:v>
                </c:pt>
                <c:pt idx="353">
                  <c:v>-0.37%</c:v>
                </c:pt>
                <c:pt idx="354">
                  <c:v>0.95%</c:v>
                </c:pt>
                <c:pt idx="355">
                  <c:v>-0.83%</c:v>
                </c:pt>
                <c:pt idx="356">
                  <c:v>-1.61%</c:v>
                </c:pt>
                <c:pt idx="357">
                  <c:v>-0.82%</c:v>
                </c:pt>
                <c:pt idx="358">
                  <c:v>-0.52%</c:v>
                </c:pt>
                <c:pt idx="359">
                  <c:v>2.31%</c:v>
                </c:pt>
                <c:pt idx="360">
                  <c:v>-1.66%</c:v>
                </c:pt>
                <c:pt idx="361">
                  <c:v>0.51%</c:v>
                </c:pt>
                <c:pt idx="362">
                  <c:v>-0.19%</c:v>
                </c:pt>
                <c:pt idx="363">
                  <c:v>-0.89%</c:v>
                </c:pt>
                <c:pt idx="364">
                  <c:v>-1.53%</c:v>
                </c:pt>
                <c:pt idx="365">
                  <c:v>-1.31%</c:v>
                </c:pt>
                <c:pt idx="366">
                  <c:v>0.42%</c:v>
                </c:pt>
                <c:pt idx="367">
                  <c:v>0.80%</c:v>
                </c:pt>
                <c:pt idx="368">
                  <c:v>1.53%</c:v>
                </c:pt>
                <c:pt idx="369">
                  <c:v>-1.05%</c:v>
                </c:pt>
                <c:pt idx="370">
                  <c:v>-2.37%</c:v>
                </c:pt>
                <c:pt idx="371">
                  <c:v>0.69%</c:v>
                </c:pt>
                <c:pt idx="372">
                  <c:v>0.63%</c:v>
                </c:pt>
                <c:pt idx="373">
                  <c:v>1.38%</c:v>
                </c:pt>
                <c:pt idx="374">
                  <c:v>-2.11%</c:v>
                </c:pt>
                <c:pt idx="375">
                  <c:v>1.73%</c:v>
                </c:pt>
                <c:pt idx="376">
                  <c:v>0.18%</c:v>
                </c:pt>
                <c:pt idx="377">
                  <c:v>2.32%</c:v>
                </c:pt>
                <c:pt idx="378">
                  <c:v>-0.20%</c:v>
                </c:pt>
                <c:pt idx="379">
                  <c:v>1.61%</c:v>
                </c:pt>
                <c:pt idx="380">
                  <c:v>-0.62%</c:v>
                </c:pt>
                <c:pt idx="381">
                  <c:v>2.47%</c:v>
                </c:pt>
                <c:pt idx="382">
                  <c:v>-0.55%</c:v>
                </c:pt>
                <c:pt idx="383">
                  <c:v>-1.68%</c:v>
                </c:pt>
                <c:pt idx="384">
                  <c:v>0.31%</c:v>
                </c:pt>
                <c:pt idx="385">
                  <c:v>1.33%</c:v>
                </c:pt>
                <c:pt idx="386">
                  <c:v>1.47%</c:v>
                </c:pt>
                <c:pt idx="387">
                  <c:v>-0.03%</c:v>
                </c:pt>
                <c:pt idx="388">
                  <c:v>0.49%</c:v>
                </c:pt>
                <c:pt idx="389">
                  <c:v>0.02%</c:v>
                </c:pt>
                <c:pt idx="390">
                  <c:v>1.56%</c:v>
                </c:pt>
                <c:pt idx="391">
                  <c:v>1.22%</c:v>
                </c:pt>
                <c:pt idx="392">
                  <c:v>-0.54%</c:v>
                </c:pt>
                <c:pt idx="393">
                  <c:v>1.14%</c:v>
                </c:pt>
                <c:pt idx="394">
                  <c:v>0.01%</c:v>
                </c:pt>
                <c:pt idx="395">
                  <c:v>1.38%</c:v>
                </c:pt>
                <c:pt idx="396">
                  <c:v>-0.39%</c:v>
                </c:pt>
                <c:pt idx="397">
                  <c:v>0.14%</c:v>
                </c:pt>
                <c:pt idx="398">
                  <c:v>-0.61%</c:v>
                </c:pt>
                <c:pt idx="399">
                  <c:v>-1.74%</c:v>
                </c:pt>
                <c:pt idx="400">
                  <c:v>-1.34%</c:v>
                </c:pt>
                <c:pt idx="401">
                  <c:v>1.31%</c:v>
                </c:pt>
                <c:pt idx="402">
                  <c:v>0.74%</c:v>
                </c:pt>
                <c:pt idx="403">
                  <c:v>-0.86%</c:v>
                </c:pt>
                <c:pt idx="404">
                  <c:v>0.59%</c:v>
                </c:pt>
                <c:pt idx="405">
                  <c:v>0.07%</c:v>
                </c:pt>
                <c:pt idx="406">
                  <c:v>0.91%</c:v>
                </c:pt>
                <c:pt idx="407">
                  <c:v>-0.47%</c:v>
                </c:pt>
                <c:pt idx="408">
                  <c:v>0.02%</c:v>
                </c:pt>
                <c:pt idx="409">
                  <c:v>-1.27%</c:v>
                </c:pt>
                <c:pt idx="410">
                  <c:v>1.34%</c:v>
                </c:pt>
                <c:pt idx="411">
                  <c:v>0.63%</c:v>
                </c:pt>
                <c:pt idx="412">
                  <c:v>0.17%</c:v>
                </c:pt>
                <c:pt idx="413">
                  <c:v>2.81%</c:v>
                </c:pt>
                <c:pt idx="414">
                  <c:v>1.37%</c:v>
                </c:pt>
                <c:pt idx="415">
                  <c:v>1.66%</c:v>
                </c:pt>
                <c:pt idx="416">
                  <c:v>0.41%</c:v>
                </c:pt>
                <c:pt idx="417">
                  <c:v>-0.55%</c:v>
                </c:pt>
                <c:pt idx="418">
                  <c:v>0.55%</c:v>
                </c:pt>
                <c:pt idx="419">
                  <c:v>0.09%</c:v>
                </c:pt>
                <c:pt idx="420">
                  <c:v>-0.35%</c:v>
                </c:pt>
                <c:pt idx="421">
                  <c:v>1.38%</c:v>
                </c:pt>
                <c:pt idx="422">
                  <c:v>-0.32%</c:v>
                </c:pt>
                <c:pt idx="423">
                  <c:v>0.32%</c:v>
                </c:pt>
                <c:pt idx="424">
                  <c:v>0.18%</c:v>
                </c:pt>
                <c:pt idx="425">
                  <c:v>-1.66%</c:v>
                </c:pt>
                <c:pt idx="426">
                  <c:v>0.64%</c:v>
                </c:pt>
                <c:pt idx="427">
                  <c:v>0.91%</c:v>
                </c:pt>
                <c:pt idx="428">
                  <c:v>0.10%</c:v>
                </c:pt>
                <c:pt idx="429">
                  <c:v>0.33%</c:v>
                </c:pt>
                <c:pt idx="430">
                  <c:v>-0.32%</c:v>
                </c:pt>
                <c:pt idx="431">
                  <c:v>-0.67%</c:v>
                </c:pt>
                <c:pt idx="432">
                  <c:v>-0.67%</c:v>
                </c:pt>
                <c:pt idx="433">
                  <c:v>-2.00%</c:v>
                </c:pt>
                <c:pt idx="434">
                  <c:v>0.65%</c:v>
                </c:pt>
                <c:pt idx="435">
                  <c:v>-1.47%</c:v>
                </c:pt>
                <c:pt idx="436">
                  <c:v>-0.47%</c:v>
                </c:pt>
                <c:pt idx="437">
                  <c:v>-2.33%</c:v>
                </c:pt>
                <c:pt idx="438">
                  <c:v>-0.72%</c:v>
                </c:pt>
                <c:pt idx="439">
                  <c:v>0.65%</c:v>
                </c:pt>
                <c:pt idx="440">
                  <c:v>0.14%</c:v>
                </c:pt>
                <c:pt idx="441">
                  <c:v>0.07%</c:v>
                </c:pt>
                <c:pt idx="442">
                  <c:v>0.31%</c:v>
                </c:pt>
                <c:pt idx="443">
                  <c:v>-1.88%</c:v>
                </c:pt>
                <c:pt idx="444">
                  <c:v>1.03%</c:v>
                </c:pt>
                <c:pt idx="445">
                  <c:v>-0.44%</c:v>
                </c:pt>
                <c:pt idx="446">
                  <c:v>0.07%</c:v>
                </c:pt>
                <c:pt idx="447">
                  <c:v>0.53%</c:v>
                </c:pt>
                <c:pt idx="448">
                  <c:v>-2.97%</c:v>
                </c:pt>
                <c:pt idx="449">
                  <c:v>1.65%</c:v>
                </c:pt>
                <c:pt idx="450">
                  <c:v>-0.35%</c:v>
                </c:pt>
                <c:pt idx="451">
                  <c:v>0.67%</c:v>
                </c:pt>
                <c:pt idx="452">
                  <c:v>-0.35%</c:v>
                </c:pt>
                <c:pt idx="453">
                  <c:v>-0.66%</c:v>
                </c:pt>
                <c:pt idx="454">
                  <c:v>1.53%</c:v>
                </c:pt>
                <c:pt idx="455">
                  <c:v>-1.33%</c:v>
                </c:pt>
                <c:pt idx="456">
                  <c:v>0.37%</c:v>
                </c:pt>
                <c:pt idx="457">
                  <c:v>-0.57%</c:v>
                </c:pt>
                <c:pt idx="458">
                  <c:v>0.62%</c:v>
                </c:pt>
                <c:pt idx="459">
                  <c:v>1.06%</c:v>
                </c:pt>
                <c:pt idx="460">
                  <c:v>0.82%</c:v>
                </c:pt>
                <c:pt idx="461">
                  <c:v>0.67%</c:v>
                </c:pt>
                <c:pt idx="462">
                  <c:v>-0.64%</c:v>
                </c:pt>
                <c:pt idx="463">
                  <c:v>-0.24%</c:v>
                </c:pt>
                <c:pt idx="464">
                  <c:v>0.41%</c:v>
                </c:pt>
                <c:pt idx="465">
                  <c:v>1.40%</c:v>
                </c:pt>
                <c:pt idx="466">
                  <c:v>0.57%</c:v>
                </c:pt>
                <c:pt idx="467">
                  <c:v>-0.18%</c:v>
                </c:pt>
                <c:pt idx="468">
                  <c:v>0.28%</c:v>
                </c:pt>
                <c:pt idx="469">
                  <c:v>1.07%</c:v>
                </c:pt>
                <c:pt idx="470">
                  <c:v>0.57%</c:v>
                </c:pt>
                <c:pt idx="471">
                  <c:v>1.06%</c:v>
                </c:pt>
                <c:pt idx="472">
                  <c:v>-0.42%</c:v>
                </c:pt>
                <c:pt idx="473">
                  <c:v>1.07%</c:v>
                </c:pt>
                <c:pt idx="474">
                  <c:v>-0.37%</c:v>
                </c:pt>
                <c:pt idx="475">
                  <c:v>0.14%</c:v>
                </c:pt>
                <c:pt idx="476">
                  <c:v>0.69%</c:v>
                </c:pt>
                <c:pt idx="477">
                  <c:v>-1.47%</c:v>
                </c:pt>
                <c:pt idx="478">
                  <c:v>-0.25%</c:v>
                </c:pt>
                <c:pt idx="479">
                  <c:v>0.35%</c:v>
                </c:pt>
                <c:pt idx="480">
                  <c:v>0.22%</c:v>
                </c:pt>
                <c:pt idx="481">
                  <c:v>0.98%</c:v>
                </c:pt>
                <c:pt idx="482">
                  <c:v>-2.60%</c:v>
                </c:pt>
                <c:pt idx="483">
                  <c:v>-1.85%</c:v>
                </c:pt>
                <c:pt idx="484">
                  <c:v>1.16%</c:v>
                </c:pt>
                <c:pt idx="485">
                  <c:v>0.87%</c:v>
                </c:pt>
                <c:pt idx="486">
                  <c:v>2.24%</c:v>
                </c:pt>
                <c:pt idx="487">
                  <c:v>-0.10%</c:v>
                </c:pt>
                <c:pt idx="488">
                  <c:v>1.39%</c:v>
                </c:pt>
                <c:pt idx="489">
                  <c:v>2.56%</c:v>
                </c:pt>
                <c:pt idx="490">
                  <c:v>-2.56%</c:v>
                </c:pt>
                <c:pt idx="491">
                  <c:v>-1.84%</c:v>
                </c:pt>
                <c:pt idx="492">
                  <c:v>-0.53%</c:v>
                </c:pt>
                <c:pt idx="493">
                  <c:v>-1.57%</c:v>
                </c:pt>
                <c:pt idx="494">
                  <c:v>1.75%</c:v>
                </c:pt>
                <c:pt idx="495">
                  <c:v>-0.27%</c:v>
                </c:pt>
                <c:pt idx="496">
                  <c:v>-0.76%</c:v>
                </c:pt>
                <c:pt idx="497">
                  <c:v>1.44%</c:v>
                </c:pt>
                <c:pt idx="498">
                  <c:v>0.78%</c:v>
                </c:pt>
                <c:pt idx="499">
                  <c:v>-0.63%</c:v>
                </c:pt>
                <c:pt idx="500">
                  <c:v>0.81%</c:v>
                </c:pt>
                <c:pt idx="501">
                  <c:v>-1.01%</c:v>
                </c:pt>
                <c:pt idx="502">
                  <c:v>-0.76%</c:v>
                </c:pt>
                <c:pt idx="503">
                  <c:v>1.37%</c:v>
                </c:pt>
                <c:pt idx="504">
                  <c:v>-0.92%</c:v>
                </c:pt>
                <c:pt idx="505">
                  <c:v>-0.53%</c:v>
                </c:pt>
                <c:pt idx="506">
                  <c:v>-0.49%</c:v>
                </c:pt>
                <c:pt idx="507">
                  <c:v>-0.60%</c:v>
                </c:pt>
                <c:pt idx="508">
                  <c:v>-2.85%</c:v>
                </c:pt>
                <c:pt idx="509">
                  <c:v>-1.73%</c:v>
                </c:pt>
                <c:pt idx="510">
                  <c:v>0.21%</c:v>
                </c:pt>
                <c:pt idx="511">
                  <c:v>1.60%</c:v>
                </c:pt>
                <c:pt idx="512">
                  <c:v>0.81%</c:v>
                </c:pt>
                <c:pt idx="513">
                  <c:v>-0.55%</c:v>
                </c:pt>
                <c:pt idx="514">
                  <c:v>-0.11%</c:v>
                </c:pt>
                <c:pt idx="515">
                  <c:v>-1.87%</c:v>
                </c:pt>
                <c:pt idx="516">
                  <c:v>-0.26%</c:v>
                </c:pt>
                <c:pt idx="517">
                  <c:v>-0.24%</c:v>
                </c:pt>
                <c:pt idx="518">
                  <c:v>-0.63%</c:v>
                </c:pt>
                <c:pt idx="519">
                  <c:v>0.71%</c:v>
                </c:pt>
                <c:pt idx="520">
                  <c:v>0.48%</c:v>
                </c:pt>
                <c:pt idx="521">
                  <c:v>0.66%</c:v>
                </c:pt>
                <c:pt idx="522">
                  <c:v>2.53%</c:v>
                </c:pt>
                <c:pt idx="523">
                  <c:v>0.64%</c:v>
                </c:pt>
                <c:pt idx="524">
                  <c:v>-2.20%</c:v>
                </c:pt>
                <c:pt idx="525">
                  <c:v>-1.55%</c:v>
                </c:pt>
                <c:pt idx="526">
                  <c:v>-0.03%</c:v>
                </c:pt>
                <c:pt idx="527">
                  <c:v>-0.97%</c:v>
                </c:pt>
                <c:pt idx="528">
                  <c:v>-0.25%</c:v>
                </c:pt>
                <c:pt idx="529">
                  <c:v>1.64%</c:v>
                </c:pt>
                <c:pt idx="530">
                  <c:v>0.13%</c:v>
                </c:pt>
                <c:pt idx="531">
                  <c:v>-1.34%</c:v>
                </c:pt>
                <c:pt idx="532">
                  <c:v>1.66%</c:v>
                </c:pt>
                <c:pt idx="533">
                  <c:v>-0.19%</c:v>
                </c:pt>
                <c:pt idx="534">
                  <c:v>-0.02%</c:v>
                </c:pt>
                <c:pt idx="535">
                  <c:v>0.28%</c:v>
                </c:pt>
                <c:pt idx="536">
                  <c:v>0.62%</c:v>
                </c:pt>
                <c:pt idx="537">
                  <c:v>-0.80%</c:v>
                </c:pt>
                <c:pt idx="538">
                  <c:v>0.10%</c:v>
                </c:pt>
                <c:pt idx="539">
                  <c:v>1.45%</c:v>
                </c:pt>
                <c:pt idx="540">
                  <c:v>1.43%</c:v>
                </c:pt>
                <c:pt idx="541">
                  <c:v>-0.89%</c:v>
                </c:pt>
                <c:pt idx="542">
                  <c:v>0.05%</c:v>
                </c:pt>
                <c:pt idx="543">
                  <c:v>1.76%</c:v>
                </c:pt>
                <c:pt idx="544">
                  <c:v>-0.26%</c:v>
                </c:pt>
                <c:pt idx="545">
                  <c:v>-1.49%</c:v>
                </c:pt>
                <c:pt idx="546">
                  <c:v>-0.70%</c:v>
                </c:pt>
                <c:pt idx="547">
                  <c:v>0.71%</c:v>
                </c:pt>
                <c:pt idx="548">
                  <c:v>-0.08%</c:v>
                </c:pt>
                <c:pt idx="549">
                  <c:v>0.08%</c:v>
                </c:pt>
                <c:pt idx="550">
                  <c:v>0.33%</c:v>
                </c:pt>
                <c:pt idx="551">
                  <c:v>-0.28%</c:v>
                </c:pt>
                <c:pt idx="552">
                  <c:v>0.60%</c:v>
                </c:pt>
                <c:pt idx="553">
                  <c:v>1.54%</c:v>
                </c:pt>
                <c:pt idx="554">
                  <c:v>0.52%</c:v>
                </c:pt>
                <c:pt idx="555">
                  <c:v>0.63%</c:v>
                </c:pt>
                <c:pt idx="556">
                  <c:v>1.31%</c:v>
                </c:pt>
                <c:pt idx="557">
                  <c:v>0.86%</c:v>
                </c:pt>
                <c:pt idx="558">
                  <c:v>1.32%</c:v>
                </c:pt>
                <c:pt idx="559">
                  <c:v>-2.26%</c:v>
                </c:pt>
                <c:pt idx="560">
                  <c:v>0.08%</c:v>
                </c:pt>
                <c:pt idx="561">
                  <c:v>0.49%</c:v>
                </c:pt>
                <c:pt idx="562">
                  <c:v>-0.12%</c:v>
                </c:pt>
                <c:pt idx="563">
                  <c:v>-0.93%</c:v>
                </c:pt>
                <c:pt idx="564">
                  <c:v>-0.11%</c:v>
                </c:pt>
                <c:pt idx="565">
                  <c:v>-0.80%</c:v>
                </c:pt>
                <c:pt idx="566">
                  <c:v>0.42%</c:v>
                </c:pt>
                <c:pt idx="567">
                  <c:v>0.80%</c:v>
                </c:pt>
                <c:pt idx="568">
                  <c:v>-0.24%</c:v>
                </c:pt>
                <c:pt idx="569">
                  <c:v>1.24%</c:v>
                </c:pt>
                <c:pt idx="570">
                  <c:v>-0.56%</c:v>
                </c:pt>
                <c:pt idx="571">
                  <c:v>-0.64%</c:v>
                </c:pt>
                <c:pt idx="572">
                  <c:v>0.13%</c:v>
                </c:pt>
                <c:pt idx="573">
                  <c:v>-0.42%</c:v>
                </c:pt>
                <c:pt idx="574">
                  <c:v>1.16%</c:v>
                </c:pt>
                <c:pt idx="575">
                  <c:v>-0.16%</c:v>
                </c:pt>
                <c:pt idx="576">
                  <c:v>0.64%</c:v>
                </c:pt>
                <c:pt idx="577">
                  <c:v>1.10%</c:v>
                </c:pt>
                <c:pt idx="578">
                  <c:v>-1.81%</c:v>
                </c:pt>
                <c:pt idx="579">
                  <c:v>-0.03%</c:v>
                </c:pt>
                <c:pt idx="580">
                  <c:v>0.17%</c:v>
                </c:pt>
                <c:pt idx="581">
                  <c:v>-2.06%</c:v>
                </c:pt>
                <c:pt idx="582">
                  <c:v>0.10%</c:v>
                </c:pt>
                <c:pt idx="583">
                  <c:v>-0.18%</c:v>
                </c:pt>
                <c:pt idx="584">
                  <c:v>-1.60%</c:v>
                </c:pt>
                <c:pt idx="585">
                  <c:v>1.54%</c:v>
                </c:pt>
                <c:pt idx="586">
                  <c:v>0.18%</c:v>
                </c:pt>
                <c:pt idx="587">
                  <c:v>-2.52%</c:v>
                </c:pt>
                <c:pt idx="588">
                  <c:v>-0.50%</c:v>
                </c:pt>
                <c:pt idx="589">
                  <c:v>-0.33%</c:v>
                </c:pt>
                <c:pt idx="590">
                  <c:v>-0.09%</c:v>
                </c:pt>
                <c:pt idx="591">
                  <c:v>-0.83%</c:v>
                </c:pt>
                <c:pt idx="592">
                  <c:v>-1.18%</c:v>
                </c:pt>
                <c:pt idx="593">
                  <c:v>0.32%</c:v>
                </c:pt>
                <c:pt idx="594">
                  <c:v>-1.06%</c:v>
                </c:pt>
                <c:pt idx="595">
                  <c:v>1.13%</c:v>
                </c:pt>
                <c:pt idx="596">
                  <c:v>0.59%</c:v>
                </c:pt>
                <c:pt idx="597">
                  <c:v>0.30%</c:v>
                </c:pt>
                <c:pt idx="598">
                  <c:v>-0.61%</c:v>
                </c:pt>
                <c:pt idx="599">
                  <c:v>0.16%</c:v>
                </c:pt>
                <c:pt idx="600">
                  <c:v>0.10%</c:v>
                </c:pt>
                <c:pt idx="601">
                  <c:v>0.21%</c:v>
                </c:pt>
                <c:pt idx="602">
                  <c:v>-1.79%</c:v>
                </c:pt>
                <c:pt idx="603">
                  <c:v>0.03%</c:v>
                </c:pt>
                <c:pt idx="604">
                  <c:v>-2.55%</c:v>
                </c:pt>
                <c:pt idx="605">
                  <c:v>0.17%</c:v>
                </c:pt>
                <c:pt idx="606">
                  <c:v>2.84%</c:v>
                </c:pt>
                <c:pt idx="607">
                  <c:v>-1.07%</c:v>
                </c:pt>
                <c:pt idx="608">
                  <c:v>-0.88%</c:v>
                </c:pt>
                <c:pt idx="609">
                  <c:v>0.98%</c:v>
                </c:pt>
                <c:pt idx="610">
                  <c:v>-0.92%</c:v>
                </c:pt>
                <c:pt idx="611">
                  <c:v>-1.13%</c:v>
                </c:pt>
                <c:pt idx="612">
                  <c:v>-0.23%</c:v>
                </c:pt>
                <c:pt idx="613">
                  <c:v>0.21%</c:v>
                </c:pt>
                <c:pt idx="614">
                  <c:v>1.02%</c:v>
                </c:pt>
                <c:pt idx="615">
                  <c:v>-0.49%</c:v>
                </c:pt>
                <c:pt idx="616">
                  <c:v>-0.65%</c:v>
                </c:pt>
                <c:pt idx="617">
                  <c:v>-0.26%</c:v>
                </c:pt>
                <c:pt idx="618">
                  <c:v>-0.77%</c:v>
                </c:pt>
                <c:pt idx="619">
                  <c:v>0.37%</c:v>
                </c:pt>
                <c:pt idx="620">
                  <c:v>1.59%</c:v>
                </c:pt>
                <c:pt idx="621">
                  <c:v>-0.91%</c:v>
                </c:pt>
                <c:pt idx="622">
                  <c:v>-1.28%</c:v>
                </c:pt>
                <c:pt idx="623">
                  <c:v>-0.04%</c:v>
                </c:pt>
                <c:pt idx="624">
                  <c:v>-0.62%</c:v>
                </c:pt>
                <c:pt idx="625">
                  <c:v>-1.59%</c:v>
                </c:pt>
                <c:pt idx="626">
                  <c:v>-1.48%</c:v>
                </c:pt>
                <c:pt idx="627">
                  <c:v>-2.07%</c:v>
                </c:pt>
                <c:pt idx="628">
                  <c:v>-0.04%</c:v>
                </c:pt>
                <c:pt idx="629">
                  <c:v>-0.81%</c:v>
                </c:pt>
                <c:pt idx="630">
                  <c:v>2.06%</c:v>
                </c:pt>
                <c:pt idx="631">
                  <c:v>0.48%</c:v>
                </c:pt>
                <c:pt idx="632">
                  <c:v>-1.12%</c:v>
                </c:pt>
                <c:pt idx="633">
                  <c:v>-1.21%</c:v>
                </c:pt>
                <c:pt idx="634">
                  <c:v>-0.49%</c:v>
                </c:pt>
                <c:pt idx="635">
                  <c:v>-1.51%</c:v>
                </c:pt>
                <c:pt idx="636">
                  <c:v>-0.05%</c:v>
                </c:pt>
                <c:pt idx="637">
                  <c:v>1.28%</c:v>
                </c:pt>
                <c:pt idx="638">
                  <c:v>-0.33%</c:v>
                </c:pt>
                <c:pt idx="639">
                  <c:v>-0.75%</c:v>
                </c:pt>
                <c:pt idx="640">
                  <c:v>-2.20%</c:v>
                </c:pt>
                <c:pt idx="641">
                  <c:v>-1.64%</c:v>
                </c:pt>
                <c:pt idx="642">
                  <c:v>0.13%</c:v>
                </c:pt>
                <c:pt idx="643">
                  <c:v>-0.11%</c:v>
                </c:pt>
                <c:pt idx="644">
                  <c:v>0.25%</c:v>
                </c:pt>
                <c:pt idx="645">
                  <c:v>-1.58%</c:v>
                </c:pt>
                <c:pt idx="646">
                  <c:v>1.03%</c:v>
                </c:pt>
                <c:pt idx="647">
                  <c:v>-0.53%</c:v>
                </c:pt>
                <c:pt idx="648">
                  <c:v>-2.05%</c:v>
                </c:pt>
                <c:pt idx="649">
                  <c:v>-1.22%</c:v>
                </c:pt>
                <c:pt idx="650">
                  <c:v>-0.69%</c:v>
                </c:pt>
                <c:pt idx="651">
                  <c:v>-0.05%</c:v>
                </c:pt>
                <c:pt idx="652">
                  <c:v>-1.85%</c:v>
                </c:pt>
                <c:pt idx="653">
                  <c:v>1.03%</c:v>
                </c:pt>
                <c:pt idx="654">
                  <c:v>0.02%</c:v>
                </c:pt>
                <c:pt idx="655">
                  <c:v>1.00%</c:v>
                </c:pt>
                <c:pt idx="656">
                  <c:v>1.66%</c:v>
                </c:pt>
                <c:pt idx="657">
                  <c:v>-0.30%</c:v>
                </c:pt>
                <c:pt idx="658">
                  <c:v>-0.69%</c:v>
                </c:pt>
                <c:pt idx="659">
                  <c:v>0.69%</c:v>
                </c:pt>
                <c:pt idx="660">
                  <c:v>-1.93%</c:v>
                </c:pt>
                <c:pt idx="661">
                  <c:v>1.26%</c:v>
                </c:pt>
                <c:pt idx="662">
                  <c:v>-0.03%</c:v>
                </c:pt>
                <c:pt idx="663">
                  <c:v>-0.45%</c:v>
                </c:pt>
                <c:pt idx="664">
                  <c:v>-1.25%</c:v>
                </c:pt>
                <c:pt idx="665">
                  <c:v>-1.45%</c:v>
                </c:pt>
                <c:pt idx="666">
                  <c:v>-0.32%</c:v>
                </c:pt>
                <c:pt idx="667">
                  <c:v>0.56%</c:v>
                </c:pt>
                <c:pt idx="668">
                  <c:v>0.01%</c:v>
                </c:pt>
                <c:pt idx="669">
                  <c:v>-2.58%</c:v>
                </c:pt>
                <c:pt idx="670">
                  <c:v>-0.74%</c:v>
                </c:pt>
                <c:pt idx="671">
                  <c:v>0.62%</c:v>
                </c:pt>
                <c:pt idx="672">
                  <c:v>2.12%</c:v>
                </c:pt>
                <c:pt idx="673">
                  <c:v>-0.13%</c:v>
                </c:pt>
                <c:pt idx="674">
                  <c:v>0.47%</c:v>
                </c:pt>
                <c:pt idx="675">
                  <c:v>0.04%</c:v>
                </c:pt>
                <c:pt idx="676">
                  <c:v>-0.42%</c:v>
                </c:pt>
                <c:pt idx="677">
                  <c:v>-1.27%</c:v>
                </c:pt>
                <c:pt idx="678">
                  <c:v>-1.00%</c:v>
                </c:pt>
                <c:pt idx="679">
                  <c:v>-1.49%</c:v>
                </c:pt>
                <c:pt idx="680">
                  <c:v>0.56%</c:v>
                </c:pt>
                <c:pt idx="681">
                  <c:v>1.00%</c:v>
                </c:pt>
                <c:pt idx="682">
                  <c:v>-0.18%</c:v>
                </c:pt>
                <c:pt idx="683">
                  <c:v>-0.69%</c:v>
                </c:pt>
                <c:pt idx="684">
                  <c:v>1.18%</c:v>
                </c:pt>
                <c:pt idx="685">
                  <c:v>2.55%</c:v>
                </c:pt>
                <c:pt idx="686">
                  <c:v>-1.95%</c:v>
                </c:pt>
                <c:pt idx="687">
                  <c:v>0.67%</c:v>
                </c:pt>
                <c:pt idx="688">
                  <c:v>0.19%</c:v>
                </c:pt>
                <c:pt idx="689">
                  <c:v>0.40%</c:v>
                </c:pt>
                <c:pt idx="690">
                  <c:v>0.82%</c:v>
                </c:pt>
                <c:pt idx="691">
                  <c:v>1.78%</c:v>
                </c:pt>
                <c:pt idx="692">
                  <c:v>-0.11%</c:v>
                </c:pt>
                <c:pt idx="693">
                  <c:v>2.48%</c:v>
                </c:pt>
                <c:pt idx="694">
                  <c:v>-1.30%</c:v>
                </c:pt>
                <c:pt idx="695">
                  <c:v>0.90%</c:v>
                </c:pt>
                <c:pt idx="696">
                  <c:v>-1.58%</c:v>
                </c:pt>
                <c:pt idx="697">
                  <c:v>-1.57%</c:v>
                </c:pt>
                <c:pt idx="698">
                  <c:v>0.51%</c:v>
                </c:pt>
                <c:pt idx="699">
                  <c:v>0.85%</c:v>
                </c:pt>
                <c:pt idx="700">
                  <c:v>-0.62%</c:v>
                </c:pt>
                <c:pt idx="701">
                  <c:v>0.67%</c:v>
                </c:pt>
                <c:pt idx="702">
                  <c:v>-0.79%</c:v>
                </c:pt>
                <c:pt idx="703">
                  <c:v>1.30%</c:v>
                </c:pt>
                <c:pt idx="704">
                  <c:v>-1.64%</c:v>
                </c:pt>
                <c:pt idx="705">
                  <c:v>0.27%</c:v>
                </c:pt>
                <c:pt idx="706">
                  <c:v>0.36%</c:v>
                </c:pt>
                <c:pt idx="707">
                  <c:v>0.27%</c:v>
                </c:pt>
                <c:pt idx="708">
                  <c:v>0.04%</c:v>
                </c:pt>
                <c:pt idx="709">
                  <c:v>-0.10%</c:v>
                </c:pt>
                <c:pt idx="710">
                  <c:v>-2.88%</c:v>
                </c:pt>
                <c:pt idx="711">
                  <c:v>-1.63%</c:v>
                </c:pt>
                <c:pt idx="712">
                  <c:v>1.17%</c:v>
                </c:pt>
                <c:pt idx="713">
                  <c:v>0.82%</c:v>
                </c:pt>
                <c:pt idx="714">
                  <c:v>1.58%</c:v>
                </c:pt>
                <c:pt idx="715">
                  <c:v>0.11%</c:v>
                </c:pt>
                <c:pt idx="716">
                  <c:v>1.95%</c:v>
                </c:pt>
                <c:pt idx="717">
                  <c:v>-0.12%</c:v>
                </c:pt>
                <c:pt idx="718">
                  <c:v>1.20%</c:v>
                </c:pt>
                <c:pt idx="719">
                  <c:v>-0.50%</c:v>
                </c:pt>
                <c:pt idx="720">
                  <c:v>-0.59%</c:v>
                </c:pt>
                <c:pt idx="721">
                  <c:v>1.06%</c:v>
                </c:pt>
                <c:pt idx="722">
                  <c:v>-1.60%</c:v>
                </c:pt>
                <c:pt idx="723">
                  <c:v>1.76%</c:v>
                </c:pt>
                <c:pt idx="724">
                  <c:v>2.12%</c:v>
                </c:pt>
                <c:pt idx="725">
                  <c:v>0.03%</c:v>
                </c:pt>
                <c:pt idx="726">
                  <c:v>1.60%</c:v>
                </c:pt>
                <c:pt idx="727">
                  <c:v>-0.57%</c:v>
                </c:pt>
                <c:pt idx="728">
                  <c:v>-0.25%</c:v>
                </c:pt>
                <c:pt idx="729">
                  <c:v>0.31%</c:v>
                </c:pt>
                <c:pt idx="730">
                  <c:v>-0.59%</c:v>
                </c:pt>
                <c:pt idx="731">
                  <c:v>0.83%</c:v>
                </c:pt>
                <c:pt idx="732">
                  <c:v>1.05%</c:v>
                </c:pt>
                <c:pt idx="733">
                  <c:v>0.77%</c:v>
                </c:pt>
                <c:pt idx="734">
                  <c:v>-0.55%</c:v>
                </c:pt>
                <c:pt idx="735">
                  <c:v>-1.69%</c:v>
                </c:pt>
                <c:pt idx="736">
                  <c:v>0.51%</c:v>
                </c:pt>
                <c:pt idx="737">
                  <c:v>-0.37%</c:v>
                </c:pt>
                <c:pt idx="738">
                  <c:v>-1.80%</c:v>
                </c:pt>
                <c:pt idx="739">
                  <c:v>-1.33%</c:v>
                </c:pt>
                <c:pt idx="740">
                  <c:v>-0.29%</c:v>
                </c:pt>
                <c:pt idx="741">
                  <c:v>1.76%</c:v>
                </c:pt>
                <c:pt idx="742">
                  <c:v>0.47%</c:v>
                </c:pt>
                <c:pt idx="743">
                  <c:v>-0.96%</c:v>
                </c:pt>
                <c:pt idx="744">
                  <c:v>-1.19%</c:v>
                </c:pt>
                <c:pt idx="745">
                  <c:v>-1.09%</c:v>
                </c:pt>
                <c:pt idx="746">
                  <c:v>-1.12%</c:v>
                </c:pt>
                <c:pt idx="747">
                  <c:v>0.22%</c:v>
                </c:pt>
                <c:pt idx="748">
                  <c:v>1.30%</c:v>
                </c:pt>
                <c:pt idx="749">
                  <c:v>3.10%</c:v>
                </c:pt>
                <c:pt idx="750">
                  <c:v>2.04%</c:v>
                </c:pt>
                <c:pt idx="751">
                  <c:v>-0.51%</c:v>
                </c:pt>
                <c:pt idx="752">
                  <c:v>1.10%</c:v>
                </c:pt>
                <c:pt idx="753">
                  <c:v>0.15%</c:v>
                </c:pt>
                <c:pt idx="754">
                  <c:v>2.01%</c:v>
                </c:pt>
                <c:pt idx="755">
                  <c:v>0.62%</c:v>
                </c:pt>
                <c:pt idx="756">
                  <c:v>-0.53%</c:v>
                </c:pt>
                <c:pt idx="757">
                  <c:v>1.13%</c:v>
                </c:pt>
                <c:pt idx="758">
                  <c:v>-0.86%</c:v>
                </c:pt>
                <c:pt idx="759">
                  <c:v>-0.68%</c:v>
                </c:pt>
                <c:pt idx="760">
                  <c:v>-0.32%</c:v>
                </c:pt>
                <c:pt idx="761">
                  <c:v>-0.27%</c:v>
                </c:pt>
                <c:pt idx="762">
                  <c:v>-2.33%</c:v>
                </c:pt>
                <c:pt idx="763">
                  <c:v>1.18%</c:v>
                </c:pt>
                <c:pt idx="764">
                  <c:v>3.06%</c:v>
                </c:pt>
                <c:pt idx="765">
                  <c:v>-1.37%</c:v>
                </c:pt>
                <c:pt idx="766">
                  <c:v>1.57%</c:v>
                </c:pt>
                <c:pt idx="767">
                  <c:v>-1.89%</c:v>
                </c:pt>
                <c:pt idx="768">
                  <c:v>-0.06%</c:v>
                </c:pt>
                <c:pt idx="769">
                  <c:v>-0.91%</c:v>
                </c:pt>
                <c:pt idx="770">
                  <c:v>0.25%</c:v>
                </c:pt>
                <c:pt idx="771">
                  <c:v>0.63%</c:v>
                </c:pt>
                <c:pt idx="772">
                  <c:v>-1.43%</c:v>
                </c:pt>
                <c:pt idx="773">
                  <c:v>-0.15%</c:v>
                </c:pt>
                <c:pt idx="774">
                  <c:v>0.87%</c:v>
                </c:pt>
                <c:pt idx="775">
                  <c:v>-1.02%</c:v>
                </c:pt>
                <c:pt idx="776">
                  <c:v>1.44%</c:v>
                </c:pt>
                <c:pt idx="777">
                  <c:v>1.49%</c:v>
                </c:pt>
                <c:pt idx="778">
                  <c:v>-0.50%</c:v>
                </c:pt>
                <c:pt idx="779">
                  <c:v>1.64%</c:v>
                </c:pt>
                <c:pt idx="780">
                  <c:v>-2.17%</c:v>
                </c:pt>
                <c:pt idx="781">
                  <c:v>-0.66%</c:v>
                </c:pt>
                <c:pt idx="782">
                  <c:v>0.64%</c:v>
                </c:pt>
                <c:pt idx="783">
                  <c:v>1.11%</c:v>
                </c:pt>
                <c:pt idx="784">
                  <c:v>1.28%</c:v>
                </c:pt>
                <c:pt idx="785">
                  <c:v>1.15%</c:v>
                </c:pt>
                <c:pt idx="786">
                  <c:v>0.08%</c:v>
                </c:pt>
                <c:pt idx="787">
                  <c:v>0.82%</c:v>
                </c:pt>
                <c:pt idx="788">
                  <c:v>0.07%</c:v>
                </c:pt>
                <c:pt idx="789">
                  <c:v>-1.63%</c:v>
                </c:pt>
                <c:pt idx="790">
                  <c:v>1.06%</c:v>
                </c:pt>
                <c:pt idx="791">
                  <c:v>0.68%</c:v>
                </c:pt>
                <c:pt idx="792">
                  <c:v>-0.11%</c:v>
                </c:pt>
                <c:pt idx="793">
                  <c:v>-0.62%</c:v>
                </c:pt>
                <c:pt idx="794">
                  <c:v>2.24%</c:v>
                </c:pt>
                <c:pt idx="795">
                  <c:v>-1.02%</c:v>
                </c:pt>
                <c:pt idx="796">
                  <c:v>0.12%</c:v>
                </c:pt>
                <c:pt idx="797">
                  <c:v>-0.76%</c:v>
                </c:pt>
                <c:pt idx="798">
                  <c:v>-0.03%</c:v>
                </c:pt>
                <c:pt idx="799">
                  <c:v>1.32%</c:v>
                </c:pt>
                <c:pt idx="800">
                  <c:v>0.50%</c:v>
                </c:pt>
                <c:pt idx="801">
                  <c:v>-0.31%</c:v>
                </c:pt>
                <c:pt idx="802">
                  <c:v>0.96%</c:v>
                </c:pt>
                <c:pt idx="803">
                  <c:v>1.09%</c:v>
                </c:pt>
                <c:pt idx="804">
                  <c:v>-0.04%</c:v>
                </c:pt>
                <c:pt idx="805">
                  <c:v>-0.45%</c:v>
                </c:pt>
                <c:pt idx="806">
                  <c:v>-0.79%</c:v>
                </c:pt>
                <c:pt idx="807">
                  <c:v>-2.11%</c:v>
                </c:pt>
                <c:pt idx="808">
                  <c:v>1.79%</c:v>
                </c:pt>
                <c:pt idx="809">
                  <c:v>-0.77%</c:v>
                </c:pt>
                <c:pt idx="810">
                  <c:v>-1.28%</c:v>
                </c:pt>
                <c:pt idx="811">
                  <c:v>-0.93%</c:v>
                </c:pt>
                <c:pt idx="812">
                  <c:v>-1.26%</c:v>
                </c:pt>
                <c:pt idx="813">
                  <c:v>1.29%</c:v>
                </c:pt>
                <c:pt idx="814">
                  <c:v>-0.06%</c:v>
                </c:pt>
                <c:pt idx="815">
                  <c:v>-1.07%</c:v>
                </c:pt>
                <c:pt idx="816">
                  <c:v>-0.88%</c:v>
                </c:pt>
                <c:pt idx="817">
                  <c:v>-1.10%</c:v>
                </c:pt>
                <c:pt idx="818">
                  <c:v>1.31%</c:v>
                </c:pt>
                <c:pt idx="819">
                  <c:v>-1.58%</c:v>
                </c:pt>
                <c:pt idx="820">
                  <c:v>0.13%</c:v>
                </c:pt>
                <c:pt idx="821">
                  <c:v>0.59%</c:v>
                </c:pt>
                <c:pt idx="822">
                  <c:v>0.45%</c:v>
                </c:pt>
                <c:pt idx="823">
                  <c:v>0.29%</c:v>
                </c:pt>
                <c:pt idx="824">
                  <c:v>-0.12%</c:v>
                </c:pt>
                <c:pt idx="825">
                  <c:v>-2.63%</c:v>
                </c:pt>
                <c:pt idx="826">
                  <c:v>0.02%</c:v>
                </c:pt>
                <c:pt idx="827">
                  <c:v>-0.53%</c:v>
                </c:pt>
                <c:pt idx="828">
                  <c:v>-1.46%</c:v>
                </c:pt>
                <c:pt idx="829">
                  <c:v>1.68%</c:v>
                </c:pt>
                <c:pt idx="830">
                  <c:v>1.46%</c:v>
                </c:pt>
                <c:pt idx="831">
                  <c:v>-0.39%</c:v>
                </c:pt>
                <c:pt idx="832">
                  <c:v>0.44%</c:v>
                </c:pt>
                <c:pt idx="833">
                  <c:v>0.04%</c:v>
                </c:pt>
                <c:pt idx="834">
                  <c:v>-2.11%</c:v>
                </c:pt>
                <c:pt idx="835">
                  <c:v>-0.45%</c:v>
                </c:pt>
                <c:pt idx="836">
                  <c:v>1.02%</c:v>
                </c:pt>
                <c:pt idx="837">
                  <c:v>-0.09%</c:v>
                </c:pt>
                <c:pt idx="838">
                  <c:v>-1.10%</c:v>
                </c:pt>
                <c:pt idx="839">
                  <c:v>1.32%</c:v>
                </c:pt>
                <c:pt idx="840">
                  <c:v>0.43%</c:v>
                </c:pt>
                <c:pt idx="841">
                  <c:v>-1.28%</c:v>
                </c:pt>
                <c:pt idx="842">
                  <c:v>-0.61%</c:v>
                </c:pt>
                <c:pt idx="843">
                  <c:v>-0.44%</c:v>
                </c:pt>
                <c:pt idx="844">
                  <c:v>-1.08%</c:v>
                </c:pt>
                <c:pt idx="845">
                  <c:v>0.90%</c:v>
                </c:pt>
                <c:pt idx="846">
                  <c:v>-0.58%</c:v>
                </c:pt>
                <c:pt idx="847">
                  <c:v>0.19%</c:v>
                </c:pt>
                <c:pt idx="848">
                  <c:v>2.06%</c:v>
                </c:pt>
                <c:pt idx="849">
                  <c:v>-0.72%</c:v>
                </c:pt>
                <c:pt idx="850">
                  <c:v>-1.22%</c:v>
                </c:pt>
                <c:pt idx="851">
                  <c:v>0.04%</c:v>
                </c:pt>
                <c:pt idx="852">
                  <c:v>-0.48%</c:v>
                </c:pt>
                <c:pt idx="853">
                  <c:v>-0.34%</c:v>
                </c:pt>
                <c:pt idx="854">
                  <c:v>-1.00%</c:v>
                </c:pt>
                <c:pt idx="855">
                  <c:v>-1.72%</c:v>
                </c:pt>
                <c:pt idx="856">
                  <c:v>-0.41%</c:v>
                </c:pt>
                <c:pt idx="857">
                  <c:v>-1.43%</c:v>
                </c:pt>
                <c:pt idx="858">
                  <c:v>-1.21%</c:v>
                </c:pt>
                <c:pt idx="859">
                  <c:v>3.26%</c:v>
                </c:pt>
                <c:pt idx="860">
                  <c:v>2.78%</c:v>
                </c:pt>
                <c:pt idx="861">
                  <c:v>2.73%</c:v>
                </c:pt>
                <c:pt idx="862">
                  <c:v>-0.31%</c:v>
                </c:pt>
                <c:pt idx="863">
                  <c:v>-1.21%</c:v>
                </c:pt>
                <c:pt idx="864">
                  <c:v>0.66%</c:v>
                </c:pt>
                <c:pt idx="865">
                  <c:v>-1.13%</c:v>
                </c:pt>
                <c:pt idx="866">
                  <c:v>-0.28%</c:v>
                </c:pt>
                <c:pt idx="867">
                  <c:v>-1.02%</c:v>
                </c:pt>
                <c:pt idx="868">
                  <c:v>1.05%</c:v>
                </c:pt>
                <c:pt idx="869">
                  <c:v>-0.08%</c:v>
                </c:pt>
                <c:pt idx="870">
                  <c:v>0.40%</c:v>
                </c:pt>
                <c:pt idx="871">
                  <c:v>-0.65%</c:v>
                </c:pt>
                <c:pt idx="872">
                  <c:v>-0.19%</c:v>
                </c:pt>
                <c:pt idx="873">
                  <c:v>-2.02%</c:v>
                </c:pt>
                <c:pt idx="874">
                  <c:v>-0.08%</c:v>
                </c:pt>
                <c:pt idx="875">
                  <c:v>-0.32%</c:v>
                </c:pt>
                <c:pt idx="876">
                  <c:v>0.51%</c:v>
                </c:pt>
                <c:pt idx="877">
                  <c:v>-0.50%</c:v>
                </c:pt>
                <c:pt idx="878">
                  <c:v>-1.09%</c:v>
                </c:pt>
                <c:pt idx="879">
                  <c:v>0.12%</c:v>
                </c:pt>
                <c:pt idx="880">
                  <c:v>1.69%</c:v>
                </c:pt>
                <c:pt idx="881">
                  <c:v>-0.13%</c:v>
                </c:pt>
                <c:pt idx="882">
                  <c:v>2.06%</c:v>
                </c:pt>
                <c:pt idx="883">
                  <c:v>-2.80%</c:v>
                </c:pt>
                <c:pt idx="884">
                  <c:v>-0.95%</c:v>
                </c:pt>
                <c:pt idx="885">
                  <c:v>-0.27%</c:v>
                </c:pt>
                <c:pt idx="886">
                  <c:v>-1.48%</c:v>
                </c:pt>
                <c:pt idx="887">
                  <c:v>-3.07%</c:v>
                </c:pt>
                <c:pt idx="888">
                  <c:v>0.09%</c:v>
                </c:pt>
                <c:pt idx="889">
                  <c:v>-1.09%</c:v>
                </c:pt>
                <c:pt idx="890">
                  <c:v>-0.88%</c:v>
                </c:pt>
                <c:pt idx="891">
                  <c:v>-0.13%</c:v>
                </c:pt>
                <c:pt idx="892">
                  <c:v>-0.21%</c:v>
                </c:pt>
                <c:pt idx="893">
                  <c:v>-0.67%</c:v>
                </c:pt>
                <c:pt idx="894">
                  <c:v>0.74%</c:v>
                </c:pt>
                <c:pt idx="895">
                  <c:v>-0.86%</c:v>
                </c:pt>
                <c:pt idx="896">
                  <c:v>1.32%</c:v>
                </c:pt>
                <c:pt idx="897">
                  <c:v>1.42%</c:v>
                </c:pt>
                <c:pt idx="898">
                  <c:v>-1.76%</c:v>
                </c:pt>
                <c:pt idx="899">
                  <c:v>-0.96%</c:v>
                </c:pt>
                <c:pt idx="900">
                  <c:v>1.08%</c:v>
                </c:pt>
                <c:pt idx="901">
                  <c:v>-1.41%</c:v>
                </c:pt>
                <c:pt idx="902">
                  <c:v>-0.62%</c:v>
                </c:pt>
                <c:pt idx="903">
                  <c:v>0.21%</c:v>
                </c:pt>
                <c:pt idx="904">
                  <c:v>1.17%</c:v>
                </c:pt>
                <c:pt idx="905">
                  <c:v>1.37%</c:v>
                </c:pt>
                <c:pt idx="906">
                  <c:v>-0.13%</c:v>
                </c:pt>
                <c:pt idx="907">
                  <c:v>0.65%</c:v>
                </c:pt>
                <c:pt idx="908">
                  <c:v>0.41%</c:v>
                </c:pt>
                <c:pt idx="909">
                  <c:v>1.88%</c:v>
                </c:pt>
                <c:pt idx="910">
                  <c:v>0.02%</c:v>
                </c:pt>
                <c:pt idx="911">
                  <c:v>-0.12%</c:v>
                </c:pt>
                <c:pt idx="912">
                  <c:v>-0.19%</c:v>
                </c:pt>
                <c:pt idx="913">
                  <c:v>-1.43%</c:v>
                </c:pt>
                <c:pt idx="914">
                  <c:v>-1.44%</c:v>
                </c:pt>
                <c:pt idx="915">
                  <c:v>-3.01%</c:v>
                </c:pt>
                <c:pt idx="916">
                  <c:v>1.70%</c:v>
                </c:pt>
                <c:pt idx="917">
                  <c:v>2.26%</c:v>
                </c:pt>
                <c:pt idx="918">
                  <c:v>-1.92%</c:v>
                </c:pt>
                <c:pt idx="919">
                  <c:v>1.00%</c:v>
                </c:pt>
                <c:pt idx="920">
                  <c:v>0.49%</c:v>
                </c:pt>
                <c:pt idx="921">
                  <c:v>-0.19%</c:v>
                </c:pt>
                <c:pt idx="922">
                  <c:v>0.74%</c:v>
                </c:pt>
                <c:pt idx="923">
                  <c:v>-0.08%</c:v>
                </c:pt>
                <c:pt idx="924">
                  <c:v>3.04%</c:v>
                </c:pt>
                <c:pt idx="925">
                  <c:v>1.06%</c:v>
                </c:pt>
                <c:pt idx="926">
                  <c:v>-0.86%</c:v>
                </c:pt>
                <c:pt idx="927">
                  <c:v>-1.20%</c:v>
                </c:pt>
                <c:pt idx="928">
                  <c:v>1.60%</c:v>
                </c:pt>
                <c:pt idx="929">
                  <c:v>-0.27%</c:v>
                </c:pt>
                <c:pt idx="930">
                  <c:v>-0.21%</c:v>
                </c:pt>
                <c:pt idx="931">
                  <c:v>0.20%</c:v>
                </c:pt>
                <c:pt idx="932">
                  <c:v>0.11%</c:v>
                </c:pt>
                <c:pt idx="933">
                  <c:v>1.35%</c:v>
                </c:pt>
                <c:pt idx="934">
                  <c:v>-1.04%</c:v>
                </c:pt>
                <c:pt idx="935">
                  <c:v>-2.57%</c:v>
                </c:pt>
                <c:pt idx="936">
                  <c:v>-0.60%</c:v>
                </c:pt>
                <c:pt idx="937">
                  <c:v>-0.87%</c:v>
                </c:pt>
                <c:pt idx="938">
                  <c:v>-0.69%</c:v>
                </c:pt>
                <c:pt idx="939">
                  <c:v>-1.85%</c:v>
                </c:pt>
                <c:pt idx="940">
                  <c:v>-1.03%</c:v>
                </c:pt>
                <c:pt idx="941">
                  <c:v>-1.61%</c:v>
                </c:pt>
                <c:pt idx="942">
                  <c:v>1.12%</c:v>
                </c:pt>
                <c:pt idx="943">
                  <c:v>-1.20%</c:v>
                </c:pt>
                <c:pt idx="944">
                  <c:v>-0.22%</c:v>
                </c:pt>
                <c:pt idx="945">
                  <c:v>1.67%</c:v>
                </c:pt>
                <c:pt idx="946">
                  <c:v>-0.35%</c:v>
                </c:pt>
                <c:pt idx="947">
                  <c:v>0.46%</c:v>
                </c:pt>
                <c:pt idx="948">
                  <c:v>1.18%</c:v>
                </c:pt>
                <c:pt idx="949">
                  <c:v>0.69%</c:v>
                </c:pt>
                <c:pt idx="950">
                  <c:v>-0.63%</c:v>
                </c:pt>
                <c:pt idx="951">
                  <c:v>-1.15%</c:v>
                </c:pt>
                <c:pt idx="952">
                  <c:v>1.50%</c:v>
                </c:pt>
                <c:pt idx="953">
                  <c:v>0.25%</c:v>
                </c:pt>
                <c:pt idx="954">
                  <c:v>-0.78%</c:v>
                </c:pt>
                <c:pt idx="955">
                  <c:v>-0.36%</c:v>
                </c:pt>
                <c:pt idx="956">
                  <c:v>-0.02%</c:v>
                </c:pt>
                <c:pt idx="957">
                  <c:v>-1.98%</c:v>
                </c:pt>
                <c:pt idx="958">
                  <c:v>0.58%</c:v>
                </c:pt>
                <c:pt idx="959">
                  <c:v>1.22%</c:v>
                </c:pt>
                <c:pt idx="960">
                  <c:v>-0.71%</c:v>
                </c:pt>
                <c:pt idx="961">
                  <c:v>-0.92%</c:v>
                </c:pt>
                <c:pt idx="962">
                  <c:v>-0.43%</c:v>
                </c:pt>
                <c:pt idx="963">
                  <c:v>-0.19%</c:v>
                </c:pt>
                <c:pt idx="964">
                  <c:v>2.32%</c:v>
                </c:pt>
                <c:pt idx="965">
                  <c:v>1.00%</c:v>
                </c:pt>
                <c:pt idx="966">
                  <c:v>0.24%</c:v>
                </c:pt>
                <c:pt idx="967">
                  <c:v>-0.66%</c:v>
                </c:pt>
                <c:pt idx="968">
                  <c:v>0.12%</c:v>
                </c:pt>
                <c:pt idx="969">
                  <c:v>-0.17%</c:v>
                </c:pt>
                <c:pt idx="970">
                  <c:v>-1.28%</c:v>
                </c:pt>
                <c:pt idx="971">
                  <c:v>-0.45%</c:v>
                </c:pt>
                <c:pt idx="972">
                  <c:v>0.54%</c:v>
                </c:pt>
                <c:pt idx="973">
                  <c:v>-1.18%</c:v>
                </c:pt>
                <c:pt idx="974">
                  <c:v>-1.46%</c:v>
                </c:pt>
                <c:pt idx="975">
                  <c:v>-0.14%</c:v>
                </c:pt>
                <c:pt idx="976">
                  <c:v>-0.42%</c:v>
                </c:pt>
                <c:pt idx="977">
                  <c:v>-1.92%</c:v>
                </c:pt>
                <c:pt idx="978">
                  <c:v>1.38%</c:v>
                </c:pt>
                <c:pt idx="979">
                  <c:v>1.37%</c:v>
                </c:pt>
                <c:pt idx="980">
                  <c:v>2.40%</c:v>
                </c:pt>
                <c:pt idx="981">
                  <c:v>-0.48%</c:v>
                </c:pt>
                <c:pt idx="982">
                  <c:v>0.68%</c:v>
                </c:pt>
                <c:pt idx="983">
                  <c:v>1.43%</c:v>
                </c:pt>
                <c:pt idx="984">
                  <c:v>0.65%</c:v>
                </c:pt>
                <c:pt idx="985">
                  <c:v>1.34%</c:v>
                </c:pt>
                <c:pt idx="986">
                  <c:v>0.22%</c:v>
                </c:pt>
                <c:pt idx="987">
                  <c:v>-0.52%</c:v>
                </c:pt>
                <c:pt idx="988">
                  <c:v>0.57%</c:v>
                </c:pt>
                <c:pt idx="989">
                  <c:v>0.59%</c:v>
                </c:pt>
                <c:pt idx="990">
                  <c:v>0.81%</c:v>
                </c:pt>
                <c:pt idx="991">
                  <c:v>1.27%</c:v>
                </c:pt>
                <c:pt idx="992">
                  <c:v>0.22%</c:v>
                </c:pt>
                <c:pt idx="993">
                  <c:v>-0.21%</c:v>
                </c:pt>
                <c:pt idx="994">
                  <c:v>1.37%</c:v>
                </c:pt>
                <c:pt idx="995">
                  <c:v>-0.13%</c:v>
                </c:pt>
                <c:pt idx="996">
                  <c:v>-0.89%</c:v>
                </c:pt>
                <c:pt idx="997">
                  <c:v>1.11%</c:v>
                </c:pt>
                <c:pt idx="998">
                  <c:v>-2.38%</c:v>
                </c:pt>
                <c:pt idx="999">
                  <c:v>1.31%</c:v>
                </c:pt>
                <c:pt idx="1000">
                  <c:v>0.99%</c:v>
                </c:pt>
                <c:pt idx="1001">
                  <c:v>0.04%</c:v>
                </c:pt>
                <c:pt idx="1002">
                  <c:v>1.33%</c:v>
                </c:pt>
                <c:pt idx="1003">
                  <c:v>-0.42%</c:v>
                </c:pt>
                <c:pt idx="1004">
                  <c:v>0.38%</c:v>
                </c:pt>
                <c:pt idx="1005">
                  <c:v>-1.59%</c:v>
                </c:pt>
                <c:pt idx="1006">
                  <c:v>-1.36%</c:v>
                </c:pt>
                <c:pt idx="1007">
                  <c:v>0.54%</c:v>
                </c:pt>
                <c:pt idx="1008">
                  <c:v>-0.43%</c:v>
                </c:pt>
                <c:pt idx="1009">
                  <c:v>-1.26%</c:v>
                </c:pt>
                <c:pt idx="1010">
                  <c:v>1.09%</c:v>
                </c:pt>
                <c:pt idx="1011">
                  <c:v>-0.06%</c:v>
                </c:pt>
                <c:pt idx="1012">
                  <c:v>-0.72%</c:v>
                </c:pt>
                <c:pt idx="1013">
                  <c:v>-0.15%</c:v>
                </c:pt>
                <c:pt idx="1014">
                  <c:v>1.74%</c:v>
                </c:pt>
                <c:pt idx="1015">
                  <c:v>1.26%</c:v>
                </c:pt>
                <c:pt idx="1016">
                  <c:v>0.09%</c:v>
                </c:pt>
                <c:pt idx="1017">
                  <c:v>0.77%</c:v>
                </c:pt>
                <c:pt idx="1018">
                  <c:v>-0.62%</c:v>
                </c:pt>
                <c:pt idx="1019">
                  <c:v>2.08%</c:v>
                </c:pt>
                <c:pt idx="1020">
                  <c:v>1.52%</c:v>
                </c:pt>
                <c:pt idx="1021">
                  <c:v>-0.37%</c:v>
                </c:pt>
                <c:pt idx="1022">
                  <c:v>0.26%</c:v>
                </c:pt>
                <c:pt idx="1023">
                  <c:v>1.08%</c:v>
                </c:pt>
                <c:pt idx="1024">
                  <c:v>1.13%</c:v>
                </c:pt>
                <c:pt idx="1025">
                  <c:v>1.18%</c:v>
                </c:pt>
                <c:pt idx="1026">
                  <c:v>0.81%</c:v>
                </c:pt>
                <c:pt idx="1027">
                  <c:v>0.43%</c:v>
                </c:pt>
                <c:pt idx="1028">
                  <c:v>-1.77%</c:v>
                </c:pt>
                <c:pt idx="1029">
                  <c:v>1.69%</c:v>
                </c:pt>
                <c:pt idx="1030">
                  <c:v>-0.35%</c:v>
                </c:pt>
                <c:pt idx="1031">
                  <c:v>0.31%</c:v>
                </c:pt>
                <c:pt idx="1032">
                  <c:v>0.00%</c:v>
                </c:pt>
                <c:pt idx="1033">
                  <c:v>1.23%</c:v>
                </c:pt>
                <c:pt idx="1034">
                  <c:v>-0.44%</c:v>
                </c:pt>
                <c:pt idx="1035">
                  <c:v>-1.28%</c:v>
                </c:pt>
                <c:pt idx="1036">
                  <c:v>1.70%</c:v>
                </c:pt>
                <c:pt idx="1037">
                  <c:v>0.83%</c:v>
                </c:pt>
                <c:pt idx="1038">
                  <c:v>1.79%</c:v>
                </c:pt>
                <c:pt idx="1039">
                  <c:v>-0.02%</c:v>
                </c:pt>
                <c:pt idx="1040">
                  <c:v>0.42%</c:v>
                </c:pt>
                <c:pt idx="1041">
                  <c:v>1.06%</c:v>
                </c:pt>
                <c:pt idx="1042">
                  <c:v>-1.12%</c:v>
                </c:pt>
                <c:pt idx="1043">
                  <c:v>-1.72%</c:v>
                </c:pt>
                <c:pt idx="1044">
                  <c:v>-0.90%</c:v>
                </c:pt>
                <c:pt idx="1045">
                  <c:v>-0.69%</c:v>
                </c:pt>
                <c:pt idx="1046">
                  <c:v>2.06%</c:v>
                </c:pt>
                <c:pt idx="1047">
                  <c:v>2.95%</c:v>
                </c:pt>
                <c:pt idx="1048">
                  <c:v>-0.20%</c:v>
                </c:pt>
                <c:pt idx="1049">
                  <c:v>0.14%</c:v>
                </c:pt>
                <c:pt idx="1050">
                  <c:v>-0.33%</c:v>
                </c:pt>
                <c:pt idx="1051">
                  <c:v>-0.24%</c:v>
                </c:pt>
                <c:pt idx="1052">
                  <c:v>0.42%</c:v>
                </c:pt>
                <c:pt idx="1053">
                  <c:v>0.42%</c:v>
                </c:pt>
                <c:pt idx="1054">
                  <c:v>-0.36%</c:v>
                </c:pt>
                <c:pt idx="1055">
                  <c:v>-0.09%</c:v>
                </c:pt>
                <c:pt idx="1056">
                  <c:v>-0.65%</c:v>
                </c:pt>
                <c:pt idx="1057">
                  <c:v>-0.79%</c:v>
                </c:pt>
                <c:pt idx="1058">
                  <c:v>-0.42%</c:v>
                </c:pt>
                <c:pt idx="1059">
                  <c:v>0.82%</c:v>
                </c:pt>
                <c:pt idx="1060">
                  <c:v>0.59%</c:v>
                </c:pt>
                <c:pt idx="1061">
                  <c:v>-0.56%</c:v>
                </c:pt>
                <c:pt idx="1062">
                  <c:v>1.14%</c:v>
                </c:pt>
                <c:pt idx="1063">
                  <c:v>0.10%</c:v>
                </c:pt>
                <c:pt idx="1064">
                  <c:v>1.12%</c:v>
                </c:pt>
                <c:pt idx="1065">
                  <c:v>-0.18%</c:v>
                </c:pt>
                <c:pt idx="1066">
                  <c:v>2.08%</c:v>
                </c:pt>
                <c:pt idx="1067">
                  <c:v>1.62%</c:v>
                </c:pt>
                <c:pt idx="1068">
                  <c:v>0.86%</c:v>
                </c:pt>
                <c:pt idx="1069">
                  <c:v>1.67%</c:v>
                </c:pt>
                <c:pt idx="1070">
                  <c:v>-0.70%</c:v>
                </c:pt>
                <c:pt idx="1071">
                  <c:v>2.01%</c:v>
                </c:pt>
                <c:pt idx="1072">
                  <c:v>-1.35%</c:v>
                </c:pt>
                <c:pt idx="1073">
                  <c:v>0.13%</c:v>
                </c:pt>
                <c:pt idx="1074">
                  <c:v>-0.66%</c:v>
                </c:pt>
                <c:pt idx="1075">
                  <c:v>-2.13%</c:v>
                </c:pt>
                <c:pt idx="1076">
                  <c:v>-1.43%</c:v>
                </c:pt>
                <c:pt idx="1077">
                  <c:v>-0.46%</c:v>
                </c:pt>
                <c:pt idx="1078">
                  <c:v>0.59%</c:v>
                </c:pt>
                <c:pt idx="1079">
                  <c:v>-0.38%</c:v>
                </c:pt>
                <c:pt idx="1080">
                  <c:v>1.10%</c:v>
                </c:pt>
                <c:pt idx="1081">
                  <c:v>-0.34%</c:v>
                </c:pt>
                <c:pt idx="1082">
                  <c:v>-1.01%</c:v>
                </c:pt>
                <c:pt idx="1083">
                  <c:v>1.58%</c:v>
                </c:pt>
                <c:pt idx="1084">
                  <c:v>1.40%</c:v>
                </c:pt>
                <c:pt idx="1085">
                  <c:v>-0.24%</c:v>
                </c:pt>
                <c:pt idx="1086">
                  <c:v>-1.79%</c:v>
                </c:pt>
                <c:pt idx="1087">
                  <c:v>-1.20%</c:v>
                </c:pt>
                <c:pt idx="1088">
                  <c:v>-0.55%</c:v>
                </c:pt>
                <c:pt idx="1089">
                  <c:v>0.12%</c:v>
                </c:pt>
                <c:pt idx="1090">
                  <c:v>1.39%</c:v>
                </c:pt>
                <c:pt idx="1091">
                  <c:v>0.12%</c:v>
                </c:pt>
                <c:pt idx="1092">
                  <c:v>0.37%</c:v>
                </c:pt>
                <c:pt idx="1093">
                  <c:v>0.52%</c:v>
                </c:pt>
                <c:pt idx="1094">
                  <c:v>-1.30%</c:v>
                </c:pt>
                <c:pt idx="1095">
                  <c:v>1.31%</c:v>
                </c:pt>
                <c:pt idx="1096">
                  <c:v>1.76%</c:v>
                </c:pt>
                <c:pt idx="1097">
                  <c:v>0.63%</c:v>
                </c:pt>
                <c:pt idx="1098">
                  <c:v>1.79%</c:v>
                </c:pt>
                <c:pt idx="1099">
                  <c:v>-0.25%</c:v>
                </c:pt>
                <c:pt idx="1100">
                  <c:v>0.04%</c:v>
                </c:pt>
                <c:pt idx="1101">
                  <c:v>1.59%</c:v>
                </c:pt>
                <c:pt idx="1102">
                  <c:v>-0.16%</c:v>
                </c:pt>
                <c:pt idx="1103">
                  <c:v>-0.66%</c:v>
                </c:pt>
                <c:pt idx="1104">
                  <c:v>2.06%</c:v>
                </c:pt>
                <c:pt idx="1105">
                  <c:v>-0.14%</c:v>
                </c:pt>
                <c:pt idx="1106">
                  <c:v>-0.88%</c:v>
                </c:pt>
                <c:pt idx="1107">
                  <c:v>0.02%</c:v>
                </c:pt>
                <c:pt idx="1108">
                  <c:v>-2.39%</c:v>
                </c:pt>
                <c:pt idx="1109">
                  <c:v>1.22%</c:v>
                </c:pt>
                <c:pt idx="1110">
                  <c:v>1.56%</c:v>
                </c:pt>
                <c:pt idx="1111">
                  <c:v>-1.37%</c:v>
                </c:pt>
                <c:pt idx="1112">
                  <c:v>-0.73%</c:v>
                </c:pt>
                <c:pt idx="1113">
                  <c:v>2.14%</c:v>
                </c:pt>
                <c:pt idx="1114">
                  <c:v>1.13%</c:v>
                </c:pt>
                <c:pt idx="1115">
                  <c:v>-0.34%</c:v>
                </c:pt>
                <c:pt idx="1116">
                  <c:v>-0.15%</c:v>
                </c:pt>
                <c:pt idx="1117">
                  <c:v>0.49%</c:v>
                </c:pt>
                <c:pt idx="1118">
                  <c:v>1.65%</c:v>
                </c:pt>
                <c:pt idx="1119">
                  <c:v>0.91%</c:v>
                </c:pt>
                <c:pt idx="1120">
                  <c:v>0.68%</c:v>
                </c:pt>
                <c:pt idx="1121">
                  <c:v>-0.20%</c:v>
                </c:pt>
                <c:pt idx="1122">
                  <c:v>1.79%</c:v>
                </c:pt>
                <c:pt idx="1123">
                  <c:v>0.70%</c:v>
                </c:pt>
                <c:pt idx="1124">
                  <c:v>-1.21%</c:v>
                </c:pt>
                <c:pt idx="1125">
                  <c:v>-0.41%</c:v>
                </c:pt>
                <c:pt idx="1126">
                  <c:v>2.08%</c:v>
                </c:pt>
                <c:pt idx="1127">
                  <c:v>-2.02%</c:v>
                </c:pt>
                <c:pt idx="1128">
                  <c:v>-1.16%</c:v>
                </c:pt>
                <c:pt idx="1129">
                  <c:v>0.66%</c:v>
                </c:pt>
                <c:pt idx="1130">
                  <c:v>-0.12%</c:v>
                </c:pt>
                <c:pt idx="1131">
                  <c:v>-1.25%</c:v>
                </c:pt>
                <c:pt idx="1132">
                  <c:v>-3.94%</c:v>
                </c:pt>
                <c:pt idx="1133">
                  <c:v>-0.34%</c:v>
                </c:pt>
                <c:pt idx="1134">
                  <c:v>1.37%</c:v>
                </c:pt>
                <c:pt idx="1135">
                  <c:v>-1.10%</c:v>
                </c:pt>
                <c:pt idx="1136">
                  <c:v>-1.26%</c:v>
                </c:pt>
                <c:pt idx="1137">
                  <c:v>0.91%</c:v>
                </c:pt>
                <c:pt idx="1138">
                  <c:v>1.63%</c:v>
                </c:pt>
                <c:pt idx="1139">
                  <c:v>-0.96%</c:v>
                </c:pt>
                <c:pt idx="1140">
                  <c:v>-0.36%</c:v>
                </c:pt>
                <c:pt idx="1141">
                  <c:v>-1.69%</c:v>
                </c:pt>
                <c:pt idx="1142">
                  <c:v>0.03%</c:v>
                </c:pt>
                <c:pt idx="1143">
                  <c:v>-0.81%</c:v>
                </c:pt>
                <c:pt idx="1144">
                  <c:v>-0.16%</c:v>
                </c:pt>
                <c:pt idx="1145">
                  <c:v>-2.74%</c:v>
                </c:pt>
                <c:pt idx="1146">
                  <c:v>1.08%</c:v>
                </c:pt>
                <c:pt idx="1147">
                  <c:v>-2.06%</c:v>
                </c:pt>
                <c:pt idx="1148">
                  <c:v>-1.49%</c:v>
                </c:pt>
                <c:pt idx="1149">
                  <c:v>-0.24%</c:v>
                </c:pt>
                <c:pt idx="1150">
                  <c:v>-2.25%</c:v>
                </c:pt>
                <c:pt idx="1151">
                  <c:v>-1.80%</c:v>
                </c:pt>
                <c:pt idx="1152">
                  <c:v>-1.03%</c:v>
                </c:pt>
                <c:pt idx="1153">
                  <c:v>-2.05%</c:v>
                </c:pt>
                <c:pt idx="1154">
                  <c:v>-0.77%</c:v>
                </c:pt>
                <c:pt idx="1155">
                  <c:v>-0.08%</c:v>
                </c:pt>
                <c:pt idx="1156">
                  <c:v>1.97%</c:v>
                </c:pt>
                <c:pt idx="1157">
                  <c:v>1.02%</c:v>
                </c:pt>
                <c:pt idx="1158">
                  <c:v>-2.75%</c:v>
                </c:pt>
                <c:pt idx="1159">
                  <c:v>-0.20%</c:v>
                </c:pt>
                <c:pt idx="1160">
                  <c:v>-0.94%</c:v>
                </c:pt>
                <c:pt idx="1161">
                  <c:v>0.55%</c:v>
                </c:pt>
                <c:pt idx="1162">
                  <c:v>-0.35%</c:v>
                </c:pt>
                <c:pt idx="1163">
                  <c:v>0.43%</c:v>
                </c:pt>
                <c:pt idx="1164">
                  <c:v>0.77%</c:v>
                </c:pt>
                <c:pt idx="1165">
                  <c:v>-0.41%</c:v>
                </c:pt>
                <c:pt idx="1166">
                  <c:v>-1.84%</c:v>
                </c:pt>
                <c:pt idx="1167">
                  <c:v>-0.43%</c:v>
                </c:pt>
                <c:pt idx="1168">
                  <c:v>0.74%</c:v>
                </c:pt>
                <c:pt idx="1169">
                  <c:v>0.68%</c:v>
                </c:pt>
                <c:pt idx="1170">
                  <c:v>-0.18%</c:v>
                </c:pt>
                <c:pt idx="1171">
                  <c:v>0.79%</c:v>
                </c:pt>
                <c:pt idx="1172">
                  <c:v>-0.07%</c:v>
                </c:pt>
                <c:pt idx="1173">
                  <c:v>-1.43%</c:v>
                </c:pt>
                <c:pt idx="1174">
                  <c:v>0.23%</c:v>
                </c:pt>
                <c:pt idx="1175">
                  <c:v>0.98%</c:v>
                </c:pt>
                <c:pt idx="1176">
                  <c:v>1.52%</c:v>
                </c:pt>
                <c:pt idx="1177">
                  <c:v>-0.63%</c:v>
                </c:pt>
                <c:pt idx="1178">
                  <c:v>0.18%</c:v>
                </c:pt>
                <c:pt idx="1179">
                  <c:v>-0.24%</c:v>
                </c:pt>
                <c:pt idx="1180">
                  <c:v>-1.49%</c:v>
                </c:pt>
                <c:pt idx="1181">
                  <c:v>0.40%</c:v>
                </c:pt>
                <c:pt idx="1182">
                  <c:v>-1.02%</c:v>
                </c:pt>
                <c:pt idx="1183">
                  <c:v>0.11%</c:v>
                </c:pt>
                <c:pt idx="1184">
                  <c:v>-0.72%</c:v>
                </c:pt>
                <c:pt idx="1185">
                  <c:v>-0.64%</c:v>
                </c:pt>
                <c:pt idx="1186">
                  <c:v>-0.03%</c:v>
                </c:pt>
                <c:pt idx="1187">
                  <c:v>0.13%</c:v>
                </c:pt>
                <c:pt idx="1188">
                  <c:v>0.60%</c:v>
                </c:pt>
                <c:pt idx="1189">
                  <c:v>-0.43%</c:v>
                </c:pt>
                <c:pt idx="1190">
                  <c:v>-0.28%</c:v>
                </c:pt>
                <c:pt idx="1191">
                  <c:v>0.45%</c:v>
                </c:pt>
                <c:pt idx="1192">
                  <c:v>-0.44%</c:v>
                </c:pt>
                <c:pt idx="1193">
                  <c:v>0.06%</c:v>
                </c:pt>
                <c:pt idx="1194">
                  <c:v>-0.62%</c:v>
                </c:pt>
                <c:pt idx="1195">
                  <c:v>-0.02%</c:v>
                </c:pt>
                <c:pt idx="1196">
                  <c:v>0.97%</c:v>
                </c:pt>
                <c:pt idx="1197">
                  <c:v>0.96%</c:v>
                </c:pt>
                <c:pt idx="1198">
                  <c:v>0.96%</c:v>
                </c:pt>
                <c:pt idx="1199">
                  <c:v>1.41%</c:v>
                </c:pt>
                <c:pt idx="1200">
                  <c:v>0.21%</c:v>
                </c:pt>
                <c:pt idx="1201">
                  <c:v>1.16%</c:v>
                </c:pt>
                <c:pt idx="1202">
                  <c:v>-0.33%</c:v>
                </c:pt>
                <c:pt idx="1203">
                  <c:v>1.18%</c:v>
                </c:pt>
                <c:pt idx="1204">
                  <c:v>0.89%</c:v>
                </c:pt>
                <c:pt idx="1205">
                  <c:v>1.92%</c:v>
                </c:pt>
                <c:pt idx="1206">
                  <c:v>0.98%</c:v>
                </c:pt>
                <c:pt idx="1207">
                  <c:v>0.80%</c:v>
                </c:pt>
                <c:pt idx="1208">
                  <c:v>0.39%</c:v>
                </c:pt>
                <c:pt idx="1209">
                  <c:v>-0.53%</c:v>
                </c:pt>
                <c:pt idx="1210">
                  <c:v>-0.70%</c:v>
                </c:pt>
                <c:pt idx="1211">
                  <c:v>1.00%</c:v>
                </c:pt>
                <c:pt idx="1212">
                  <c:v>-1.42%</c:v>
                </c:pt>
                <c:pt idx="1213">
                  <c:v>1.81%</c:v>
                </c:pt>
                <c:pt idx="1214">
                  <c:v>0.27%</c:v>
                </c:pt>
                <c:pt idx="1215">
                  <c:v>0.73%</c:v>
                </c:pt>
                <c:pt idx="1216">
                  <c:v>1.14%</c:v>
                </c:pt>
                <c:pt idx="1217">
                  <c:v>0.32%</c:v>
                </c:pt>
                <c:pt idx="1218">
                  <c:v>-0.06%</c:v>
                </c:pt>
                <c:pt idx="1219">
                  <c:v>-2.40%</c:v>
                </c:pt>
                <c:pt idx="1220">
                  <c:v>0.44%</c:v>
                </c:pt>
                <c:pt idx="1221">
                  <c:v>0.67%</c:v>
                </c:pt>
                <c:pt idx="1222">
                  <c:v>-1.63%</c:v>
                </c:pt>
                <c:pt idx="1223">
                  <c:v>0.25%</c:v>
                </c:pt>
                <c:pt idx="1224">
                  <c:v>-0.08%</c:v>
                </c:pt>
                <c:pt idx="1225">
                  <c:v>1.22%</c:v>
                </c:pt>
                <c:pt idx="1226">
                  <c:v>-1.90%</c:v>
                </c:pt>
                <c:pt idx="1227">
                  <c:v>-0.59%</c:v>
                </c:pt>
                <c:pt idx="1228">
                  <c:v>-0.19%</c:v>
                </c:pt>
                <c:pt idx="1229">
                  <c:v>-0.94%</c:v>
                </c:pt>
                <c:pt idx="1230">
                  <c:v>0.25%</c:v>
                </c:pt>
                <c:pt idx="1231">
                  <c:v>-2.30%</c:v>
                </c:pt>
                <c:pt idx="1232">
                  <c:v>-2.54%</c:v>
                </c:pt>
                <c:pt idx="1233">
                  <c:v>0.01%</c:v>
                </c:pt>
                <c:pt idx="1234">
                  <c:v>0.66%</c:v>
                </c:pt>
                <c:pt idx="1235">
                  <c:v>-0.90%</c:v>
                </c:pt>
                <c:pt idx="1236">
                  <c:v>0.45%</c:v>
                </c:pt>
                <c:pt idx="1237">
                  <c:v>0.38%</c:v>
                </c:pt>
                <c:pt idx="1238">
                  <c:v>0.69%</c:v>
                </c:pt>
                <c:pt idx="1239">
                  <c:v>0.12%</c:v>
                </c:pt>
                <c:pt idx="1240">
                  <c:v>-1.90%</c:v>
                </c:pt>
                <c:pt idx="1241">
                  <c:v>0.04%</c:v>
                </c:pt>
                <c:pt idx="1242">
                  <c:v>0.18%</c:v>
                </c:pt>
                <c:pt idx="1243">
                  <c:v>1.74%</c:v>
                </c:pt>
                <c:pt idx="1244">
                  <c:v>-1.66%</c:v>
                </c:pt>
                <c:pt idx="1245">
                  <c:v>2.63%</c:v>
                </c:pt>
                <c:pt idx="1246">
                  <c:v>-0.06%</c:v>
                </c:pt>
                <c:pt idx="1247">
                  <c:v>-1.17%</c:v>
                </c:pt>
                <c:pt idx="1248">
                  <c:v>-0.29%</c:v>
                </c:pt>
                <c:pt idx="1249">
                  <c:v>1.30%</c:v>
                </c:pt>
                <c:pt idx="1250">
                  <c:v>0.09%</c:v>
                </c:pt>
                <c:pt idx="1251">
                  <c:v>-0.82%</c:v>
                </c:pt>
                <c:pt idx="1252">
                  <c:v>0.82%</c:v>
                </c:pt>
                <c:pt idx="1253">
                  <c:v>1.15%</c:v>
                </c:pt>
                <c:pt idx="1254">
                  <c:v>0.04%</c:v>
                </c:pt>
                <c:pt idx="1255">
                  <c:v>1.97%</c:v>
                </c:pt>
                <c:pt idx="1256">
                  <c:v>2.43%</c:v>
                </c:pt>
                <c:pt idx="1257">
                  <c:v>-2.71%</c:v>
                </c:pt>
                <c:pt idx="1258">
                  <c:v>0.07%</c:v>
                </c:pt>
                <c:pt idx="1259">
                  <c:v>2.14%</c:v>
                </c:pt>
                <c:pt idx="1260">
                  <c:v>0.60%</c:v>
                </c:pt>
                <c:pt idx="1261">
                  <c:v>1.72%</c:v>
                </c:pt>
                <c:pt idx="1262">
                  <c:v>0.68%</c:v>
                </c:pt>
                <c:pt idx="1263">
                  <c:v>-1.60%</c:v>
                </c:pt>
                <c:pt idx="1264">
                  <c:v>-0.68%</c:v>
                </c:pt>
                <c:pt idx="1265">
                  <c:v>0.03%</c:v>
                </c:pt>
                <c:pt idx="1266">
                  <c:v>1.55%</c:v>
                </c:pt>
                <c:pt idx="1267">
                  <c:v>-0.04%</c:v>
                </c:pt>
                <c:pt idx="1268">
                  <c:v>-0.51%</c:v>
                </c:pt>
                <c:pt idx="1269">
                  <c:v>-0.58%</c:v>
                </c:pt>
                <c:pt idx="1270">
                  <c:v>0.25%</c:v>
                </c:pt>
                <c:pt idx="1271">
                  <c:v>0.27%</c:v>
                </c:pt>
                <c:pt idx="1272">
                  <c:v>2.64%</c:v>
                </c:pt>
                <c:pt idx="1273">
                  <c:v>-0.12%</c:v>
                </c:pt>
                <c:pt idx="1274">
                  <c:v>-1.37%</c:v>
                </c:pt>
                <c:pt idx="1275">
                  <c:v>0.74%</c:v>
                </c:pt>
                <c:pt idx="1276">
                  <c:v>0.34%</c:v>
                </c:pt>
                <c:pt idx="1277">
                  <c:v>0.23%</c:v>
                </c:pt>
                <c:pt idx="1278">
                  <c:v>-0.77%</c:v>
                </c:pt>
                <c:pt idx="1279">
                  <c:v>0.57%</c:v>
                </c:pt>
                <c:pt idx="1280">
                  <c:v>-0.51%</c:v>
                </c:pt>
                <c:pt idx="1281">
                  <c:v>-0.58%</c:v>
                </c:pt>
                <c:pt idx="1282">
                  <c:v>-0.63%</c:v>
                </c:pt>
                <c:pt idx="1283">
                  <c:v>1.15%</c:v>
                </c:pt>
                <c:pt idx="1284">
                  <c:v>-1.59%</c:v>
                </c:pt>
                <c:pt idx="1285">
                  <c:v>-0.07%</c:v>
                </c:pt>
                <c:pt idx="1286">
                  <c:v>-0.26%</c:v>
                </c:pt>
                <c:pt idx="1287">
                  <c:v>0.88%</c:v>
                </c:pt>
                <c:pt idx="1288">
                  <c:v>-0.17%</c:v>
                </c:pt>
                <c:pt idx="1289">
                  <c:v>1.07%</c:v>
                </c:pt>
                <c:pt idx="1290">
                  <c:v>-0.83%</c:v>
                </c:pt>
                <c:pt idx="1291">
                  <c:v>0.53%</c:v>
                </c:pt>
                <c:pt idx="1292">
                  <c:v>0.35%</c:v>
                </c:pt>
                <c:pt idx="1293">
                  <c:v>0.13%</c:v>
                </c:pt>
                <c:pt idx="1294">
                  <c:v>1.81%</c:v>
                </c:pt>
                <c:pt idx="1295">
                  <c:v>0.64%</c:v>
                </c:pt>
                <c:pt idx="1296">
                  <c:v>0.34%</c:v>
                </c:pt>
                <c:pt idx="1297">
                  <c:v>1.28%</c:v>
                </c:pt>
                <c:pt idx="1298">
                  <c:v>0.47%</c:v>
                </c:pt>
                <c:pt idx="1299">
                  <c:v>-0.25%</c:v>
                </c:pt>
                <c:pt idx="1300">
                  <c:v>1.13%</c:v>
                </c:pt>
                <c:pt idx="1301">
                  <c:v>2.57%</c:v>
                </c:pt>
                <c:pt idx="1302">
                  <c:v>-0.60%</c:v>
                </c:pt>
                <c:pt idx="1303">
                  <c:v>0.77%</c:v>
                </c:pt>
                <c:pt idx="1304">
                  <c:v>0.19%</c:v>
                </c:pt>
                <c:pt idx="1305">
                  <c:v>0.14%</c:v>
                </c:pt>
                <c:pt idx="1306">
                  <c:v>-2.10%</c:v>
                </c:pt>
                <c:pt idx="1307">
                  <c:v>-0.69%</c:v>
                </c:pt>
                <c:pt idx="1308">
                  <c:v>-0.87%</c:v>
                </c:pt>
                <c:pt idx="1309">
                  <c:v>1.66%</c:v>
                </c:pt>
                <c:pt idx="1310">
                  <c:v>-1.23%</c:v>
                </c:pt>
                <c:pt idx="1311">
                  <c:v>1.54%</c:v>
                </c:pt>
                <c:pt idx="1312">
                  <c:v>-1.04%</c:v>
                </c:pt>
                <c:pt idx="1313">
                  <c:v>-0.16%</c:v>
                </c:pt>
                <c:pt idx="1314">
                  <c:v>-0.42%</c:v>
                </c:pt>
                <c:pt idx="1315">
                  <c:v>-0.59%</c:v>
                </c:pt>
                <c:pt idx="1316">
                  <c:v>-1.73%</c:v>
                </c:pt>
                <c:pt idx="1317">
                  <c:v>1.61%</c:v>
                </c:pt>
                <c:pt idx="1318">
                  <c:v>1.31%</c:v>
                </c:pt>
                <c:pt idx="1319">
                  <c:v>1.40%</c:v>
                </c:pt>
                <c:pt idx="1320">
                  <c:v>1.13%</c:v>
                </c:pt>
                <c:pt idx="1321">
                  <c:v>1.07%</c:v>
                </c:pt>
                <c:pt idx="1322">
                  <c:v>1.44%</c:v>
                </c:pt>
                <c:pt idx="1323">
                  <c:v>-0.83%</c:v>
                </c:pt>
                <c:pt idx="1324">
                  <c:v>0.68%</c:v>
                </c:pt>
                <c:pt idx="1325">
                  <c:v>1.68%</c:v>
                </c:pt>
                <c:pt idx="1326">
                  <c:v>0.43%</c:v>
                </c:pt>
                <c:pt idx="1327">
                  <c:v>-0.17%</c:v>
                </c:pt>
                <c:pt idx="1328">
                  <c:v>-0.96%</c:v>
                </c:pt>
                <c:pt idx="1329">
                  <c:v>-0.26%</c:v>
                </c:pt>
                <c:pt idx="1330">
                  <c:v>-0.49%</c:v>
                </c:pt>
                <c:pt idx="1331">
                  <c:v>-3.35%</c:v>
                </c:pt>
                <c:pt idx="1332">
                  <c:v>0.57%</c:v>
                </c:pt>
                <c:pt idx="1333">
                  <c:v>1.77%</c:v>
                </c:pt>
                <c:pt idx="1334">
                  <c:v>0.75%</c:v>
                </c:pt>
                <c:pt idx="1335">
                  <c:v>0.24%</c:v>
                </c:pt>
                <c:pt idx="1336">
                  <c:v>-0.79%</c:v>
                </c:pt>
                <c:pt idx="1337">
                  <c:v>-0.23%</c:v>
                </c:pt>
                <c:pt idx="1338">
                  <c:v>1.63%</c:v>
                </c:pt>
                <c:pt idx="1339">
                  <c:v>-1.51%</c:v>
                </c:pt>
                <c:pt idx="1340">
                  <c:v>2.60%</c:v>
                </c:pt>
                <c:pt idx="1341">
                  <c:v>-1.67%</c:v>
                </c:pt>
                <c:pt idx="1342">
                  <c:v>1.01%</c:v>
                </c:pt>
                <c:pt idx="1343">
                  <c:v>-0.72%</c:v>
                </c:pt>
                <c:pt idx="1344">
                  <c:v>-0.47%</c:v>
                </c:pt>
                <c:pt idx="1345">
                  <c:v>-2.41%</c:v>
                </c:pt>
                <c:pt idx="1346">
                  <c:v>1.11%</c:v>
                </c:pt>
                <c:pt idx="1347">
                  <c:v>0.52%</c:v>
                </c:pt>
                <c:pt idx="1348">
                  <c:v>1.26%</c:v>
                </c:pt>
                <c:pt idx="1349">
                  <c:v>-0.53%</c:v>
                </c:pt>
                <c:pt idx="1350">
                  <c:v>1.55%</c:v>
                </c:pt>
                <c:pt idx="1351">
                  <c:v>0.25%</c:v>
                </c:pt>
                <c:pt idx="1352">
                  <c:v>-0.16%</c:v>
                </c:pt>
                <c:pt idx="1353">
                  <c:v>-0.53%</c:v>
                </c:pt>
                <c:pt idx="1354">
                  <c:v>1.44%</c:v>
                </c:pt>
                <c:pt idx="1355">
                  <c:v>0.45%</c:v>
                </c:pt>
                <c:pt idx="1356">
                  <c:v>0.52%</c:v>
                </c:pt>
                <c:pt idx="1357">
                  <c:v>-1.64%</c:v>
                </c:pt>
                <c:pt idx="1358">
                  <c:v>-0.03%</c:v>
                </c:pt>
                <c:pt idx="1359">
                  <c:v>-1.10%</c:v>
                </c:pt>
                <c:pt idx="1360">
                  <c:v>-0.88%</c:v>
                </c:pt>
                <c:pt idx="1361">
                  <c:v>-2.07%</c:v>
                </c:pt>
                <c:pt idx="1362">
                  <c:v>0.71%</c:v>
                </c:pt>
                <c:pt idx="1363">
                  <c:v>-0.09%</c:v>
                </c:pt>
                <c:pt idx="1364">
                  <c:v>0.04%</c:v>
                </c:pt>
                <c:pt idx="1365">
                  <c:v>-1.08%</c:v>
                </c:pt>
                <c:pt idx="1366">
                  <c:v>0.25%</c:v>
                </c:pt>
                <c:pt idx="1367">
                  <c:v>-1.09%</c:v>
                </c:pt>
                <c:pt idx="1368">
                  <c:v>-0.06%</c:v>
                </c:pt>
                <c:pt idx="1369">
                  <c:v>0.75%</c:v>
                </c:pt>
                <c:pt idx="1370">
                  <c:v>0.46%</c:v>
                </c:pt>
                <c:pt idx="1371">
                  <c:v>0.71%</c:v>
                </c:pt>
                <c:pt idx="1372">
                  <c:v>-0.73%</c:v>
                </c:pt>
                <c:pt idx="1373">
                  <c:v>-2.17%</c:v>
                </c:pt>
                <c:pt idx="1374">
                  <c:v>0.35%</c:v>
                </c:pt>
                <c:pt idx="1375">
                  <c:v>-1.17%</c:v>
                </c:pt>
                <c:pt idx="1376">
                  <c:v>-0.33%</c:v>
                </c:pt>
                <c:pt idx="1377">
                  <c:v>-1.30%</c:v>
                </c:pt>
                <c:pt idx="1378">
                  <c:v>-0.23%</c:v>
                </c:pt>
                <c:pt idx="1379">
                  <c:v>0.79%</c:v>
                </c:pt>
                <c:pt idx="1380">
                  <c:v>-0.34%</c:v>
                </c:pt>
                <c:pt idx="1381">
                  <c:v>-1.35%</c:v>
                </c:pt>
                <c:pt idx="1382">
                  <c:v>0.20%</c:v>
                </c:pt>
                <c:pt idx="1383">
                  <c:v>0.34%</c:v>
                </c:pt>
                <c:pt idx="1384">
                  <c:v>0.06%</c:v>
                </c:pt>
                <c:pt idx="1385">
                  <c:v>0.36%</c:v>
                </c:pt>
                <c:pt idx="1386">
                  <c:v>1.44%</c:v>
                </c:pt>
                <c:pt idx="1387">
                  <c:v>1.92%</c:v>
                </c:pt>
                <c:pt idx="1388">
                  <c:v>0.84%</c:v>
                </c:pt>
                <c:pt idx="1389">
                  <c:v>-0.36%</c:v>
                </c:pt>
                <c:pt idx="1390">
                  <c:v>0.45%</c:v>
                </c:pt>
                <c:pt idx="1391">
                  <c:v>-1.54%</c:v>
                </c:pt>
                <c:pt idx="1392">
                  <c:v>0.05%</c:v>
                </c:pt>
                <c:pt idx="1393">
                  <c:v>2.15%</c:v>
                </c:pt>
                <c:pt idx="1394">
                  <c:v>-0.02%</c:v>
                </c:pt>
                <c:pt idx="1395">
                  <c:v>0.02%</c:v>
                </c:pt>
                <c:pt idx="1396">
                  <c:v>-0.85%</c:v>
                </c:pt>
                <c:pt idx="1397">
                  <c:v>1.30%</c:v>
                </c:pt>
                <c:pt idx="1398">
                  <c:v>-0.29%</c:v>
                </c:pt>
                <c:pt idx="1399">
                  <c:v>0.38%</c:v>
                </c:pt>
                <c:pt idx="1400">
                  <c:v>-0.36%</c:v>
                </c:pt>
                <c:pt idx="1401">
                  <c:v>-1.34%</c:v>
                </c:pt>
                <c:pt idx="1402">
                  <c:v>-0.17%</c:v>
                </c:pt>
                <c:pt idx="1403">
                  <c:v>-1.11%</c:v>
                </c:pt>
                <c:pt idx="1404">
                  <c:v>-0.73%</c:v>
                </c:pt>
                <c:pt idx="1405">
                  <c:v>-0.61%</c:v>
                </c:pt>
                <c:pt idx="1406">
                  <c:v>1.99%</c:v>
                </c:pt>
                <c:pt idx="1407">
                  <c:v>0.77%</c:v>
                </c:pt>
                <c:pt idx="1408">
                  <c:v>0.39%</c:v>
                </c:pt>
                <c:pt idx="1409">
                  <c:v>-0.68%</c:v>
                </c:pt>
                <c:pt idx="1410">
                  <c:v>0.73%</c:v>
                </c:pt>
                <c:pt idx="1411">
                  <c:v>-0.12%</c:v>
                </c:pt>
                <c:pt idx="1412">
                  <c:v>1.42%</c:v>
                </c:pt>
                <c:pt idx="1413">
                  <c:v>-0.21%</c:v>
                </c:pt>
                <c:pt idx="1414">
                  <c:v>1.99%</c:v>
                </c:pt>
                <c:pt idx="1415">
                  <c:v>-0.23%</c:v>
                </c:pt>
                <c:pt idx="1416">
                  <c:v>0.14%</c:v>
                </c:pt>
                <c:pt idx="1417">
                  <c:v>-0.49%</c:v>
                </c:pt>
                <c:pt idx="1418">
                  <c:v>0.01%</c:v>
                </c:pt>
                <c:pt idx="1419">
                  <c:v>-1.08%</c:v>
                </c:pt>
                <c:pt idx="1420">
                  <c:v>-1.27%</c:v>
                </c:pt>
                <c:pt idx="1421">
                  <c:v>-1.85%</c:v>
                </c:pt>
                <c:pt idx="1422">
                  <c:v>-0.92%</c:v>
                </c:pt>
                <c:pt idx="1423">
                  <c:v>-1.04%</c:v>
                </c:pt>
                <c:pt idx="1424">
                  <c:v>0.36%</c:v>
                </c:pt>
                <c:pt idx="1425">
                  <c:v>-0.70%</c:v>
                </c:pt>
                <c:pt idx="1426">
                  <c:v>-0.14%</c:v>
                </c:pt>
                <c:pt idx="1427">
                  <c:v>1.52%</c:v>
                </c:pt>
                <c:pt idx="1428">
                  <c:v>0.71%</c:v>
                </c:pt>
                <c:pt idx="1429">
                  <c:v>-1.74%</c:v>
                </c:pt>
                <c:pt idx="1430">
                  <c:v>0.50%</c:v>
                </c:pt>
                <c:pt idx="1431">
                  <c:v>0.72%</c:v>
                </c:pt>
                <c:pt idx="1432">
                  <c:v>-0.13%</c:v>
                </c:pt>
                <c:pt idx="1433">
                  <c:v>-1.04%</c:v>
                </c:pt>
                <c:pt idx="1434">
                  <c:v>0.45%</c:v>
                </c:pt>
                <c:pt idx="1435">
                  <c:v>-0.25%</c:v>
                </c:pt>
                <c:pt idx="1436">
                  <c:v>0.34%</c:v>
                </c:pt>
                <c:pt idx="1437">
                  <c:v>0.69%</c:v>
                </c:pt>
                <c:pt idx="1438">
                  <c:v>0.51%</c:v>
                </c:pt>
                <c:pt idx="1439">
                  <c:v>-0.52%</c:v>
                </c:pt>
                <c:pt idx="1440">
                  <c:v>-1.79%</c:v>
                </c:pt>
                <c:pt idx="1441">
                  <c:v>0.14%</c:v>
                </c:pt>
                <c:pt idx="1442">
                  <c:v>-0.10%</c:v>
                </c:pt>
                <c:pt idx="1443">
                  <c:v>-0.15%</c:v>
                </c:pt>
                <c:pt idx="1444">
                  <c:v>0.40%</c:v>
                </c:pt>
                <c:pt idx="1445">
                  <c:v>0.64%</c:v>
                </c:pt>
                <c:pt idx="1446">
                  <c:v>-1.19%</c:v>
                </c:pt>
                <c:pt idx="1447">
                  <c:v>0.99%</c:v>
                </c:pt>
                <c:pt idx="1448">
                  <c:v>0.43%</c:v>
                </c:pt>
                <c:pt idx="1449">
                  <c:v>0.22%</c:v>
                </c:pt>
                <c:pt idx="1450">
                  <c:v>0.11%</c:v>
                </c:pt>
                <c:pt idx="1451">
                  <c:v>2.52%</c:v>
                </c:pt>
                <c:pt idx="1452">
                  <c:v>0.55%</c:v>
                </c:pt>
                <c:pt idx="1453">
                  <c:v>-0.06%</c:v>
                </c:pt>
                <c:pt idx="1454">
                  <c:v>-1.77%</c:v>
                </c:pt>
                <c:pt idx="1455">
                  <c:v>-0.27%</c:v>
                </c:pt>
                <c:pt idx="1456">
                  <c:v>0.59%</c:v>
                </c:pt>
                <c:pt idx="1457">
                  <c:v>-1.40%</c:v>
                </c:pt>
                <c:pt idx="1458">
                  <c:v>-0.13%</c:v>
                </c:pt>
                <c:pt idx="1459">
                  <c:v>0.20%</c:v>
                </c:pt>
                <c:pt idx="1460">
                  <c:v>0.93%</c:v>
                </c:pt>
                <c:pt idx="1461">
                  <c:v>-1.67%</c:v>
                </c:pt>
                <c:pt idx="1462">
                  <c:v>-0.17%</c:v>
                </c:pt>
                <c:pt idx="1463">
                  <c:v>-0.23%</c:v>
                </c:pt>
                <c:pt idx="1464">
                  <c:v>0.04%</c:v>
                </c:pt>
                <c:pt idx="1465">
                  <c:v>0.51%</c:v>
                </c:pt>
                <c:pt idx="1466">
                  <c:v>1.03%</c:v>
                </c:pt>
                <c:pt idx="1467">
                  <c:v>1.28%</c:v>
                </c:pt>
                <c:pt idx="1468">
                  <c:v>2.98%</c:v>
                </c:pt>
                <c:pt idx="1469">
                  <c:v>0.29%</c:v>
                </c:pt>
                <c:pt idx="1470">
                  <c:v>0.55%</c:v>
                </c:pt>
                <c:pt idx="1471">
                  <c:v>-0.11%</c:v>
                </c:pt>
                <c:pt idx="1472">
                  <c:v>-0.05%</c:v>
                </c:pt>
                <c:pt idx="1473">
                  <c:v>-0.99%</c:v>
                </c:pt>
                <c:pt idx="1474">
                  <c:v>-0.17%</c:v>
                </c:pt>
                <c:pt idx="1475">
                  <c:v>-0.70%</c:v>
                </c:pt>
                <c:pt idx="1476">
                  <c:v>-1.41%</c:v>
                </c:pt>
                <c:pt idx="1477">
                  <c:v>0.21%</c:v>
                </c:pt>
                <c:pt idx="1478">
                  <c:v>-0.60%</c:v>
                </c:pt>
                <c:pt idx="1479">
                  <c:v>0.27%</c:v>
                </c:pt>
                <c:pt idx="1480">
                  <c:v>-0.29%</c:v>
                </c:pt>
                <c:pt idx="1481">
                  <c:v>0.61%</c:v>
                </c:pt>
                <c:pt idx="1482">
                  <c:v>1.67%</c:v>
                </c:pt>
                <c:pt idx="1483">
                  <c:v>0.63%</c:v>
                </c:pt>
                <c:pt idx="1484">
                  <c:v>-0.37%</c:v>
                </c:pt>
                <c:pt idx="1485">
                  <c:v>-0.38%</c:v>
                </c:pt>
                <c:pt idx="1486">
                  <c:v>0.28%</c:v>
                </c:pt>
                <c:pt idx="1487">
                  <c:v>-0.44%</c:v>
                </c:pt>
                <c:pt idx="1488">
                  <c:v>-0.36%</c:v>
                </c:pt>
                <c:pt idx="1489">
                  <c:v>1.33%</c:v>
                </c:pt>
                <c:pt idx="1490">
                  <c:v>0.36%</c:v>
                </c:pt>
                <c:pt idx="1491">
                  <c:v>-0.50%</c:v>
                </c:pt>
                <c:pt idx="1492">
                  <c:v>0.25%</c:v>
                </c:pt>
                <c:pt idx="1493">
                  <c:v>-0.10%</c:v>
                </c:pt>
                <c:pt idx="1494">
                  <c:v>-0.54%</c:v>
                </c:pt>
                <c:pt idx="1495">
                  <c:v>0.32%</c:v>
                </c:pt>
                <c:pt idx="1496">
                  <c:v>-0.42%</c:v>
                </c:pt>
                <c:pt idx="1497">
                  <c:v>-0.64%</c:v>
                </c:pt>
                <c:pt idx="1498">
                  <c:v>0.85%</c:v>
                </c:pt>
                <c:pt idx="1499">
                  <c:v>-0.73%</c:v>
                </c:pt>
                <c:pt idx="1500">
                  <c:v>1.61%</c:v>
                </c:pt>
                <c:pt idx="1501">
                  <c:v>-1.37%</c:v>
                </c:pt>
                <c:pt idx="1502">
                  <c:v>0.56%</c:v>
                </c:pt>
                <c:pt idx="1503">
                  <c:v>0.48%</c:v>
                </c:pt>
                <c:pt idx="1504">
                  <c:v>0.44%</c:v>
                </c:pt>
                <c:pt idx="1505">
                  <c:v>0.37%</c:v>
                </c:pt>
                <c:pt idx="1506">
                  <c:v>1.06%</c:v>
                </c:pt>
                <c:pt idx="1507">
                  <c:v>-0.26%</c:v>
                </c:pt>
                <c:pt idx="1508">
                  <c:v>-0.39%</c:v>
                </c:pt>
                <c:pt idx="1509">
                  <c:v>-0.34%</c:v>
                </c:pt>
                <c:pt idx="1510">
                  <c:v>2.29%</c:v>
                </c:pt>
                <c:pt idx="1511">
                  <c:v>-1.14%</c:v>
                </c:pt>
                <c:pt idx="1512">
                  <c:v>1.26%</c:v>
                </c:pt>
                <c:pt idx="1513">
                  <c:v>-0.91%</c:v>
                </c:pt>
                <c:pt idx="1514">
                  <c:v>0.64%</c:v>
                </c:pt>
                <c:pt idx="1515">
                  <c:v>1.29%</c:v>
                </c:pt>
                <c:pt idx="1516">
                  <c:v>-1.35%</c:v>
                </c:pt>
                <c:pt idx="1517">
                  <c:v>-0.97%</c:v>
                </c:pt>
                <c:pt idx="1518">
                  <c:v>1.02%</c:v>
                </c:pt>
                <c:pt idx="1519">
                  <c:v>1.40%</c:v>
                </c:pt>
                <c:pt idx="1520">
                  <c:v>-0.63%</c:v>
                </c:pt>
                <c:pt idx="1521">
                  <c:v>2.02%</c:v>
                </c:pt>
                <c:pt idx="1522">
                  <c:v>-0.27%</c:v>
                </c:pt>
                <c:pt idx="1523">
                  <c:v>0.47%</c:v>
                </c:pt>
                <c:pt idx="1524">
                  <c:v>1.48%</c:v>
                </c:pt>
                <c:pt idx="1525">
                  <c:v>-0.80%</c:v>
                </c:pt>
                <c:pt idx="1526">
                  <c:v>1.92%</c:v>
                </c:pt>
                <c:pt idx="1527">
                  <c:v>-0.81%</c:v>
                </c:pt>
                <c:pt idx="1528">
                  <c:v>-0.07%</c:v>
                </c:pt>
                <c:pt idx="1529">
                  <c:v>-0.40%</c:v>
                </c:pt>
                <c:pt idx="1530">
                  <c:v>2.67%</c:v>
                </c:pt>
                <c:pt idx="1531">
                  <c:v>0.07%</c:v>
                </c:pt>
                <c:pt idx="1532">
                  <c:v>1.02%</c:v>
                </c:pt>
                <c:pt idx="1533">
                  <c:v>1.37%</c:v>
                </c:pt>
                <c:pt idx="1534">
                  <c:v>-0.45%</c:v>
                </c:pt>
                <c:pt idx="1535">
                  <c:v>1.06%</c:v>
                </c:pt>
                <c:pt idx="1536">
                  <c:v>-0.32%</c:v>
                </c:pt>
                <c:pt idx="1537">
                  <c:v>-1.92%</c:v>
                </c:pt>
                <c:pt idx="1538">
                  <c:v>-0.38%</c:v>
                </c:pt>
                <c:pt idx="1539">
                  <c:v>0.09%</c:v>
                </c:pt>
                <c:pt idx="1540">
                  <c:v>-2.50%</c:v>
                </c:pt>
                <c:pt idx="1541">
                  <c:v>-1.31%</c:v>
                </c:pt>
                <c:pt idx="1542">
                  <c:v>-0.05%</c:v>
                </c:pt>
                <c:pt idx="1543">
                  <c:v>0.52%</c:v>
                </c:pt>
                <c:pt idx="1544">
                  <c:v>0.75%</c:v>
                </c:pt>
                <c:pt idx="1545">
                  <c:v>0.01%</c:v>
                </c:pt>
                <c:pt idx="1546">
                  <c:v>-0.71%</c:v>
                </c:pt>
                <c:pt idx="1547">
                  <c:v>0.69%</c:v>
                </c:pt>
                <c:pt idx="1548">
                  <c:v>-1.51%</c:v>
                </c:pt>
                <c:pt idx="1549">
                  <c:v>0.84%</c:v>
                </c:pt>
                <c:pt idx="1550">
                  <c:v>-1.69%</c:v>
                </c:pt>
                <c:pt idx="1551">
                  <c:v>1.07%</c:v>
                </c:pt>
                <c:pt idx="1552">
                  <c:v>-0.99%</c:v>
                </c:pt>
                <c:pt idx="1553">
                  <c:v>1.80%</c:v>
                </c:pt>
                <c:pt idx="1554">
                  <c:v>-0.45%</c:v>
                </c:pt>
                <c:pt idx="1555">
                  <c:v>-0.67%</c:v>
                </c:pt>
                <c:pt idx="1556">
                  <c:v>-1.12%</c:v>
                </c:pt>
                <c:pt idx="1557">
                  <c:v>0.69%</c:v>
                </c:pt>
                <c:pt idx="1558">
                  <c:v>-1.33%</c:v>
                </c:pt>
                <c:pt idx="1559">
                  <c:v>-0.26%</c:v>
                </c:pt>
                <c:pt idx="1560">
                  <c:v>0.52%</c:v>
                </c:pt>
                <c:pt idx="1561">
                  <c:v>-0.97%</c:v>
                </c:pt>
                <c:pt idx="1562">
                  <c:v>-1.00%</c:v>
                </c:pt>
                <c:pt idx="1563">
                  <c:v>-0.54%</c:v>
                </c:pt>
                <c:pt idx="1564">
                  <c:v>-1.50%</c:v>
                </c:pt>
                <c:pt idx="1565">
                  <c:v>-0.78%</c:v>
                </c:pt>
                <c:pt idx="1566">
                  <c:v>0.02%</c:v>
                </c:pt>
                <c:pt idx="1567">
                  <c:v>-1.73%</c:v>
                </c:pt>
                <c:pt idx="1568">
                  <c:v>0.04%</c:v>
                </c:pt>
                <c:pt idx="1569">
                  <c:v>0.12%</c:v>
                </c:pt>
                <c:pt idx="1570">
                  <c:v>0.25%</c:v>
                </c:pt>
                <c:pt idx="1571">
                  <c:v>0.03%</c:v>
                </c:pt>
                <c:pt idx="1572">
                  <c:v>-2.63%</c:v>
                </c:pt>
                <c:pt idx="1573">
                  <c:v>-0.99%</c:v>
                </c:pt>
                <c:pt idx="1574">
                  <c:v>0.39%</c:v>
                </c:pt>
                <c:pt idx="1575">
                  <c:v>-0.15%</c:v>
                </c:pt>
                <c:pt idx="1576">
                  <c:v>-1.25%</c:v>
                </c:pt>
                <c:pt idx="1577">
                  <c:v>1.82%</c:v>
                </c:pt>
                <c:pt idx="1578">
                  <c:v>1.44%</c:v>
                </c:pt>
                <c:pt idx="1579">
                  <c:v>-1.52%</c:v>
                </c:pt>
                <c:pt idx="1580">
                  <c:v>-0.14%</c:v>
                </c:pt>
                <c:pt idx="1581">
                  <c:v>0.64%</c:v>
                </c:pt>
                <c:pt idx="1582">
                  <c:v>1.87%</c:v>
                </c:pt>
                <c:pt idx="1583">
                  <c:v>-2.38%</c:v>
                </c:pt>
                <c:pt idx="1584">
                  <c:v>0.76%</c:v>
                </c:pt>
                <c:pt idx="1585">
                  <c:v>-0.40%</c:v>
                </c:pt>
                <c:pt idx="1586">
                  <c:v>0.22%</c:v>
                </c:pt>
                <c:pt idx="1587">
                  <c:v>-0.30%</c:v>
                </c:pt>
                <c:pt idx="1588">
                  <c:v>1.92%</c:v>
                </c:pt>
                <c:pt idx="1589">
                  <c:v>2.24%</c:v>
                </c:pt>
                <c:pt idx="1590">
                  <c:v>-0.28%</c:v>
                </c:pt>
                <c:pt idx="1591">
                  <c:v>-1.02%</c:v>
                </c:pt>
                <c:pt idx="1592">
                  <c:v>2.93%</c:v>
                </c:pt>
                <c:pt idx="1593">
                  <c:v>0.52%</c:v>
                </c:pt>
                <c:pt idx="1594">
                  <c:v>-1.18%</c:v>
                </c:pt>
                <c:pt idx="1595">
                  <c:v>1.31%</c:v>
                </c:pt>
                <c:pt idx="1596">
                  <c:v>-0.20%</c:v>
                </c:pt>
                <c:pt idx="1597">
                  <c:v>-0.34%</c:v>
                </c:pt>
                <c:pt idx="1598">
                  <c:v>1.23%</c:v>
                </c:pt>
                <c:pt idx="1599">
                  <c:v>-1.92%</c:v>
                </c:pt>
                <c:pt idx="1600">
                  <c:v>1.10%</c:v>
                </c:pt>
                <c:pt idx="1601">
                  <c:v>0.24%</c:v>
                </c:pt>
                <c:pt idx="1602">
                  <c:v>0.44%</c:v>
                </c:pt>
                <c:pt idx="1603">
                  <c:v>0.25%</c:v>
                </c:pt>
                <c:pt idx="1604">
                  <c:v>-1.85%</c:v>
                </c:pt>
                <c:pt idx="1605">
                  <c:v>-0.84%</c:v>
                </c:pt>
                <c:pt idx="1606">
                  <c:v>0.46%</c:v>
                </c:pt>
                <c:pt idx="1607">
                  <c:v>0.62%</c:v>
                </c:pt>
                <c:pt idx="1608">
                  <c:v>-0.04%</c:v>
                </c:pt>
                <c:pt idx="1609">
                  <c:v>-1.85%</c:v>
                </c:pt>
                <c:pt idx="1610">
                  <c:v>-0.27%</c:v>
                </c:pt>
                <c:pt idx="1611">
                  <c:v>-0.87%</c:v>
                </c:pt>
                <c:pt idx="1612">
                  <c:v>-0.84%</c:v>
                </c:pt>
                <c:pt idx="1613">
                  <c:v>0.58%</c:v>
                </c:pt>
                <c:pt idx="1614">
                  <c:v>0.38%</c:v>
                </c:pt>
                <c:pt idx="1615">
                  <c:v>-1.68%</c:v>
                </c:pt>
                <c:pt idx="1616">
                  <c:v>-0.12%</c:v>
                </c:pt>
                <c:pt idx="1617">
                  <c:v>0.68%</c:v>
                </c:pt>
                <c:pt idx="1618">
                  <c:v>0.25%</c:v>
                </c:pt>
                <c:pt idx="1619">
                  <c:v>-0.16%</c:v>
                </c:pt>
                <c:pt idx="1620">
                  <c:v>0.05%</c:v>
                </c:pt>
                <c:pt idx="1621">
                  <c:v>-1.31%</c:v>
                </c:pt>
                <c:pt idx="1622">
                  <c:v>2.17%</c:v>
                </c:pt>
                <c:pt idx="1623">
                  <c:v>0.18%</c:v>
                </c:pt>
                <c:pt idx="1624">
                  <c:v>-0.95%</c:v>
                </c:pt>
                <c:pt idx="1625">
                  <c:v>-2.06%</c:v>
                </c:pt>
                <c:pt idx="1626">
                  <c:v>-1.97%</c:v>
                </c:pt>
                <c:pt idx="1627">
                  <c:v>-0.68%</c:v>
                </c:pt>
                <c:pt idx="1628">
                  <c:v>1.21%</c:v>
                </c:pt>
                <c:pt idx="1629">
                  <c:v>-0.62%</c:v>
                </c:pt>
                <c:pt idx="1630">
                  <c:v>-0.27%</c:v>
                </c:pt>
                <c:pt idx="1631">
                  <c:v>-1.12%</c:v>
                </c:pt>
                <c:pt idx="1632">
                  <c:v>1.72%</c:v>
                </c:pt>
                <c:pt idx="1633">
                  <c:v>2.58%</c:v>
                </c:pt>
                <c:pt idx="1634">
                  <c:v>-3.07%</c:v>
                </c:pt>
                <c:pt idx="1635">
                  <c:v>-0.39%</c:v>
                </c:pt>
                <c:pt idx="1636">
                  <c:v>0.59%</c:v>
                </c:pt>
                <c:pt idx="1637">
                  <c:v>0.59%</c:v>
                </c:pt>
                <c:pt idx="1638">
                  <c:v>-0.55%</c:v>
                </c:pt>
                <c:pt idx="1639">
                  <c:v>-0.51%</c:v>
                </c:pt>
                <c:pt idx="1640">
                  <c:v>0.80%</c:v>
                </c:pt>
                <c:pt idx="1641">
                  <c:v>1.75%</c:v>
                </c:pt>
                <c:pt idx="1642">
                  <c:v>-1.99%</c:v>
                </c:pt>
                <c:pt idx="1643">
                  <c:v>-0.76%</c:v>
                </c:pt>
                <c:pt idx="1644">
                  <c:v>0.55%</c:v>
                </c:pt>
                <c:pt idx="1645">
                  <c:v>-1.13%</c:v>
                </c:pt>
                <c:pt idx="1646">
                  <c:v>-0.59%</c:v>
                </c:pt>
                <c:pt idx="1647">
                  <c:v>1.53%</c:v>
                </c:pt>
                <c:pt idx="1648">
                  <c:v>0.35%</c:v>
                </c:pt>
                <c:pt idx="1649">
                  <c:v>-0.57%</c:v>
                </c:pt>
                <c:pt idx="1650">
                  <c:v>0.57%</c:v>
                </c:pt>
                <c:pt idx="1651">
                  <c:v>-1.51%</c:v>
                </c:pt>
                <c:pt idx="1652">
                  <c:v>0.22%</c:v>
                </c:pt>
                <c:pt idx="1653">
                  <c:v>0.55%</c:v>
                </c:pt>
                <c:pt idx="1654">
                  <c:v>1.40%</c:v>
                </c:pt>
                <c:pt idx="1655">
                  <c:v>0.76%</c:v>
                </c:pt>
                <c:pt idx="1656">
                  <c:v>0.19%</c:v>
                </c:pt>
                <c:pt idx="1657">
                  <c:v>-0.19%</c:v>
                </c:pt>
                <c:pt idx="1658">
                  <c:v>-0.25%</c:v>
                </c:pt>
                <c:pt idx="1659">
                  <c:v>1.42%</c:v>
                </c:pt>
                <c:pt idx="1660">
                  <c:v>1.44%</c:v>
                </c:pt>
                <c:pt idx="1661">
                  <c:v>0.65%</c:v>
                </c:pt>
                <c:pt idx="1662">
                  <c:v>0.08%</c:v>
                </c:pt>
                <c:pt idx="1663">
                  <c:v>-0.94%</c:v>
                </c:pt>
                <c:pt idx="1664">
                  <c:v>-1.50%</c:v>
                </c:pt>
                <c:pt idx="1665">
                  <c:v>-0.48%</c:v>
                </c:pt>
                <c:pt idx="1666">
                  <c:v>0.92%</c:v>
                </c:pt>
                <c:pt idx="1667">
                  <c:v>0.22%</c:v>
                </c:pt>
                <c:pt idx="1668">
                  <c:v>1.48%</c:v>
                </c:pt>
                <c:pt idx="1669">
                  <c:v>-0.18%</c:v>
                </c:pt>
                <c:pt idx="1670">
                  <c:v>-1.81%</c:v>
                </c:pt>
                <c:pt idx="1671">
                  <c:v>-0.75%</c:v>
                </c:pt>
                <c:pt idx="1672">
                  <c:v>0.98%</c:v>
                </c:pt>
                <c:pt idx="1673">
                  <c:v>0.31%</c:v>
                </c:pt>
                <c:pt idx="1674">
                  <c:v>0.17%</c:v>
                </c:pt>
                <c:pt idx="1675">
                  <c:v>-0.02%</c:v>
                </c:pt>
                <c:pt idx="1676">
                  <c:v>-0.54%</c:v>
                </c:pt>
                <c:pt idx="1677">
                  <c:v>0.76%</c:v>
                </c:pt>
                <c:pt idx="1678">
                  <c:v>-0.56%</c:v>
                </c:pt>
                <c:pt idx="1679">
                  <c:v>0.48%</c:v>
                </c:pt>
                <c:pt idx="1680">
                  <c:v>0.06%</c:v>
                </c:pt>
                <c:pt idx="1681">
                  <c:v>-1.79%</c:v>
                </c:pt>
                <c:pt idx="1682">
                  <c:v>1.78%</c:v>
                </c:pt>
                <c:pt idx="1683">
                  <c:v>-0.25%</c:v>
                </c:pt>
                <c:pt idx="1684">
                  <c:v>0.99%</c:v>
                </c:pt>
                <c:pt idx="1685">
                  <c:v>0.70%</c:v>
                </c:pt>
                <c:pt idx="1686">
                  <c:v>0.01%</c:v>
                </c:pt>
                <c:pt idx="1687">
                  <c:v>-0.49%</c:v>
                </c:pt>
                <c:pt idx="1688">
                  <c:v>0.26%</c:v>
                </c:pt>
                <c:pt idx="1689">
                  <c:v>-0.57%</c:v>
                </c:pt>
                <c:pt idx="1690">
                  <c:v>-0.91%</c:v>
                </c:pt>
                <c:pt idx="1691">
                  <c:v>-0.54%</c:v>
                </c:pt>
                <c:pt idx="1692">
                  <c:v>-1.86%</c:v>
                </c:pt>
                <c:pt idx="1693">
                  <c:v>-1.11%</c:v>
                </c:pt>
                <c:pt idx="1694">
                  <c:v>-0.13%</c:v>
                </c:pt>
                <c:pt idx="1695">
                  <c:v>0.67%</c:v>
                </c:pt>
                <c:pt idx="1696">
                  <c:v>-2.26%</c:v>
                </c:pt>
                <c:pt idx="1697">
                  <c:v>0.58%</c:v>
                </c:pt>
                <c:pt idx="1698">
                  <c:v>1.54%</c:v>
                </c:pt>
                <c:pt idx="1699">
                  <c:v>1.03%</c:v>
                </c:pt>
                <c:pt idx="1700">
                  <c:v>1.57%</c:v>
                </c:pt>
                <c:pt idx="1701">
                  <c:v>-1.33%</c:v>
                </c:pt>
                <c:pt idx="1702">
                  <c:v>-1.06%</c:v>
                </c:pt>
                <c:pt idx="1703">
                  <c:v>-1.56%</c:v>
                </c:pt>
                <c:pt idx="1704">
                  <c:v>1.58%</c:v>
                </c:pt>
                <c:pt idx="1705">
                  <c:v>2.51%</c:v>
                </c:pt>
                <c:pt idx="1706">
                  <c:v>-1.79%</c:v>
                </c:pt>
                <c:pt idx="1707">
                  <c:v>-0.15%</c:v>
                </c:pt>
                <c:pt idx="1708">
                  <c:v>-1.48%</c:v>
                </c:pt>
                <c:pt idx="1709">
                  <c:v>-2.09%</c:v>
                </c:pt>
                <c:pt idx="1710">
                  <c:v>-1.05%</c:v>
                </c:pt>
                <c:pt idx="1711">
                  <c:v>1.71%</c:v>
                </c:pt>
                <c:pt idx="1712">
                  <c:v>-0.53%</c:v>
                </c:pt>
                <c:pt idx="1713">
                  <c:v>0.94%</c:v>
                </c:pt>
                <c:pt idx="1714">
                  <c:v>0.78%</c:v>
                </c:pt>
                <c:pt idx="1715">
                  <c:v>-0.91%</c:v>
                </c:pt>
                <c:pt idx="1716">
                  <c:v>1.55%</c:v>
                </c:pt>
                <c:pt idx="1717">
                  <c:v>-1.20%</c:v>
                </c:pt>
                <c:pt idx="1718">
                  <c:v>-0.55%</c:v>
                </c:pt>
                <c:pt idx="1719">
                  <c:v>0.54%</c:v>
                </c:pt>
                <c:pt idx="1720">
                  <c:v>-0.31%</c:v>
                </c:pt>
                <c:pt idx="1721">
                  <c:v>-0.25%</c:v>
                </c:pt>
                <c:pt idx="1722">
                  <c:v>0.95%</c:v>
                </c:pt>
                <c:pt idx="1723">
                  <c:v>1.34%</c:v>
                </c:pt>
                <c:pt idx="1724">
                  <c:v>-2.01%</c:v>
                </c:pt>
                <c:pt idx="1725">
                  <c:v>0.07%</c:v>
                </c:pt>
                <c:pt idx="1726">
                  <c:v>1.47%</c:v>
                </c:pt>
                <c:pt idx="1727">
                  <c:v>1.83%</c:v>
                </c:pt>
                <c:pt idx="1728">
                  <c:v>-2.82%</c:v>
                </c:pt>
                <c:pt idx="1729">
                  <c:v>-0.84%</c:v>
                </c:pt>
                <c:pt idx="1730">
                  <c:v>0.13%</c:v>
                </c:pt>
                <c:pt idx="1731">
                  <c:v>-0.44%</c:v>
                </c:pt>
                <c:pt idx="1732">
                  <c:v>0.85%</c:v>
                </c:pt>
                <c:pt idx="1733">
                  <c:v>0.58%</c:v>
                </c:pt>
                <c:pt idx="1734">
                  <c:v>0.65%</c:v>
                </c:pt>
                <c:pt idx="1735">
                  <c:v>-0.24%</c:v>
                </c:pt>
                <c:pt idx="1736">
                  <c:v>-0.17%</c:v>
                </c:pt>
                <c:pt idx="1737">
                  <c:v>1.09%</c:v>
                </c:pt>
                <c:pt idx="1738">
                  <c:v>0.64%</c:v>
                </c:pt>
                <c:pt idx="1739">
                  <c:v>0.41%</c:v>
                </c:pt>
                <c:pt idx="1740">
                  <c:v>0.16%</c:v>
                </c:pt>
                <c:pt idx="1741">
                  <c:v>-0.83%</c:v>
                </c:pt>
                <c:pt idx="1742">
                  <c:v>-0.82%</c:v>
                </c:pt>
                <c:pt idx="1743">
                  <c:v>0.18%</c:v>
                </c:pt>
                <c:pt idx="1744">
                  <c:v>1.21%</c:v>
                </c:pt>
                <c:pt idx="1745">
                  <c:v>-1.11%</c:v>
                </c:pt>
                <c:pt idx="1746">
                  <c:v>0.41%</c:v>
                </c:pt>
                <c:pt idx="1747">
                  <c:v>0.49%</c:v>
                </c:pt>
                <c:pt idx="1748">
                  <c:v>-0.26%</c:v>
                </c:pt>
                <c:pt idx="1749">
                  <c:v>-0.10%</c:v>
                </c:pt>
                <c:pt idx="1750">
                  <c:v>0.76%</c:v>
                </c:pt>
                <c:pt idx="1751">
                  <c:v>-0.85%</c:v>
                </c:pt>
                <c:pt idx="1752">
                  <c:v>1.61%</c:v>
                </c:pt>
                <c:pt idx="1753">
                  <c:v>-1.94%</c:v>
                </c:pt>
                <c:pt idx="1754">
                  <c:v>0.78%</c:v>
                </c:pt>
                <c:pt idx="1755">
                  <c:v>0.82%</c:v>
                </c:pt>
                <c:pt idx="1756">
                  <c:v>1.60%</c:v>
                </c:pt>
                <c:pt idx="1757">
                  <c:v>-2.28%</c:v>
                </c:pt>
                <c:pt idx="1758">
                  <c:v>-1.17%</c:v>
                </c:pt>
                <c:pt idx="1759">
                  <c:v>1.26%</c:v>
                </c:pt>
                <c:pt idx="1760">
                  <c:v>-0.85%</c:v>
                </c:pt>
                <c:pt idx="1761">
                  <c:v>0.00%</c:v>
                </c:pt>
                <c:pt idx="1762">
                  <c:v>1.25%</c:v>
                </c:pt>
                <c:pt idx="1763">
                  <c:v>-1.17%</c:v>
                </c:pt>
                <c:pt idx="1764">
                  <c:v>-1.15%</c:v>
                </c:pt>
                <c:pt idx="1765">
                  <c:v>-1.08%</c:v>
                </c:pt>
                <c:pt idx="1766">
                  <c:v>-0.01%</c:v>
                </c:pt>
                <c:pt idx="1767">
                  <c:v>-0.81%</c:v>
                </c:pt>
                <c:pt idx="1768">
                  <c:v>0.10%</c:v>
                </c:pt>
                <c:pt idx="1769">
                  <c:v>-0.09%</c:v>
                </c:pt>
                <c:pt idx="1770">
                  <c:v>0.60%</c:v>
                </c:pt>
                <c:pt idx="1771">
                  <c:v>-0.71%</c:v>
                </c:pt>
                <c:pt idx="1772">
                  <c:v>0.66%</c:v>
                </c:pt>
                <c:pt idx="1773">
                  <c:v>1.00%</c:v>
                </c:pt>
                <c:pt idx="1774">
                  <c:v>1.04%</c:v>
                </c:pt>
                <c:pt idx="1775">
                  <c:v>0.53%</c:v>
                </c:pt>
                <c:pt idx="1776">
                  <c:v>-0.45%</c:v>
                </c:pt>
                <c:pt idx="1777">
                  <c:v>0.15%</c:v>
                </c:pt>
                <c:pt idx="1778">
                  <c:v>-1.55%</c:v>
                </c:pt>
                <c:pt idx="1779">
                  <c:v>0.38%</c:v>
                </c:pt>
                <c:pt idx="1780">
                  <c:v>1.06%</c:v>
                </c:pt>
                <c:pt idx="1781">
                  <c:v>-0.71%</c:v>
                </c:pt>
                <c:pt idx="1782">
                  <c:v>1.61%</c:v>
                </c:pt>
                <c:pt idx="1783">
                  <c:v>0.98%</c:v>
                </c:pt>
                <c:pt idx="1784">
                  <c:v>2.26%</c:v>
                </c:pt>
                <c:pt idx="1785">
                  <c:v>-1.24%</c:v>
                </c:pt>
                <c:pt idx="1786">
                  <c:v>0.12%</c:v>
                </c:pt>
                <c:pt idx="1787">
                  <c:v>-0.72%</c:v>
                </c:pt>
                <c:pt idx="1788">
                  <c:v>-0.43%</c:v>
                </c:pt>
                <c:pt idx="1789">
                  <c:v>0.91%</c:v>
                </c:pt>
                <c:pt idx="1790">
                  <c:v>1.34%</c:v>
                </c:pt>
                <c:pt idx="1791">
                  <c:v>0.01%</c:v>
                </c:pt>
                <c:pt idx="1792">
                  <c:v>-0.35%</c:v>
                </c:pt>
                <c:pt idx="1793">
                  <c:v>-1.20%</c:v>
                </c:pt>
                <c:pt idx="1794">
                  <c:v>-0.02%</c:v>
                </c:pt>
                <c:pt idx="1795">
                  <c:v>0.35%</c:v>
                </c:pt>
                <c:pt idx="1796">
                  <c:v>0.75%</c:v>
                </c:pt>
                <c:pt idx="1797">
                  <c:v>1.10%</c:v>
                </c:pt>
                <c:pt idx="1798">
                  <c:v>-0.60%</c:v>
                </c:pt>
                <c:pt idx="1799">
                  <c:v>-0.73%</c:v>
                </c:pt>
                <c:pt idx="1800">
                  <c:v>1.54%</c:v>
                </c:pt>
                <c:pt idx="1801">
                  <c:v>0.34%</c:v>
                </c:pt>
                <c:pt idx="1802">
                  <c:v>-1.91%</c:v>
                </c:pt>
                <c:pt idx="1803">
                  <c:v>1.85%</c:v>
                </c:pt>
                <c:pt idx="1804">
                  <c:v>-0.74%</c:v>
                </c:pt>
                <c:pt idx="1805">
                  <c:v>0.96%</c:v>
                </c:pt>
                <c:pt idx="1806">
                  <c:v>-0.34%</c:v>
                </c:pt>
                <c:pt idx="1807">
                  <c:v>0.10%</c:v>
                </c:pt>
                <c:pt idx="1808">
                  <c:v>1.93%</c:v>
                </c:pt>
                <c:pt idx="1809">
                  <c:v>-2.03%</c:v>
                </c:pt>
                <c:pt idx="1810">
                  <c:v>-0.33%</c:v>
                </c:pt>
                <c:pt idx="1811">
                  <c:v>-0.79%</c:v>
                </c:pt>
                <c:pt idx="1812">
                  <c:v>-0.28%</c:v>
                </c:pt>
                <c:pt idx="1813">
                  <c:v>-0.32%</c:v>
                </c:pt>
                <c:pt idx="1814">
                  <c:v>1.08%</c:v>
                </c:pt>
                <c:pt idx="1815">
                  <c:v>0.52%</c:v>
                </c:pt>
                <c:pt idx="1816">
                  <c:v>-0.50%</c:v>
                </c:pt>
                <c:pt idx="1817">
                  <c:v>1.74%</c:v>
                </c:pt>
                <c:pt idx="1818">
                  <c:v>0.99%</c:v>
                </c:pt>
                <c:pt idx="1819">
                  <c:v>-0.96%</c:v>
                </c:pt>
                <c:pt idx="1820">
                  <c:v>-0.39%</c:v>
                </c:pt>
                <c:pt idx="1821">
                  <c:v>-0.73%</c:v>
                </c:pt>
                <c:pt idx="1822">
                  <c:v>0.28%</c:v>
                </c:pt>
                <c:pt idx="1823">
                  <c:v>-0.40%</c:v>
                </c:pt>
                <c:pt idx="1824">
                  <c:v>0.88%</c:v>
                </c:pt>
                <c:pt idx="1825">
                  <c:v>0.00%</c:v>
                </c:pt>
                <c:pt idx="1827">
                  <c:v>📊 CHART INSTRUCTIONS: Select columns A-E (rows 2 onwards) → Insert → Scatter Chart. Each company's returns plotted against KSE-100 returns. Slope of trendline = Beta.</c:v>
                </c:pt>
              </c:strCache>
            </c:strRef>
          </c:xVal>
          <c:yVal>
            <c:numRef>
              <c:f>'Scatter Data'!$E$2:$E$1830</c:f>
              <c:numCache>
                <c:formatCode>0.00%</c:formatCode>
                <c:ptCount val="1829"/>
                <c:pt idx="0" formatCode="General">
                  <c:v>0</c:v>
                </c:pt>
                <c:pt idx="1">
                  <c:v>-5.7500000000000485E-3</c:v>
                </c:pt>
                <c:pt idx="2">
                  <c:v>-3.7465426200653788E-2</c:v>
                </c:pt>
                <c:pt idx="3">
                  <c:v>1.3882669055082951E-2</c:v>
                </c:pt>
                <c:pt idx="4">
                  <c:v>1.6526796230859869E-2</c:v>
                </c:pt>
                <c:pt idx="5">
                  <c:v>2.2232682767860324E-2</c:v>
                </c:pt>
                <c:pt idx="6">
                  <c:v>2.5964365413906641E-2</c:v>
                </c:pt>
                <c:pt idx="7">
                  <c:v>-1.0944620908714125E-2</c:v>
                </c:pt>
                <c:pt idx="8">
                  <c:v>-2.548259852689699E-3</c:v>
                </c:pt>
                <c:pt idx="9">
                  <c:v>2.9642332190102788E-2</c:v>
                </c:pt>
                <c:pt idx="10">
                  <c:v>2.0869446993644142E-2</c:v>
                </c:pt>
                <c:pt idx="11">
                  <c:v>-1.3450973863825605E-2</c:v>
                </c:pt>
                <c:pt idx="12">
                  <c:v>-4.4142958388174496E-2</c:v>
                </c:pt>
                <c:pt idx="13">
                  <c:v>-3.8484623803976691E-3</c:v>
                </c:pt>
                <c:pt idx="14">
                  <c:v>-1.9706528673708097E-2</c:v>
                </c:pt>
                <c:pt idx="15">
                  <c:v>1.6631715959217457E-3</c:v>
                </c:pt>
                <c:pt idx="16">
                  <c:v>1.8805948599480145E-2</c:v>
                </c:pt>
                <c:pt idx="17">
                  <c:v>-2.6855624446412697E-2</c:v>
                </c:pt>
                <c:pt idx="18">
                  <c:v>5.6795427239960759E-3</c:v>
                </c:pt>
                <c:pt idx="19">
                  <c:v>-2.2517467327951443E-2</c:v>
                </c:pt>
                <c:pt idx="20">
                  <c:v>4.7405651642531799E-2</c:v>
                </c:pt>
                <c:pt idx="21">
                  <c:v>1.4497365722570808E-3</c:v>
                </c:pt>
                <c:pt idx="22">
                  <c:v>9.4626085728407236E-3</c:v>
                </c:pt>
                <c:pt idx="23">
                  <c:v>-1.9272472892619765E-2</c:v>
                </c:pt>
                <c:pt idx="24">
                  <c:v>-3.9837369378365704E-2</c:v>
                </c:pt>
                <c:pt idx="25">
                  <c:v>-1.7643562885372555E-2</c:v>
                </c:pt>
                <c:pt idx="26">
                  <c:v>-1.7582334480281445E-2</c:v>
                </c:pt>
                <c:pt idx="27">
                  <c:v>2.2631052266954027E-2</c:v>
                </c:pt>
                <c:pt idx="28">
                  <c:v>-2.1226947685359376E-2</c:v>
                </c:pt>
                <c:pt idx="29">
                  <c:v>1.611166653849111E-2</c:v>
                </c:pt>
                <c:pt idx="30">
                  <c:v>8.4389782403028121E-3</c:v>
                </c:pt>
                <c:pt idx="31">
                  <c:v>-1.6136295406785003E-3</c:v>
                </c:pt>
                <c:pt idx="32">
                  <c:v>-4.6532606652884882E-2</c:v>
                </c:pt>
                <c:pt idx="33">
                  <c:v>-9.894745141325309E-3</c:v>
                </c:pt>
                <c:pt idx="34">
                  <c:v>1.8792801401497049E-2</c:v>
                </c:pt>
                <c:pt idx="35">
                  <c:v>1.0629982804439688E-2</c:v>
                </c:pt>
                <c:pt idx="36">
                  <c:v>3.3255993812836685E-3</c:v>
                </c:pt>
                <c:pt idx="37">
                  <c:v>-2.6670777769212936E-2</c:v>
                </c:pt>
                <c:pt idx="38">
                  <c:v>2.8510334996436162E-3</c:v>
                </c:pt>
                <c:pt idx="39">
                  <c:v>5.251520176893361E-3</c:v>
                </c:pt>
                <c:pt idx="40">
                  <c:v>-8.6806237479869902E-3</c:v>
                </c:pt>
                <c:pt idx="41">
                  <c:v>8.6377684444092512E-3</c:v>
                </c:pt>
                <c:pt idx="42">
                  <c:v>-1.2924261470773067E-2</c:v>
                </c:pt>
                <c:pt idx="43">
                  <c:v>-3.7489553070402415E-2</c:v>
                </c:pt>
                <c:pt idx="44">
                  <c:v>-1.1660119909034497E-2</c:v>
                </c:pt>
                <c:pt idx="45">
                  <c:v>-1.2592561603146011E-2</c:v>
                </c:pt>
                <c:pt idx="46">
                  <c:v>2.3514956359630468E-2</c:v>
                </c:pt>
                <c:pt idx="47">
                  <c:v>1.4074595355383556E-2</c:v>
                </c:pt>
                <c:pt idx="48">
                  <c:v>-4.8985590072255598E-4</c:v>
                </c:pt>
                <c:pt idx="49">
                  <c:v>-9.8427608740044789E-3</c:v>
                </c:pt>
                <c:pt idx="50">
                  <c:v>1.1013034152780135E-2</c:v>
                </c:pt>
                <c:pt idx="51">
                  <c:v>2.8721798376239206E-2</c:v>
                </c:pt>
                <c:pt idx="52">
                  <c:v>-1.780686099543926E-2</c:v>
                </c:pt>
                <c:pt idx="53">
                  <c:v>-1.158846806105146E-2</c:v>
                </c:pt>
                <c:pt idx="54">
                  <c:v>2.2223130029821472E-2</c:v>
                </c:pt>
                <c:pt idx="55">
                  <c:v>9.5512128841466447E-3</c:v>
                </c:pt>
                <c:pt idx="56">
                  <c:v>-7.7982740875623419E-3</c:v>
                </c:pt>
                <c:pt idx="57">
                  <c:v>2.23020147616198E-2</c:v>
                </c:pt>
                <c:pt idx="58">
                  <c:v>1.0927255697783371E-2</c:v>
                </c:pt>
                <c:pt idx="59">
                  <c:v>-1.7371834465719688E-2</c:v>
                </c:pt>
                <c:pt idx="60">
                  <c:v>5.6965506403709324E-3</c:v>
                </c:pt>
                <c:pt idx="61">
                  <c:v>3.125122075080436E-4</c:v>
                </c:pt>
                <c:pt idx="62">
                  <c:v>3.1710079275198207E-2</c:v>
                </c:pt>
                <c:pt idx="63">
                  <c:v>1.1961088610469833E-2</c:v>
                </c:pt>
                <c:pt idx="64">
                  <c:v>9.6128670282401088E-3</c:v>
                </c:pt>
                <c:pt idx="65">
                  <c:v>3.0008891523414429E-3</c:v>
                </c:pt>
                <c:pt idx="66">
                  <c:v>1.0305470394858211E-2</c:v>
                </c:pt>
                <c:pt idx="67">
                  <c:v>-2.5775080432874947E-2</c:v>
                </c:pt>
                <c:pt idx="68">
                  <c:v>-2.6982399519645942E-2</c:v>
                </c:pt>
                <c:pt idx="69">
                  <c:v>7.8293736501081068E-3</c:v>
                </c:pt>
                <c:pt idx="70">
                  <c:v>8.0364318242701106E-3</c:v>
                </c:pt>
                <c:pt idx="71">
                  <c:v>-7.1751262290727117E-3</c:v>
                </c:pt>
                <c:pt idx="72">
                  <c:v>-3.7282043438360252E-2</c:v>
                </c:pt>
                <c:pt idx="73">
                  <c:v>-2.0057989434801648E-2</c:v>
                </c:pt>
                <c:pt idx="74">
                  <c:v>1.0619325551232184E-2</c:v>
                </c:pt>
                <c:pt idx="75">
                  <c:v>2.8876233255795253E-3</c:v>
                </c:pt>
                <c:pt idx="76">
                  <c:v>-1.1637207070303114E-2</c:v>
                </c:pt>
                <c:pt idx="77">
                  <c:v>-1.7074651021646767E-2</c:v>
                </c:pt>
                <c:pt idx="78">
                  <c:v>5.4748281397932908E-3</c:v>
                </c:pt>
                <c:pt idx="79">
                  <c:v>-2.3745189552115947E-3</c:v>
                </c:pt>
                <c:pt idx="80">
                  <c:v>-2.5032829940906665E-3</c:v>
                </c:pt>
                <c:pt idx="81">
                  <c:v>-9.0508906899246667E-3</c:v>
                </c:pt>
                <c:pt idx="82">
                  <c:v>3.2797774733258275E-3</c:v>
                </c:pt>
                <c:pt idx="83">
                  <c:v>5.8346437143093465E-3</c:v>
                </c:pt>
                <c:pt idx="84">
                  <c:v>-1.1354753774632785E-2</c:v>
                </c:pt>
                <c:pt idx="85">
                  <c:v>3.1875494153385198E-2</c:v>
                </c:pt>
                <c:pt idx="86">
                  <c:v>-1.0646449167237917E-2</c:v>
                </c:pt>
                <c:pt idx="87">
                  <c:v>3.6277666816124663E-3</c:v>
                </c:pt>
                <c:pt idx="88">
                  <c:v>-2.8836000324912656E-2</c:v>
                </c:pt>
                <c:pt idx="89">
                  <c:v>-1.8400802944128495E-2</c:v>
                </c:pt>
                <c:pt idx="90">
                  <c:v>1.7851056578050434E-2</c:v>
                </c:pt>
                <c:pt idx="91">
                  <c:v>1.4231300489724187E-2</c:v>
                </c:pt>
                <c:pt idx="92">
                  <c:v>4.539639305022468E-3</c:v>
                </c:pt>
                <c:pt idx="93">
                  <c:v>-1.2242718047738342E-2</c:v>
                </c:pt>
                <c:pt idx="94">
                  <c:v>7.1538493532421026E-3</c:v>
                </c:pt>
                <c:pt idx="95">
                  <c:v>-1.8294445591575496E-2</c:v>
                </c:pt>
                <c:pt idx="96">
                  <c:v>2.0696617869762693E-2</c:v>
                </c:pt>
                <c:pt idx="97">
                  <c:v>-4.9208704253214636E-2</c:v>
                </c:pt>
                <c:pt idx="98">
                  <c:v>-6.8053749458170491E-3</c:v>
                </c:pt>
                <c:pt idx="99">
                  <c:v>-1.4576877754986268E-2</c:v>
                </c:pt>
                <c:pt idx="100">
                  <c:v>2.4934673811949137E-2</c:v>
                </c:pt>
                <c:pt idx="101">
                  <c:v>-3.2408607726212083E-3</c:v>
                </c:pt>
                <c:pt idx="102">
                  <c:v>2.3843586075345733E-2</c:v>
                </c:pt>
                <c:pt idx="103">
                  <c:v>2.7776601600541993E-2</c:v>
                </c:pt>
                <c:pt idx="104">
                  <c:v>9.1047666131092494E-3</c:v>
                </c:pt>
                <c:pt idx="105">
                  <c:v>-3.0497264636237441E-2</c:v>
                </c:pt>
                <c:pt idx="106">
                  <c:v>-1.3770160441318947E-2</c:v>
                </c:pt>
                <c:pt idx="107">
                  <c:v>-8.9666951323654764E-3</c:v>
                </c:pt>
                <c:pt idx="108">
                  <c:v>8.0568720379147109E-3</c:v>
                </c:pt>
                <c:pt idx="109">
                  <c:v>7.6505534897636108E-3</c:v>
                </c:pt>
                <c:pt idx="110">
                  <c:v>-2.4643705463182907E-2</c:v>
                </c:pt>
                <c:pt idx="111">
                  <c:v>1.5307675581648229E-2</c:v>
                </c:pt>
                <c:pt idx="112">
                  <c:v>-1.8717608258020321E-2</c:v>
                </c:pt>
                <c:pt idx="113">
                  <c:v>-6.198166739415048E-3</c:v>
                </c:pt>
                <c:pt idx="114">
                  <c:v>5.358397751229791E-3</c:v>
                </c:pt>
                <c:pt idx="115">
                  <c:v>-2.0096111839231451E-3</c:v>
                </c:pt>
                <c:pt idx="116">
                  <c:v>3.0117317457538064E-2</c:v>
                </c:pt>
                <c:pt idx="117">
                  <c:v>2.2012578616352231E-2</c:v>
                </c:pt>
                <c:pt idx="118">
                  <c:v>-2.4449064449064431E-2</c:v>
                </c:pt>
                <c:pt idx="119">
                  <c:v>-2.0799590827721402E-2</c:v>
                </c:pt>
                <c:pt idx="120">
                  <c:v>2.2199007573779028E-2</c:v>
                </c:pt>
                <c:pt idx="121">
                  <c:v>2.6400953840913155E-3</c:v>
                </c:pt>
                <c:pt idx="122">
                  <c:v>1.2358787055126122E-2</c:v>
                </c:pt>
                <c:pt idx="123">
                  <c:v>9.2293493308721257E-4</c:v>
                </c:pt>
                <c:pt idx="124">
                  <c:v>2.3764617125612925E-2</c:v>
                </c:pt>
                <c:pt idx="125">
                  <c:v>1.5024973389011775E-2</c:v>
                </c:pt>
                <c:pt idx="126">
                  <c:v>1.5367240753438479E-2</c:v>
                </c:pt>
                <c:pt idx="127">
                  <c:v>-1.2314292524032822E-2</c:v>
                </c:pt>
                <c:pt idx="128">
                  <c:v>1.1944980694980805E-2</c:v>
                </c:pt>
                <c:pt idx="129">
                  <c:v>-2.9967012439887208E-2</c:v>
                </c:pt>
                <c:pt idx="130">
                  <c:v>-4.0562133814068943E-3</c:v>
                </c:pt>
                <c:pt idx="131">
                  <c:v>-1.1518841533651519E-2</c:v>
                </c:pt>
                <c:pt idx="132">
                  <c:v>-1.4233394373231179E-2</c:v>
                </c:pt>
                <c:pt idx="133">
                  <c:v>-1.7225365194629791E-2</c:v>
                </c:pt>
                <c:pt idx="134">
                  <c:v>-3.7460262909184631E-2</c:v>
                </c:pt>
                <c:pt idx="135">
                  <c:v>2.3877532803713266E-2</c:v>
                </c:pt>
                <c:pt idx="136">
                  <c:v>-3.530796390741477E-3</c:v>
                </c:pt>
                <c:pt idx="137">
                  <c:v>-2.8871391076115338E-3</c:v>
                </c:pt>
                <c:pt idx="138">
                  <c:v>9.9587610774765738E-3</c:v>
                </c:pt>
                <c:pt idx="139">
                  <c:v>2.0589896181747017E-2</c:v>
                </c:pt>
                <c:pt idx="140">
                  <c:v>2.5750159608427376E-2</c:v>
                </c:pt>
                <c:pt idx="141">
                  <c:v>-7.6763485477178185E-3</c:v>
                </c:pt>
                <c:pt idx="142">
                  <c:v>4.014217018607602E-3</c:v>
                </c:pt>
                <c:pt idx="143">
                  <c:v>-1.6617383699137931E-2</c:v>
                </c:pt>
                <c:pt idx="144">
                  <c:v>1.4314755209215633E-2</c:v>
                </c:pt>
                <c:pt idx="145">
                  <c:v>8.7682672233823787E-4</c:v>
                </c:pt>
                <c:pt idx="146">
                  <c:v>1.7646322639856452E-2</c:v>
                </c:pt>
                <c:pt idx="147">
                  <c:v>1.6110518980077097E-2</c:v>
                </c:pt>
                <c:pt idx="148">
                  <c:v>1.5249929398475011E-2</c:v>
                </c:pt>
                <c:pt idx="149">
                  <c:v>1.0609974170474816E-2</c:v>
                </c:pt>
                <c:pt idx="150">
                  <c:v>2.1233092167349029E-3</c:v>
                </c:pt>
                <c:pt idx="151">
                  <c:v>-2.2993015773365821E-2</c:v>
                </c:pt>
                <c:pt idx="152">
                  <c:v>6.7068273092368976E-3</c:v>
                </c:pt>
                <c:pt idx="153">
                  <c:v>3.2273507001236698E-2</c:v>
                </c:pt>
                <c:pt idx="154">
                  <c:v>-7.7291698871541203E-3</c:v>
                </c:pt>
                <c:pt idx="155">
                  <c:v>-1.2307212961520474E-2</c:v>
                </c:pt>
                <c:pt idx="156">
                  <c:v>1.2145110410094686E-2</c:v>
                </c:pt>
                <c:pt idx="157">
                  <c:v>3.2102228455664676E-2</c:v>
                </c:pt>
                <c:pt idx="158">
                  <c:v>-1.9175600181186928E-2</c:v>
                </c:pt>
                <c:pt idx="159">
                  <c:v>-4.5181650246305348E-2</c:v>
                </c:pt>
                <c:pt idx="160">
                  <c:v>-1.1164852881902386E-2</c:v>
                </c:pt>
                <c:pt idx="161">
                  <c:v>2.3641625565564098E-3</c:v>
                </c:pt>
                <c:pt idx="162">
                  <c:v>-2.1959253385384573E-3</c:v>
                </c:pt>
                <c:pt idx="163">
                  <c:v>-4.44227085625791E-3</c:v>
                </c:pt>
                <c:pt idx="164">
                  <c:v>-9.0469952513509422E-3</c:v>
                </c:pt>
                <c:pt idx="165">
                  <c:v>-1.1732143594827956E-2</c:v>
                </c:pt>
                <c:pt idx="166">
                  <c:v>-1.5173682230489469E-2</c:v>
                </c:pt>
                <c:pt idx="167">
                  <c:v>7.300509337860776E-3</c:v>
                </c:pt>
                <c:pt idx="168">
                  <c:v>1.1292769256699843E-2</c:v>
                </c:pt>
                <c:pt idx="169">
                  <c:v>-2.950000000000005E-2</c:v>
                </c:pt>
                <c:pt idx="170">
                  <c:v>3.0396702730551318E-2</c:v>
                </c:pt>
                <c:pt idx="171">
                  <c:v>8.7916666666667236E-3</c:v>
                </c:pt>
                <c:pt idx="172">
                  <c:v>1.0945438024038566E-2</c:v>
                </c:pt>
                <c:pt idx="173">
                  <c:v>-4.861905540120926E-3</c:v>
                </c:pt>
                <c:pt idx="174">
                  <c:v>5.2962187461510881E-3</c:v>
                </c:pt>
                <c:pt idx="175">
                  <c:v>-2.074654904843589E-2</c:v>
                </c:pt>
                <c:pt idx="176">
                  <c:v>3.0402869296855418E-2</c:v>
                </c:pt>
                <c:pt idx="177">
                  <c:v>2.7198769579471403E-2</c:v>
                </c:pt>
                <c:pt idx="178">
                  <c:v>-4.0584735411166757E-3</c:v>
                </c:pt>
                <c:pt idx="179">
                  <c:v>-2.4450071213799569E-2</c:v>
                </c:pt>
                <c:pt idx="180">
                  <c:v>-5.2721226376835559E-3</c:v>
                </c:pt>
                <c:pt idx="181">
                  <c:v>1.1619373776908E-2</c:v>
                </c:pt>
                <c:pt idx="182">
                  <c:v>-6.9721516946761363E-3</c:v>
                </c:pt>
                <c:pt idx="183">
                  <c:v>-1.4529220779220829E-2</c:v>
                </c:pt>
                <c:pt idx="184">
                  <c:v>3.5005353759986588E-3</c:v>
                </c:pt>
                <c:pt idx="185">
                  <c:v>-1.6046292116386904E-2</c:v>
                </c:pt>
                <c:pt idx="186">
                  <c:v>2.5734067400734136E-2</c:v>
                </c:pt>
                <c:pt idx="187">
                  <c:v>1.8338551620379746E-2</c:v>
                </c:pt>
                <c:pt idx="188">
                  <c:v>1.3017089921737706E-2</c:v>
                </c:pt>
                <c:pt idx="189">
                  <c:v>-1.2889239258967213E-2</c:v>
                </c:pt>
                <c:pt idx="190">
                  <c:v>4.3924449946092488E-3</c:v>
                </c:pt>
                <c:pt idx="191">
                  <c:v>2.1428855404921936E-2</c:v>
                </c:pt>
                <c:pt idx="192">
                  <c:v>-3.9078312315117623E-2</c:v>
                </c:pt>
                <c:pt idx="193">
                  <c:v>4.3745949449125587E-3</c:v>
                </c:pt>
                <c:pt idx="194">
                  <c:v>2.7020487175350816E-2</c:v>
                </c:pt>
                <c:pt idx="195">
                  <c:v>3.4712950600801082E-2</c:v>
                </c:pt>
                <c:pt idx="196">
                  <c:v>-1.7495256166982973E-2</c:v>
                </c:pt>
                <c:pt idx="197">
                  <c:v>5.7167136621731939E-3</c:v>
                </c:pt>
                <c:pt idx="198">
                  <c:v>2.0202020202020166E-2</c:v>
                </c:pt>
                <c:pt idx="199">
                  <c:v>2.3265444415163976E-2</c:v>
                </c:pt>
                <c:pt idx="200">
                  <c:v>-3.4288657518119249E-2</c:v>
                </c:pt>
                <c:pt idx="201">
                  <c:v>-3.7487142367328294E-2</c:v>
                </c:pt>
                <c:pt idx="202">
                  <c:v>3.3643380170195699E-3</c:v>
                </c:pt>
                <c:pt idx="203">
                  <c:v>9.9013806706114045E-3</c:v>
                </c:pt>
                <c:pt idx="204">
                  <c:v>-1.8749267606733714E-3</c:v>
                </c:pt>
                <c:pt idx="205">
                  <c:v>-5.7136148397448749E-3</c:v>
                </c:pt>
                <c:pt idx="206">
                  <c:v>2.4638879049080926E-2</c:v>
                </c:pt>
                <c:pt idx="207">
                  <c:v>2.8387047209311428E-2</c:v>
                </c:pt>
                <c:pt idx="208">
                  <c:v>-1.0720155386224429E-2</c:v>
                </c:pt>
                <c:pt idx="209">
                  <c:v>3.4736643383045458E-3</c:v>
                </c:pt>
                <c:pt idx="210">
                  <c:v>-2.1409489408134846E-2</c:v>
                </c:pt>
                <c:pt idx="211">
                  <c:v>3.3297446939403362E-2</c:v>
                </c:pt>
                <c:pt idx="212">
                  <c:v>-2.6084691523405486E-2</c:v>
                </c:pt>
                <c:pt idx="213">
                  <c:v>-1.9753180758797294E-2</c:v>
                </c:pt>
                <c:pt idx="214">
                  <c:v>-1.633146242594324E-2</c:v>
                </c:pt>
                <c:pt idx="215">
                  <c:v>-1.9336688195902823E-2</c:v>
                </c:pt>
                <c:pt idx="216">
                  <c:v>2.4647460503454663E-2</c:v>
                </c:pt>
                <c:pt idx="217">
                  <c:v>4.4323514334161367E-2</c:v>
                </c:pt>
                <c:pt idx="218">
                  <c:v>5.3996903674055317E-3</c:v>
                </c:pt>
                <c:pt idx="219">
                  <c:v>-5.8589348756854292E-3</c:v>
                </c:pt>
                <c:pt idx="220">
                  <c:v>1.412920287117495E-2</c:v>
                </c:pt>
                <c:pt idx="221">
                  <c:v>-1.6689018030099905E-2</c:v>
                </c:pt>
                <c:pt idx="222">
                  <c:v>2.5761479011971556E-2</c:v>
                </c:pt>
                <c:pt idx="223">
                  <c:v>-2.2159846358399423E-4</c:v>
                </c:pt>
                <c:pt idx="224">
                  <c:v>8.4226080531955294E-3</c:v>
                </c:pt>
                <c:pt idx="225">
                  <c:v>-1.2565023078613843E-2</c:v>
                </c:pt>
                <c:pt idx="226">
                  <c:v>-3.4130959005750912E-3</c:v>
                </c:pt>
                <c:pt idx="227">
                  <c:v>-3.0115772624055299E-2</c:v>
                </c:pt>
                <c:pt idx="228">
                  <c:v>8.4440009211626018E-4</c:v>
                </c:pt>
                <c:pt idx="229">
                  <c:v>1.7295597484276694E-2</c:v>
                </c:pt>
                <c:pt idx="230">
                  <c:v>-3.4530855354921286E-2</c:v>
                </c:pt>
                <c:pt idx="231">
                  <c:v>-1.8585763929561593E-2</c:v>
                </c:pt>
                <c:pt idx="232">
                  <c:v>-8.5538094290829748E-3</c:v>
                </c:pt>
                <c:pt idx="233">
                  <c:v>-5.3772070626002212E-3</c:v>
                </c:pt>
                <c:pt idx="234">
                  <c:v>-1.2103606874849164E-3</c:v>
                </c:pt>
                <c:pt idx="235">
                  <c:v>-3.6354823073195757E-4</c:v>
                </c:pt>
                <c:pt idx="236">
                  <c:v>5.8188871378348798E-3</c:v>
                </c:pt>
                <c:pt idx="237">
                  <c:v>-2.0087581856889216E-4</c:v>
                </c:pt>
                <c:pt idx="238">
                  <c:v>-3.1302740496664871E-2</c:v>
                </c:pt>
                <c:pt idx="239">
                  <c:v>6.4296677313643814E-3</c:v>
                </c:pt>
                <c:pt idx="240">
                  <c:v>2.3205011952848055E-2</c:v>
                </c:pt>
                <c:pt idx="241">
                  <c:v>5.3575025176234138E-3</c:v>
                </c:pt>
                <c:pt idx="242">
                  <c:v>-3.3055533295937176E-2</c:v>
                </c:pt>
                <c:pt idx="243">
                  <c:v>4.8895702979322025E-3</c:v>
                </c:pt>
                <c:pt idx="244">
                  <c:v>9.4429095707394359E-3</c:v>
                </c:pt>
                <c:pt idx="245">
                  <c:v>-1.8218954248366045E-2</c:v>
                </c:pt>
                <c:pt idx="246">
                  <c:v>1.9139552300907379E-3</c:v>
                </c:pt>
                <c:pt idx="247">
                  <c:v>2.4584717607973369E-2</c:v>
                </c:pt>
                <c:pt idx="248">
                  <c:v>3.1047341115434487E-2</c:v>
                </c:pt>
                <c:pt idx="249">
                  <c:v>2.869722462457812E-3</c:v>
                </c:pt>
                <c:pt idx="250">
                  <c:v>1.0074085688526491E-2</c:v>
                </c:pt>
                <c:pt idx="251">
                  <c:v>-2.6389320086929787E-3</c:v>
                </c:pt>
                <c:pt idx="252">
                  <c:v>-7.2762645914397064E-3</c:v>
                </c:pt>
                <c:pt idx="253">
                  <c:v>2.6653078822561092E-2</c:v>
                </c:pt>
                <c:pt idx="254">
                  <c:v>1.8669110067575254E-2</c:v>
                </c:pt>
                <c:pt idx="255">
                  <c:v>1.2143017764785283E-2</c:v>
                </c:pt>
                <c:pt idx="256">
                  <c:v>-9.4793749537139971E-3</c:v>
                </c:pt>
                <c:pt idx="257">
                  <c:v>2.8186915887850543E-2</c:v>
                </c:pt>
                <c:pt idx="258">
                  <c:v>2.0142524723676423E-2</c:v>
                </c:pt>
                <c:pt idx="259">
                  <c:v>-2.3914748021954452E-2</c:v>
                </c:pt>
                <c:pt idx="260">
                  <c:v>2.1031876437725895E-2</c:v>
                </c:pt>
                <c:pt idx="261">
                  <c:v>3.6476772878445869E-3</c:v>
                </c:pt>
                <c:pt idx="262">
                  <c:v>5.7366827008730227E-3</c:v>
                </c:pt>
                <c:pt idx="263">
                  <c:v>-3.7624884857932417E-2</c:v>
                </c:pt>
                <c:pt idx="264">
                  <c:v>-2.7168310999852729E-2</c:v>
                </c:pt>
                <c:pt idx="265">
                  <c:v>1.9147808976008485E-2</c:v>
                </c:pt>
                <c:pt idx="266">
                  <c:v>-1.3998217733551099E-2</c:v>
                </c:pt>
                <c:pt idx="267">
                  <c:v>1.5816230465072446E-2</c:v>
                </c:pt>
                <c:pt idx="268">
                  <c:v>-2.4578313253012032E-2</c:v>
                </c:pt>
                <c:pt idx="269">
                  <c:v>-2.7401945880206779E-2</c:v>
                </c:pt>
                <c:pt idx="270">
                  <c:v>3.6575358524481204E-2</c:v>
                </c:pt>
                <c:pt idx="271">
                  <c:v>1.7642402080898734E-2</c:v>
                </c:pt>
                <c:pt idx="272">
                  <c:v>-1.9262826449341797E-3</c:v>
                </c:pt>
                <c:pt idx="273">
                  <c:v>4.6765393608729205E-3</c:v>
                </c:pt>
                <c:pt idx="274">
                  <c:v>-1.2892977206398497E-2</c:v>
                </c:pt>
                <c:pt idx="275">
                  <c:v>7.1856287425150298E-3</c:v>
                </c:pt>
                <c:pt idx="276">
                  <c:v>2.2777942925089164E-2</c:v>
                </c:pt>
                <c:pt idx="277">
                  <c:v>-7.375113533151581E-3</c:v>
                </c:pt>
                <c:pt idx="278">
                  <c:v>9.6625430056364332E-3</c:v>
                </c:pt>
                <c:pt idx="279">
                  <c:v>-3.1501486261146946E-2</c:v>
                </c:pt>
                <c:pt idx="280">
                  <c:v>3.4509862634277688E-2</c:v>
                </c:pt>
                <c:pt idx="281">
                  <c:v>1.9465248380911016E-2</c:v>
                </c:pt>
                <c:pt idx="282">
                  <c:v>-1.0646981580712182E-4</c:v>
                </c:pt>
                <c:pt idx="283">
                  <c:v>-5.8209696883651111E-3</c:v>
                </c:pt>
                <c:pt idx="284">
                  <c:v>2.7133166726169101E-2</c:v>
                </c:pt>
                <c:pt idx="285">
                  <c:v>-9.0719499478624042E-3</c:v>
                </c:pt>
                <c:pt idx="286">
                  <c:v>7.4713248447860411E-3</c:v>
                </c:pt>
                <c:pt idx="287">
                  <c:v>-5.4661931620362432E-3</c:v>
                </c:pt>
                <c:pt idx="288">
                  <c:v>-1.6943812357780415E-2</c:v>
                </c:pt>
                <c:pt idx="289">
                  <c:v>2.0084754816423869E-2</c:v>
                </c:pt>
                <c:pt idx="290">
                  <c:v>-7.2962122534472856E-3</c:v>
                </c:pt>
                <c:pt idx="291">
                  <c:v>9.2488394992263166E-3</c:v>
                </c:pt>
                <c:pt idx="292">
                  <c:v>-6.0977734415833306E-3</c:v>
                </c:pt>
                <c:pt idx="293">
                  <c:v>-2.0684335997757392E-3</c:v>
                </c:pt>
                <c:pt idx="294">
                  <c:v>-2.740207272088434E-3</c:v>
                </c:pt>
                <c:pt idx="295">
                  <c:v>-1.1906858773382165E-2</c:v>
                </c:pt>
                <c:pt idx="296">
                  <c:v>1.4332061749081899E-2</c:v>
                </c:pt>
                <c:pt idx="297">
                  <c:v>-1.1598889318476823E-3</c:v>
                </c:pt>
                <c:pt idx="298">
                  <c:v>1.6785136181293483E-2</c:v>
                </c:pt>
                <c:pt idx="299">
                  <c:v>1.4569994808790575E-2</c:v>
                </c:pt>
                <c:pt idx="300">
                  <c:v>2.3604857415745525E-2</c:v>
                </c:pt>
                <c:pt idx="301">
                  <c:v>-8.8309784057583884E-3</c:v>
                </c:pt>
                <c:pt idx="302">
                  <c:v>1.3011464882493376E-2</c:v>
                </c:pt>
                <c:pt idx="303">
                  <c:v>-2.8211085297046887E-3</c:v>
                </c:pt>
                <c:pt idx="304">
                  <c:v>6.6566816442132311E-5</c:v>
                </c:pt>
                <c:pt idx="305">
                  <c:v>-1.3012946383998485E-2</c:v>
                </c:pt>
                <c:pt idx="306">
                  <c:v>-8.4974372808200079E-3</c:v>
                </c:pt>
                <c:pt idx="307">
                  <c:v>1.2379268126785425E-2</c:v>
                </c:pt>
                <c:pt idx="308">
                  <c:v>-5.9795753829616684E-3</c:v>
                </c:pt>
                <c:pt idx="309">
                  <c:v>-1.3315309226089889E-2</c:v>
                </c:pt>
                <c:pt idx="310">
                  <c:v>1.6509110837100952E-2</c:v>
                </c:pt>
                <c:pt idx="311">
                  <c:v>7.2107284857471643E-3</c:v>
                </c:pt>
                <c:pt idx="312">
                  <c:v>-2.2547838886658667E-2</c:v>
                </c:pt>
                <c:pt idx="313">
                  <c:v>2.4642343760694452E-3</c:v>
                </c:pt>
                <c:pt idx="314">
                  <c:v>2.1816319562990932E-2</c:v>
                </c:pt>
                <c:pt idx="315">
                  <c:v>2.1183467539844212E-2</c:v>
                </c:pt>
                <c:pt idx="316">
                  <c:v>-9.6849131302554712E-3</c:v>
                </c:pt>
                <c:pt idx="317">
                  <c:v>-2.0517395182872555E-2</c:v>
                </c:pt>
                <c:pt idx="318">
                  <c:v>-6.4089590501247296E-3</c:v>
                </c:pt>
                <c:pt idx="319">
                  <c:v>2.5869092884302024E-2</c:v>
                </c:pt>
                <c:pt idx="320">
                  <c:v>1.4527764908332736E-2</c:v>
                </c:pt>
                <c:pt idx="321">
                  <c:v>-4.2861336725706974E-2</c:v>
                </c:pt>
                <c:pt idx="322">
                  <c:v>1.6699042361040035E-2</c:v>
                </c:pt>
                <c:pt idx="323">
                  <c:v>-4.143063050983796E-2</c:v>
                </c:pt>
                <c:pt idx="324">
                  <c:v>3.6996887785431982E-2</c:v>
                </c:pt>
                <c:pt idx="325">
                  <c:v>1.645590962738154E-2</c:v>
                </c:pt>
                <c:pt idx="326">
                  <c:v>-6.999966824801823E-3</c:v>
                </c:pt>
                <c:pt idx="327">
                  <c:v>2.5056795402913271E-3</c:v>
                </c:pt>
                <c:pt idx="328">
                  <c:v>1.2963641816909342E-2</c:v>
                </c:pt>
                <c:pt idx="329">
                  <c:v>-8.8498486642979279E-3</c:v>
                </c:pt>
                <c:pt idx="330">
                  <c:v>9.2276031466791576E-3</c:v>
                </c:pt>
                <c:pt idx="331">
                  <c:v>-1.9733596447953387E-3</c:v>
                </c:pt>
                <c:pt idx="332">
                  <c:v>-4.2511122095895987E-3</c:v>
                </c:pt>
                <c:pt idx="333">
                  <c:v>2.9289118347895039E-2</c:v>
                </c:pt>
                <c:pt idx="334">
                  <c:v>-3.8037362142696325E-2</c:v>
                </c:pt>
                <c:pt idx="335">
                  <c:v>1.3704124607258779E-3</c:v>
                </c:pt>
                <c:pt idx="336">
                  <c:v>-2.5868687205847993E-2</c:v>
                </c:pt>
                <c:pt idx="337">
                  <c:v>-2.9468201754384487E-3</c:v>
                </c:pt>
                <c:pt idx="338">
                  <c:v>-1.2921850298989589E-2</c:v>
                </c:pt>
                <c:pt idx="339">
                  <c:v>4.8603857670078611E-2</c:v>
                </c:pt>
                <c:pt idx="340">
                  <c:v>-9.2303605817120309E-3</c:v>
                </c:pt>
                <c:pt idx="341">
                  <c:v>-2.111260053619288E-3</c:v>
                </c:pt>
                <c:pt idx="342">
                  <c:v>-1.1216710884239431E-2</c:v>
                </c:pt>
                <c:pt idx="343">
                  <c:v>1.7287640525761556E-2</c:v>
                </c:pt>
                <c:pt idx="344">
                  <c:v>-9.1813568376068379E-3</c:v>
                </c:pt>
                <c:pt idx="345">
                  <c:v>-1.1894733295144297E-2</c:v>
                </c:pt>
                <c:pt idx="346">
                  <c:v>3.5806847633337878E-2</c:v>
                </c:pt>
                <c:pt idx="347">
                  <c:v>1.5243300190952774E-2</c:v>
                </c:pt>
                <c:pt idx="348">
                  <c:v>5.5777150825306303E-3</c:v>
                </c:pt>
                <c:pt idx="349">
                  <c:v>4.6051146441355835E-2</c:v>
                </c:pt>
                <c:pt idx="350">
                  <c:v>-1.1499213860714673E-2</c:v>
                </c:pt>
                <c:pt idx="351">
                  <c:v>-1.4876497005987968E-2</c:v>
                </c:pt>
                <c:pt idx="352">
                  <c:v>-1.4499635926172108E-2</c:v>
                </c:pt>
                <c:pt idx="353">
                  <c:v>2.3193806418452152E-2</c:v>
                </c:pt>
                <c:pt idx="354">
                  <c:v>-1.1208439295469509E-2</c:v>
                </c:pt>
                <c:pt idx="355">
                  <c:v>2.2956753667365271E-2</c:v>
                </c:pt>
                <c:pt idx="356">
                  <c:v>-1.1422540894558793E-2</c:v>
                </c:pt>
                <c:pt idx="357">
                  <c:v>-3.381581839304211E-2</c:v>
                </c:pt>
                <c:pt idx="358">
                  <c:v>-1.465618094371522E-2</c:v>
                </c:pt>
                <c:pt idx="359">
                  <c:v>5.9034992249596668E-3</c:v>
                </c:pt>
                <c:pt idx="360">
                  <c:v>2.3016393442622893E-2</c:v>
                </c:pt>
                <c:pt idx="361">
                  <c:v>2.5062495993846527E-2</c:v>
                </c:pt>
                <c:pt idx="362">
                  <c:v>7.4099549774887591E-3</c:v>
                </c:pt>
                <c:pt idx="363">
                  <c:v>1.3376369448496329E-2</c:v>
                </c:pt>
                <c:pt idx="364">
                  <c:v>-4.949160847727542E-2</c:v>
                </c:pt>
                <c:pt idx="365">
                  <c:v>5.4452893414099679E-3</c:v>
                </c:pt>
                <c:pt idx="366">
                  <c:v>1.2177535651337781E-3</c:v>
                </c:pt>
                <c:pt idx="367">
                  <c:v>-5.3772044938066345E-3</c:v>
                </c:pt>
                <c:pt idx="368">
                  <c:v>-1.2099758648431186E-2</c:v>
                </c:pt>
                <c:pt idx="369">
                  <c:v>1.710153425193003E-2</c:v>
                </c:pt>
                <c:pt idx="370">
                  <c:v>2.2002305918524225E-2</c:v>
                </c:pt>
                <c:pt idx="371">
                  <c:v>3.7604587759706681E-2</c:v>
                </c:pt>
                <c:pt idx="372">
                  <c:v>-3.2013530246745863E-3</c:v>
                </c:pt>
                <c:pt idx="373">
                  <c:v>-1.4573549462202703E-2</c:v>
                </c:pt>
                <c:pt idx="374">
                  <c:v>3.609642110441523E-2</c:v>
                </c:pt>
                <c:pt idx="375">
                  <c:v>-5.5789661107483986E-3</c:v>
                </c:pt>
                <c:pt idx="376">
                  <c:v>-9.3703372127724345E-3</c:v>
                </c:pt>
                <c:pt idx="377">
                  <c:v>-2.5725991083262935E-2</c:v>
                </c:pt>
                <c:pt idx="378">
                  <c:v>8.4101168758888446E-3</c:v>
                </c:pt>
                <c:pt idx="379">
                  <c:v>1.1927393144048526E-2</c:v>
                </c:pt>
                <c:pt idx="380">
                  <c:v>1.6422749447020019E-2</c:v>
                </c:pt>
                <c:pt idx="381">
                  <c:v>4.6802802205991745E-3</c:v>
                </c:pt>
                <c:pt idx="382">
                  <c:v>1.0770874132098972E-2</c:v>
                </c:pt>
                <c:pt idx="383">
                  <c:v>1.0949655071187491E-2</c:v>
                </c:pt>
                <c:pt idx="384">
                  <c:v>1.0192229513909027E-2</c:v>
                </c:pt>
                <c:pt idx="385">
                  <c:v>2.2737072063008495E-2</c:v>
                </c:pt>
                <c:pt idx="386">
                  <c:v>1.661045531197293E-2</c:v>
                </c:pt>
                <c:pt idx="387">
                  <c:v>4.0363827375522838E-3</c:v>
                </c:pt>
                <c:pt idx="388">
                  <c:v>-9.6924305421704389E-3</c:v>
                </c:pt>
                <c:pt idx="389">
                  <c:v>1.5654108160711791E-2</c:v>
                </c:pt>
                <c:pt idx="390">
                  <c:v>-1.0430354796320483E-2</c:v>
                </c:pt>
                <c:pt idx="391">
                  <c:v>-2.2961794893076627E-3</c:v>
                </c:pt>
                <c:pt idx="392">
                  <c:v>-1.3060115350487966E-2</c:v>
                </c:pt>
                <c:pt idx="393">
                  <c:v>4.0766442839884218E-2</c:v>
                </c:pt>
                <c:pt idx="394">
                  <c:v>-1.7870640319619924E-2</c:v>
                </c:pt>
                <c:pt idx="395">
                  <c:v>1.3028420647573001E-2</c:v>
                </c:pt>
                <c:pt idx="396">
                  <c:v>1.3240720642500529E-2</c:v>
                </c:pt>
                <c:pt idx="397">
                  <c:v>1.7057626392459311E-2</c:v>
                </c:pt>
                <c:pt idx="398">
                  <c:v>-2.8961849345729088E-4</c:v>
                </c:pt>
                <c:pt idx="399">
                  <c:v>2.0805899394259163E-3</c:v>
                </c:pt>
                <c:pt idx="400">
                  <c:v>-3.2589555573077061E-3</c:v>
                </c:pt>
                <c:pt idx="401">
                  <c:v>-5.0889914304548478E-2</c:v>
                </c:pt>
                <c:pt idx="402">
                  <c:v>-1.3974163078205232E-2</c:v>
                </c:pt>
                <c:pt idx="403">
                  <c:v>2.6259438746759813E-2</c:v>
                </c:pt>
                <c:pt idx="404">
                  <c:v>-1.4935207555457934E-2</c:v>
                </c:pt>
                <c:pt idx="405">
                  <c:v>3.0100334448160092E-3</c:v>
                </c:pt>
                <c:pt idx="406">
                  <c:v>5.0322329665444074E-2</c:v>
                </c:pt>
                <c:pt idx="407">
                  <c:v>-1.7804703828143649E-2</c:v>
                </c:pt>
                <c:pt idx="408">
                  <c:v>-9.0771965738296739E-3</c:v>
                </c:pt>
                <c:pt idx="409">
                  <c:v>-4.267579983147118E-3</c:v>
                </c:pt>
                <c:pt idx="410">
                  <c:v>-3.7289801266652024E-2</c:v>
                </c:pt>
                <c:pt idx="411">
                  <c:v>-1.5936029036465731E-2</c:v>
                </c:pt>
                <c:pt idx="412">
                  <c:v>-2.6538727524204806E-2</c:v>
                </c:pt>
                <c:pt idx="413">
                  <c:v>1.0774649971879475E-2</c:v>
                </c:pt>
                <c:pt idx="414">
                  <c:v>-4.2170615280992607E-3</c:v>
                </c:pt>
                <c:pt idx="415">
                  <c:v>-3.9820015880951576E-2</c:v>
                </c:pt>
                <c:pt idx="416">
                  <c:v>1.5804465680418905E-2</c:v>
                </c:pt>
                <c:pt idx="417">
                  <c:v>1.8845168098899443E-2</c:v>
                </c:pt>
                <c:pt idx="418">
                  <c:v>-6.3628292394198802E-3</c:v>
                </c:pt>
                <c:pt idx="419">
                  <c:v>1.8376768428890591E-2</c:v>
                </c:pt>
                <c:pt idx="420">
                  <c:v>1.1552409920449194E-2</c:v>
                </c:pt>
                <c:pt idx="421">
                  <c:v>-1.6798218984011341E-2</c:v>
                </c:pt>
                <c:pt idx="422">
                  <c:v>5.7930953361170689E-3</c:v>
                </c:pt>
                <c:pt idx="423">
                  <c:v>3.9762593924509947E-3</c:v>
                </c:pt>
                <c:pt idx="424">
                  <c:v>-1.5317860159002857E-2</c:v>
                </c:pt>
                <c:pt idx="425">
                  <c:v>-1.8927631384378724E-2</c:v>
                </c:pt>
                <c:pt idx="426">
                  <c:v>8.199439303047569E-3</c:v>
                </c:pt>
                <c:pt idx="427">
                  <c:v>4.4072357602033214E-2</c:v>
                </c:pt>
                <c:pt idx="428">
                  <c:v>-2.2910163521287576E-4</c:v>
                </c:pt>
                <c:pt idx="429">
                  <c:v>4.4398613617484782E-3</c:v>
                </c:pt>
                <c:pt idx="430">
                  <c:v>-1.9449038955113355E-2</c:v>
                </c:pt>
                <c:pt idx="431">
                  <c:v>-4.4206607724522505E-3</c:v>
                </c:pt>
                <c:pt idx="432">
                  <c:v>-3.3594297733114549E-3</c:v>
                </c:pt>
                <c:pt idx="433">
                  <c:v>-6.653574464343402E-3</c:v>
                </c:pt>
                <c:pt idx="434">
                  <c:v>-1.1891413396282009E-2</c:v>
                </c:pt>
                <c:pt idx="435">
                  <c:v>-4.4793501955976131E-4</c:v>
                </c:pt>
                <c:pt idx="436">
                  <c:v>-1.0157743785850961E-2</c:v>
                </c:pt>
                <c:pt idx="437">
                  <c:v>2.3934564771218178E-2</c:v>
                </c:pt>
                <c:pt idx="438">
                  <c:v>3.9204126750184261E-2</c:v>
                </c:pt>
                <c:pt idx="439">
                  <c:v>-1.3898737767692623E-2</c:v>
                </c:pt>
                <c:pt idx="440">
                  <c:v>-6.4144973392778991E-3</c:v>
                </c:pt>
                <c:pt idx="441">
                  <c:v>8.6850790342192109E-3</c:v>
                </c:pt>
                <c:pt idx="442">
                  <c:v>1.1480397221743871E-2</c:v>
                </c:pt>
                <c:pt idx="443">
                  <c:v>-1.3932239940979583E-2</c:v>
                </c:pt>
                <c:pt idx="444">
                  <c:v>-1.0330637967252669E-2</c:v>
                </c:pt>
                <c:pt idx="445">
                  <c:v>1.1572458711328103E-2</c:v>
                </c:pt>
                <c:pt idx="446">
                  <c:v>-3.0497269330267196E-2</c:v>
                </c:pt>
                <c:pt idx="447">
                  <c:v>4.2337454416081034E-2</c:v>
                </c:pt>
                <c:pt idx="448">
                  <c:v>6.1723127684387633E-3</c:v>
                </c:pt>
                <c:pt idx="449">
                  <c:v>-5.2580991688811378E-3</c:v>
                </c:pt>
                <c:pt idx="450">
                  <c:v>-2.3587586677275892E-3</c:v>
                </c:pt>
                <c:pt idx="451">
                  <c:v>-1.9826235578977457E-2</c:v>
                </c:pt>
                <c:pt idx="452">
                  <c:v>3.4554912958819045E-2</c:v>
                </c:pt>
                <c:pt idx="453">
                  <c:v>-1.1236586325075401E-3</c:v>
                </c:pt>
                <c:pt idx="454">
                  <c:v>-7.7338432982732444E-3</c:v>
                </c:pt>
                <c:pt idx="455">
                  <c:v>3.3670606240965892E-2</c:v>
                </c:pt>
                <c:pt idx="456">
                  <c:v>1.9988484000987142E-2</c:v>
                </c:pt>
                <c:pt idx="457">
                  <c:v>-3.1989247311827898E-3</c:v>
                </c:pt>
                <c:pt idx="458">
                  <c:v>8.7106604460505874E-3</c:v>
                </c:pt>
                <c:pt idx="459">
                  <c:v>-5.8015185541653719E-3</c:v>
                </c:pt>
                <c:pt idx="460">
                  <c:v>-6.3731949337134065E-3</c:v>
                </c:pt>
                <c:pt idx="461">
                  <c:v>-3.6806495263870462E-3</c:v>
                </c:pt>
                <c:pt idx="462">
                  <c:v>6.0846417123920499E-3</c:v>
                </c:pt>
                <c:pt idx="463">
                  <c:v>2.1167449646309282E-2</c:v>
                </c:pt>
                <c:pt idx="464">
                  <c:v>3.786156205383108E-2</c:v>
                </c:pt>
                <c:pt idx="465">
                  <c:v>-4.0581851531054175E-2</c:v>
                </c:pt>
                <c:pt idx="466">
                  <c:v>4.4342954249754353E-2</c:v>
                </c:pt>
                <c:pt idx="467">
                  <c:v>1.9857110167552317E-2</c:v>
                </c:pt>
                <c:pt idx="468">
                  <c:v>7.7283605903470849E-4</c:v>
                </c:pt>
                <c:pt idx="469">
                  <c:v>-7.6476596168696736E-3</c:v>
                </c:pt>
                <c:pt idx="470">
                  <c:v>-3.481775278642435E-2</c:v>
                </c:pt>
                <c:pt idx="471">
                  <c:v>2.3043512184972335E-2</c:v>
                </c:pt>
                <c:pt idx="472">
                  <c:v>-2.0211008008135363E-2</c:v>
                </c:pt>
                <c:pt idx="473">
                  <c:v>1.2791904514789848E-2</c:v>
                </c:pt>
                <c:pt idx="474">
                  <c:v>-7.3527527989137517E-3</c:v>
                </c:pt>
                <c:pt idx="475">
                  <c:v>-3.0248283693800577E-2</c:v>
                </c:pt>
                <c:pt idx="476">
                  <c:v>8.3834566455527147E-3</c:v>
                </c:pt>
                <c:pt idx="477">
                  <c:v>9.6597957190742035E-3</c:v>
                </c:pt>
                <c:pt idx="478">
                  <c:v>-1.720036596523326E-2</c:v>
                </c:pt>
                <c:pt idx="479">
                  <c:v>1.6703460382477251E-2</c:v>
                </c:pt>
                <c:pt idx="480">
                  <c:v>3.4610856769130199E-2</c:v>
                </c:pt>
                <c:pt idx="481">
                  <c:v>9.7350055628602356E-3</c:v>
                </c:pt>
                <c:pt idx="482">
                  <c:v>8.6394711141161169E-3</c:v>
                </c:pt>
                <c:pt idx="483">
                  <c:v>-1.3406822583047762E-2</c:v>
                </c:pt>
                <c:pt idx="484">
                  <c:v>-1.9150435351552704E-2</c:v>
                </c:pt>
                <c:pt idx="485">
                  <c:v>-7.2093798907047809E-3</c:v>
                </c:pt>
                <c:pt idx="486">
                  <c:v>1.7831300392805399E-3</c:v>
                </c:pt>
                <c:pt idx="487">
                  <c:v>6.9650457887279423E-4</c:v>
                </c:pt>
                <c:pt idx="488">
                  <c:v>-3.2738709012168454E-3</c:v>
                </c:pt>
                <c:pt idx="489">
                  <c:v>4.7562394930816099E-2</c:v>
                </c:pt>
                <c:pt idx="490">
                  <c:v>1.1258147343472255E-2</c:v>
                </c:pt>
                <c:pt idx="491">
                  <c:v>-1.7968750000000033E-2</c:v>
                </c:pt>
                <c:pt idx="492">
                  <c:v>-2.2200676213206063E-2</c:v>
                </c:pt>
                <c:pt idx="493">
                  <c:v>-3.2391752053087919E-2</c:v>
                </c:pt>
                <c:pt idx="494">
                  <c:v>-1.8603673437212559E-2</c:v>
                </c:pt>
                <c:pt idx="495">
                  <c:v>1.1405927869554716E-2</c:v>
                </c:pt>
                <c:pt idx="496">
                  <c:v>-4.897418927862403E-3</c:v>
                </c:pt>
                <c:pt idx="497">
                  <c:v>-1.263633945198191E-2</c:v>
                </c:pt>
                <c:pt idx="498">
                  <c:v>1.1639498854910548E-2</c:v>
                </c:pt>
                <c:pt idx="499">
                  <c:v>1.0839747516446036E-2</c:v>
                </c:pt>
                <c:pt idx="500">
                  <c:v>7.5090899509932174E-3</c:v>
                </c:pt>
                <c:pt idx="501">
                  <c:v>2.0921049190627614E-4</c:v>
                </c:pt>
                <c:pt idx="502">
                  <c:v>-2.0916673203137743E-4</c:v>
                </c:pt>
                <c:pt idx="503">
                  <c:v>-2.4451476241533425E-2</c:v>
                </c:pt>
                <c:pt idx="504">
                  <c:v>-3.4393094574308496E-2</c:v>
                </c:pt>
                <c:pt idx="505">
                  <c:v>-1.4769162433025161E-2</c:v>
                </c:pt>
                <c:pt idx="506">
                  <c:v>-1.4427005551015821E-2</c:v>
                </c:pt>
                <c:pt idx="507">
                  <c:v>-1.4981273408239727E-2</c:v>
                </c:pt>
                <c:pt idx="508">
                  <c:v>-2.8154297158446886E-3</c:v>
                </c:pt>
                <c:pt idx="509">
                  <c:v>-8.4701362207475397E-3</c:v>
                </c:pt>
                <c:pt idx="510">
                  <c:v>-2.4189050344928673E-2</c:v>
                </c:pt>
                <c:pt idx="511">
                  <c:v>-1.4439998796667312E-3</c:v>
                </c:pt>
                <c:pt idx="512">
                  <c:v>6.8086644774500368E-3</c:v>
                </c:pt>
                <c:pt idx="513">
                  <c:v>-8.8273138035249062E-3</c:v>
                </c:pt>
                <c:pt idx="514">
                  <c:v>1.5940103852191682E-2</c:v>
                </c:pt>
                <c:pt idx="515">
                  <c:v>6.4483537382622608E-3</c:v>
                </c:pt>
                <c:pt idx="516">
                  <c:v>7.8242640762938888E-3</c:v>
                </c:pt>
                <c:pt idx="517">
                  <c:v>-6.5623718286750817E-3</c:v>
                </c:pt>
                <c:pt idx="518">
                  <c:v>8.2866411088174646E-3</c:v>
                </c:pt>
                <c:pt idx="519">
                  <c:v>1.3366090491649829E-2</c:v>
                </c:pt>
                <c:pt idx="520">
                  <c:v>-3.5990533364119219E-2</c:v>
                </c:pt>
                <c:pt idx="521">
                  <c:v>2.0688003353193093E-2</c:v>
                </c:pt>
                <c:pt idx="522">
                  <c:v>-9.1810395400680374E-3</c:v>
                </c:pt>
                <c:pt idx="523">
                  <c:v>1.2759406731993257E-2</c:v>
                </c:pt>
                <c:pt idx="524">
                  <c:v>-4.3116047939199063E-2</c:v>
                </c:pt>
                <c:pt idx="525">
                  <c:v>-7.7287307163587272E-3</c:v>
                </c:pt>
                <c:pt idx="526">
                  <c:v>-3.1617511236992739E-2</c:v>
                </c:pt>
                <c:pt idx="527">
                  <c:v>-2.3525671594341411E-3</c:v>
                </c:pt>
                <c:pt idx="528">
                  <c:v>3.9195691660559515E-3</c:v>
                </c:pt>
                <c:pt idx="529">
                  <c:v>8.1576942610461934E-3</c:v>
                </c:pt>
                <c:pt idx="530">
                  <c:v>8.8158433298691065E-4</c:v>
                </c:pt>
                <c:pt idx="531">
                  <c:v>-2.3184120293183192E-2</c:v>
                </c:pt>
                <c:pt idx="532">
                  <c:v>2.5086950921035748E-2</c:v>
                </c:pt>
                <c:pt idx="533">
                  <c:v>-2.4944236750337714E-2</c:v>
                </c:pt>
                <c:pt idx="534">
                  <c:v>-5.8961884202725261E-3</c:v>
                </c:pt>
                <c:pt idx="535">
                  <c:v>-1.4195890322162426E-2</c:v>
                </c:pt>
                <c:pt idx="536">
                  <c:v>-1.0915307732772389E-2</c:v>
                </c:pt>
                <c:pt idx="537">
                  <c:v>-2.6027124052652523E-2</c:v>
                </c:pt>
                <c:pt idx="538">
                  <c:v>2.0989044742500372E-2</c:v>
                </c:pt>
                <c:pt idx="539">
                  <c:v>1.4574140927931396E-2</c:v>
                </c:pt>
                <c:pt idx="540">
                  <c:v>1.8120716921455305E-3</c:v>
                </c:pt>
                <c:pt idx="541">
                  <c:v>-2.2363271615088855E-3</c:v>
                </c:pt>
                <c:pt idx="542">
                  <c:v>-1.7667029236296563E-2</c:v>
                </c:pt>
                <c:pt idx="543">
                  <c:v>-1.6105761164982096E-3</c:v>
                </c:pt>
                <c:pt idx="544">
                  <c:v>-1.6669467316417531E-2</c:v>
                </c:pt>
                <c:pt idx="545">
                  <c:v>2.1190061177757428E-3</c:v>
                </c:pt>
                <c:pt idx="546">
                  <c:v>7.9124177210872521E-3</c:v>
                </c:pt>
                <c:pt idx="547">
                  <c:v>-4.195851520996015E-3</c:v>
                </c:pt>
                <c:pt idx="548">
                  <c:v>8.0193006897956321E-3</c:v>
                </c:pt>
                <c:pt idx="549">
                  <c:v>1.149502781055124E-2</c:v>
                </c:pt>
                <c:pt idx="550">
                  <c:v>1.5696860627874357E-2</c:v>
                </c:pt>
                <c:pt idx="551">
                  <c:v>3.7766184335728557E-2</c:v>
                </c:pt>
                <c:pt idx="552">
                  <c:v>-2.6495510307322612E-2</c:v>
                </c:pt>
                <c:pt idx="553">
                  <c:v>-2.2832088340370163E-2</c:v>
                </c:pt>
                <c:pt idx="554">
                  <c:v>-2.2534649516402532E-2</c:v>
                </c:pt>
                <c:pt idx="555">
                  <c:v>-3.2303036485429246E-3</c:v>
                </c:pt>
                <c:pt idx="556">
                  <c:v>-2.967865183871184E-2</c:v>
                </c:pt>
                <c:pt idx="557">
                  <c:v>-9.527492617072069E-3</c:v>
                </c:pt>
                <c:pt idx="558">
                  <c:v>1.6292194654456305E-2</c:v>
                </c:pt>
                <c:pt idx="559">
                  <c:v>1.4249790444258118E-2</c:v>
                </c:pt>
                <c:pt idx="560">
                  <c:v>3.1473829201102081E-2</c:v>
                </c:pt>
                <c:pt idx="561">
                  <c:v>1.6625492421713163E-2</c:v>
                </c:pt>
                <c:pt idx="562">
                  <c:v>1.9604623670038183E-2</c:v>
                </c:pt>
                <c:pt idx="563">
                  <c:v>-9.5333183033271159E-3</c:v>
                </c:pt>
                <c:pt idx="564">
                  <c:v>-6.2758104900333305E-3</c:v>
                </c:pt>
                <c:pt idx="565">
                  <c:v>1.7081151832460634E-2</c:v>
                </c:pt>
                <c:pt idx="566">
                  <c:v>1.66977671964481E-2</c:v>
                </c:pt>
                <c:pt idx="567">
                  <c:v>-3.5726717508939479E-2</c:v>
                </c:pt>
                <c:pt idx="568">
                  <c:v>-2.5761354686269434E-2</c:v>
                </c:pt>
                <c:pt idx="569">
                  <c:v>-1.8021356149156273E-2</c:v>
                </c:pt>
                <c:pt idx="570">
                  <c:v>-1.5779363336992199E-2</c:v>
                </c:pt>
                <c:pt idx="571">
                  <c:v>2.5372926251219757E-2</c:v>
                </c:pt>
                <c:pt idx="572">
                  <c:v>3.4602311352821234E-2</c:v>
                </c:pt>
                <c:pt idx="573">
                  <c:v>6.7350022997569202E-3</c:v>
                </c:pt>
                <c:pt idx="574">
                  <c:v>6.9183826648826956E-3</c:v>
                </c:pt>
                <c:pt idx="575">
                  <c:v>3.7173877815588952E-2</c:v>
                </c:pt>
                <c:pt idx="576">
                  <c:v>8.93694144115997E-3</c:v>
                </c:pt>
                <c:pt idx="577">
                  <c:v>1.1056739345886996E-2</c:v>
                </c:pt>
                <c:pt idx="578">
                  <c:v>7.5049777913922151E-3</c:v>
                </c:pt>
                <c:pt idx="579">
                  <c:v>7.57069017938586E-3</c:v>
                </c:pt>
                <c:pt idx="580">
                  <c:v>2.5951296056006587E-2</c:v>
                </c:pt>
                <c:pt idx="581">
                  <c:v>1.420630018529952E-2</c:v>
                </c:pt>
                <c:pt idx="582">
                  <c:v>2.0880459370106936E-3</c:v>
                </c:pt>
                <c:pt idx="583">
                  <c:v>-6.9456502865081725E-3</c:v>
                </c:pt>
                <c:pt idx="584">
                  <c:v>5.3913854403451148E-3</c:v>
                </c:pt>
                <c:pt idx="585">
                  <c:v>-3.0957419055624821E-2</c:v>
                </c:pt>
                <c:pt idx="586">
                  <c:v>9.1830935359396761E-3</c:v>
                </c:pt>
                <c:pt idx="587">
                  <c:v>2.8750963305472386E-3</c:v>
                </c:pt>
                <c:pt idx="588">
                  <c:v>6.5316979459139335E-3</c:v>
                </c:pt>
                <c:pt idx="589">
                  <c:v>-2.1376556260277277E-2</c:v>
                </c:pt>
                <c:pt idx="590">
                  <c:v>9.3314930388862637E-3</c:v>
                </c:pt>
                <c:pt idx="591">
                  <c:v>3.9240167662534355E-3</c:v>
                </c:pt>
                <c:pt idx="592">
                  <c:v>3.5533445855913225E-4</c:v>
                </c:pt>
                <c:pt idx="593">
                  <c:v>7.4593730574550477E-3</c:v>
                </c:pt>
                <c:pt idx="594">
                  <c:v>-1.5190245335683901E-2</c:v>
                </c:pt>
                <c:pt idx="595">
                  <c:v>-2.7060087117369749E-2</c:v>
                </c:pt>
                <c:pt idx="596">
                  <c:v>9.0766919137713637E-3</c:v>
                </c:pt>
                <c:pt idx="597">
                  <c:v>-4.1146260674020788E-2</c:v>
                </c:pt>
                <c:pt idx="598">
                  <c:v>1.1726301777961036E-2</c:v>
                </c:pt>
                <c:pt idx="599">
                  <c:v>3.9532625379820205E-2</c:v>
                </c:pt>
                <c:pt idx="600">
                  <c:v>7.5033900858820311E-3</c:v>
                </c:pt>
                <c:pt idx="601">
                  <c:v>1.6599868397439769E-2</c:v>
                </c:pt>
                <c:pt idx="602">
                  <c:v>3.1245402924475581E-2</c:v>
                </c:pt>
                <c:pt idx="603">
                  <c:v>2.0199138398333812E-2</c:v>
                </c:pt>
                <c:pt idx="604">
                  <c:v>4.3513521071618343E-2</c:v>
                </c:pt>
                <c:pt idx="605">
                  <c:v>-1.599892804502203E-2</c:v>
                </c:pt>
                <c:pt idx="606">
                  <c:v>-5.9643771447246523E-3</c:v>
                </c:pt>
                <c:pt idx="607">
                  <c:v>9.6167018274473017E-3</c:v>
                </c:pt>
                <c:pt idx="608">
                  <c:v>-3.0040705563093604E-2</c:v>
                </c:pt>
                <c:pt idx="609">
                  <c:v>3.6370757910638574E-4</c:v>
                </c:pt>
                <c:pt idx="610">
                  <c:v>1.7339747175299377E-3</c:v>
                </c:pt>
                <c:pt idx="611">
                  <c:v>2.4987436484449128E-2</c:v>
                </c:pt>
                <c:pt idx="612">
                  <c:v>2.0646637430882752E-2</c:v>
                </c:pt>
                <c:pt idx="613">
                  <c:v>1.4971578020335764E-2</c:v>
                </c:pt>
                <c:pt idx="614">
                  <c:v>1.3646403029028181E-2</c:v>
                </c:pt>
                <c:pt idx="615">
                  <c:v>1.6341988534668245E-3</c:v>
                </c:pt>
                <c:pt idx="616">
                  <c:v>5.9822862174340975E-3</c:v>
                </c:pt>
                <c:pt idx="617">
                  <c:v>1.4828163212768673E-2</c:v>
                </c:pt>
                <c:pt idx="618">
                  <c:v>1.9608837929022651E-2</c:v>
                </c:pt>
                <c:pt idx="619">
                  <c:v>-1.3111409663133755E-2</c:v>
                </c:pt>
                <c:pt idx="620">
                  <c:v>8.9747144981974988E-3</c:v>
                </c:pt>
                <c:pt idx="621">
                  <c:v>-9.4945406391323849E-4</c:v>
                </c:pt>
                <c:pt idx="622">
                  <c:v>5.4770538952106981E-3</c:v>
                </c:pt>
                <c:pt idx="623">
                  <c:v>2.2311212814645234E-2</c:v>
                </c:pt>
                <c:pt idx="624">
                  <c:v>-4.2578039463760011E-3</c:v>
                </c:pt>
                <c:pt idx="625">
                  <c:v>-1.6957435371157695E-2</c:v>
                </c:pt>
                <c:pt idx="626">
                  <c:v>-1.6727977729170854E-2</c:v>
                </c:pt>
                <c:pt idx="627">
                  <c:v>-1.0364266033013894E-2</c:v>
                </c:pt>
                <c:pt idx="628">
                  <c:v>1.1979871771948192E-2</c:v>
                </c:pt>
                <c:pt idx="629">
                  <c:v>-2.6503104649402073E-3</c:v>
                </c:pt>
                <c:pt idx="630">
                  <c:v>-1.0831878116062999E-2</c:v>
                </c:pt>
                <c:pt idx="631">
                  <c:v>1.5095305104259887E-2</c:v>
                </c:pt>
                <c:pt idx="632">
                  <c:v>3.503465658475076E-3</c:v>
                </c:pt>
                <c:pt idx="633">
                  <c:v>1.3713769025970856E-2</c:v>
                </c:pt>
                <c:pt idx="634">
                  <c:v>4.19226957383547E-2</c:v>
                </c:pt>
                <c:pt idx="635">
                  <c:v>3.602682393227441E-2</c:v>
                </c:pt>
                <c:pt idx="636">
                  <c:v>6.9777583951154852E-3</c:v>
                </c:pt>
                <c:pt idx="637">
                  <c:v>6.8838184677806266E-3</c:v>
                </c:pt>
                <c:pt idx="638">
                  <c:v>2.1528988296017907E-2</c:v>
                </c:pt>
                <c:pt idx="639">
                  <c:v>2.4621044233667257E-2</c:v>
                </c:pt>
                <c:pt idx="640">
                  <c:v>-6.293933167513842E-3</c:v>
                </c:pt>
                <c:pt idx="641">
                  <c:v>-2.2658018457252363E-2</c:v>
                </c:pt>
                <c:pt idx="642">
                  <c:v>1.6769480881010244E-2</c:v>
                </c:pt>
                <c:pt idx="643">
                  <c:v>4.7310320658840565E-3</c:v>
                </c:pt>
                <c:pt idx="644">
                  <c:v>1.2011684687826976E-2</c:v>
                </c:pt>
                <c:pt idx="645">
                  <c:v>1.0727441139090453E-2</c:v>
                </c:pt>
                <c:pt idx="646">
                  <c:v>-1.2723513991602844E-2</c:v>
                </c:pt>
                <c:pt idx="647">
                  <c:v>-9.1529228909420796E-3</c:v>
                </c:pt>
                <c:pt idx="648">
                  <c:v>2.0718954248365992E-2</c:v>
                </c:pt>
                <c:pt idx="649">
                  <c:v>-2.5826556530276399E-3</c:v>
                </c:pt>
                <c:pt idx="650">
                  <c:v>-1.4294885512518739E-2</c:v>
                </c:pt>
                <c:pt idx="651">
                  <c:v>-4.7110416395293644E-3</c:v>
                </c:pt>
                <c:pt idx="652">
                  <c:v>7.9834224015705637E-3</c:v>
                </c:pt>
                <c:pt idx="653">
                  <c:v>-9.1753045811603495E-3</c:v>
                </c:pt>
                <c:pt idx="654">
                  <c:v>3.3328237272588268E-2</c:v>
                </c:pt>
                <c:pt idx="655">
                  <c:v>1.5809608352884023E-2</c:v>
                </c:pt>
                <c:pt idx="656">
                  <c:v>-2.7673165352364727E-2</c:v>
                </c:pt>
                <c:pt idx="657">
                  <c:v>4.8147910380689479E-3</c:v>
                </c:pt>
                <c:pt idx="658">
                  <c:v>3.011329755515799E-2</c:v>
                </c:pt>
                <c:pt idx="659">
                  <c:v>6.2786851354145259E-2</c:v>
                </c:pt>
                <c:pt idx="660">
                  <c:v>-8.4229774155271473E-3</c:v>
                </c:pt>
                <c:pt idx="661">
                  <c:v>9.4165653078043352E-4</c:v>
                </c:pt>
                <c:pt idx="662">
                  <c:v>-2.5165614832817276E-2</c:v>
                </c:pt>
                <c:pt idx="663">
                  <c:v>1.0997627568458779E-2</c:v>
                </c:pt>
                <c:pt idx="664">
                  <c:v>9.5257034901063201E-3</c:v>
                </c:pt>
                <c:pt idx="665">
                  <c:v>5.8309037900875355E-3</c:v>
                </c:pt>
                <c:pt idx="666">
                  <c:v>-2.0015667841754851E-2</c:v>
                </c:pt>
                <c:pt idx="667">
                  <c:v>1.5228426395939096E-2</c:v>
                </c:pt>
                <c:pt idx="668">
                  <c:v>3.503937007874007E-2</c:v>
                </c:pt>
                <c:pt idx="669">
                  <c:v>2.6150627615062764E-2</c:v>
                </c:pt>
                <c:pt idx="670">
                  <c:v>7.3209155777963966E-3</c:v>
                </c:pt>
                <c:pt idx="671">
                  <c:v>-4.7838086476539263E-4</c:v>
                </c:pt>
                <c:pt idx="672">
                  <c:v>1.7450850452838559E-2</c:v>
                </c:pt>
                <c:pt idx="673">
                  <c:v>-2.1891735417571942E-3</c:v>
                </c:pt>
                <c:pt idx="674">
                  <c:v>-4.7324617867309793E-2</c:v>
                </c:pt>
                <c:pt idx="675">
                  <c:v>-3.1994061780323838E-2</c:v>
                </c:pt>
                <c:pt idx="676">
                  <c:v>2.6346834447502902E-2</c:v>
                </c:pt>
                <c:pt idx="677">
                  <c:v>2.561302681992338E-2</c:v>
                </c:pt>
                <c:pt idx="678">
                  <c:v>-1.9052244242299377E-3</c:v>
                </c:pt>
                <c:pt idx="679">
                  <c:v>-1.4597174136801849E-2</c:v>
                </c:pt>
                <c:pt idx="680">
                  <c:v>-5.2036843604596136E-3</c:v>
                </c:pt>
                <c:pt idx="681">
                  <c:v>-2.3825432885970034E-2</c:v>
                </c:pt>
                <c:pt idx="682">
                  <c:v>-4.3220620734163448E-3</c:v>
                </c:pt>
                <c:pt idx="683">
                  <c:v>3.3489157762413485E-2</c:v>
                </c:pt>
                <c:pt idx="684">
                  <c:v>-1.1346142881578035E-2</c:v>
                </c:pt>
                <c:pt idx="685">
                  <c:v>-1.4532871972318451E-2</c:v>
                </c:pt>
                <c:pt idx="686">
                  <c:v>-2.4929775280898823E-2</c:v>
                </c:pt>
                <c:pt idx="687">
                  <c:v>4.3612211419197513E-3</c:v>
                </c:pt>
                <c:pt idx="688">
                  <c:v>-1.7468727591427053E-2</c:v>
                </c:pt>
                <c:pt idx="689">
                  <c:v>1.2771909907352995E-2</c:v>
                </c:pt>
                <c:pt idx="690">
                  <c:v>-5.3646135676682083E-3</c:v>
                </c:pt>
                <c:pt idx="691">
                  <c:v>3.2260661313369104E-2</c:v>
                </c:pt>
                <c:pt idx="692">
                  <c:v>1.1639241987054566E-2</c:v>
                </c:pt>
                <c:pt idx="693">
                  <c:v>9.5010503189501896E-3</c:v>
                </c:pt>
                <c:pt idx="694">
                  <c:v>-2.6115841319537366E-2</c:v>
                </c:pt>
                <c:pt idx="695">
                  <c:v>9.4091817932335869E-4</c:v>
                </c:pt>
                <c:pt idx="696">
                  <c:v>6.2081391249852319E-3</c:v>
                </c:pt>
                <c:pt idx="697">
                  <c:v>6.9483641176357079E-3</c:v>
                </c:pt>
                <c:pt idx="698">
                  <c:v>7.2096799134065605E-3</c:v>
                </c:pt>
                <c:pt idx="699">
                  <c:v>2.7826287205663736E-3</c:v>
                </c:pt>
                <c:pt idx="700">
                  <c:v>-2.1586864163508964E-2</c:v>
                </c:pt>
                <c:pt idx="701">
                  <c:v>-4.5006454641473986E-2</c:v>
                </c:pt>
                <c:pt idx="702">
                  <c:v>-2.0624679979518674E-2</c:v>
                </c:pt>
                <c:pt idx="703">
                  <c:v>1.9636956794512498E-2</c:v>
                </c:pt>
                <c:pt idx="704">
                  <c:v>1.5608015259347404E-2</c:v>
                </c:pt>
                <c:pt idx="705">
                  <c:v>2.2052586938083152E-2</c:v>
                </c:pt>
                <c:pt idx="706">
                  <c:v>6.6785220312191177E-3</c:v>
                </c:pt>
                <c:pt idx="707">
                  <c:v>4.7695689722854805E-3</c:v>
                </c:pt>
                <c:pt idx="708">
                  <c:v>8.009220370768787E-4</c:v>
                </c:pt>
                <c:pt idx="709">
                  <c:v>-3.1796533416614765E-2</c:v>
                </c:pt>
                <c:pt idx="710">
                  <c:v>3.8304134830555291E-3</c:v>
                </c:pt>
                <c:pt idx="711">
                  <c:v>-1.1748639366979339E-2</c:v>
                </c:pt>
                <c:pt idx="712">
                  <c:v>-1.1034791090879546E-2</c:v>
                </c:pt>
                <c:pt idx="713">
                  <c:v>-1.8206102948731033E-2</c:v>
                </c:pt>
                <c:pt idx="714">
                  <c:v>-7.953284915967171E-4</c:v>
                </c:pt>
                <c:pt idx="715">
                  <c:v>1.7783456567729942E-2</c:v>
                </c:pt>
                <c:pt idx="716">
                  <c:v>1.5579337312204261E-2</c:v>
                </c:pt>
                <c:pt idx="717">
                  <c:v>-1.787342695604606E-2</c:v>
                </c:pt>
                <c:pt idx="718">
                  <c:v>5.0551944702363471E-3</c:v>
                </c:pt>
                <c:pt idx="719">
                  <c:v>-9.2383494149054699E-4</c:v>
                </c:pt>
                <c:pt idx="720">
                  <c:v>-3.7542381588410528E-2</c:v>
                </c:pt>
                <c:pt idx="721">
                  <c:v>1.8254408813356701E-2</c:v>
                </c:pt>
                <c:pt idx="722">
                  <c:v>-1.176273247646408E-2</c:v>
                </c:pt>
                <c:pt idx="723">
                  <c:v>1.1457184078757605E-2</c:v>
                </c:pt>
                <c:pt idx="724">
                  <c:v>-1.4473905017620477E-2</c:v>
                </c:pt>
                <c:pt idx="725">
                  <c:v>1.5176024860584895E-2</c:v>
                </c:pt>
                <c:pt idx="726">
                  <c:v>2.4069608973687009E-2</c:v>
                </c:pt>
                <c:pt idx="727">
                  <c:v>5.4050733984398712E-3</c:v>
                </c:pt>
                <c:pt idx="728">
                  <c:v>1.0752031278636507E-2</c:v>
                </c:pt>
                <c:pt idx="729">
                  <c:v>-1.1866626372519479E-2</c:v>
                </c:pt>
                <c:pt idx="730">
                  <c:v>-5.5254251111201318E-3</c:v>
                </c:pt>
                <c:pt idx="731">
                  <c:v>-2.0666324961558142E-2</c:v>
                </c:pt>
                <c:pt idx="732">
                  <c:v>2.0369711306969164E-2</c:v>
                </c:pt>
                <c:pt idx="733">
                  <c:v>2.2897004513746461E-2</c:v>
                </c:pt>
                <c:pt idx="734">
                  <c:v>-8.5847240051348476E-3</c:v>
                </c:pt>
                <c:pt idx="735">
                  <c:v>1.1734239702193919E-3</c:v>
                </c:pt>
                <c:pt idx="736">
                  <c:v>-1.2124641312694499E-2</c:v>
                </c:pt>
                <c:pt idx="737">
                  <c:v>-2.426052448553781E-2</c:v>
                </c:pt>
                <c:pt idx="738">
                  <c:v>-9.2452830188679766E-3</c:v>
                </c:pt>
                <c:pt idx="739">
                  <c:v>-2.2154510252015428E-2</c:v>
                </c:pt>
                <c:pt idx="740">
                  <c:v>-3.6181078507746961E-2</c:v>
                </c:pt>
                <c:pt idx="741">
                  <c:v>6.0619667714415038E-3</c:v>
                </c:pt>
                <c:pt idx="742">
                  <c:v>-1.8344119616157169E-2</c:v>
                </c:pt>
                <c:pt idx="743">
                  <c:v>-3.1826861871416375E-4</c:v>
                </c:pt>
                <c:pt idx="744">
                  <c:v>-4.9733933688088428E-2</c:v>
                </c:pt>
                <c:pt idx="745">
                  <c:v>2.1298489960992328E-3</c:v>
                </c:pt>
                <c:pt idx="746">
                  <c:v>-1.2584774094946943E-2</c:v>
                </c:pt>
                <c:pt idx="747">
                  <c:v>-1.1342475029625862E-2</c:v>
                </c:pt>
                <c:pt idx="748">
                  <c:v>1.6927592954990255E-2</c:v>
                </c:pt>
                <c:pt idx="749">
                  <c:v>-1.8522082170692739E-3</c:v>
                </c:pt>
                <c:pt idx="750">
                  <c:v>6.1453187130979916E-3</c:v>
                </c:pt>
                <c:pt idx="751">
                  <c:v>1.4850299401197714E-3</c:v>
                </c:pt>
                <c:pt idx="752">
                  <c:v>9.5666315890175074E-3</c:v>
                </c:pt>
                <c:pt idx="753">
                  <c:v>-1.4474556998010077E-2</c:v>
                </c:pt>
                <c:pt idx="754">
                  <c:v>2.4037883704724103E-4</c:v>
                </c:pt>
                <c:pt idx="755">
                  <c:v>-3.9172334238542581E-3</c:v>
                </c:pt>
                <c:pt idx="756">
                  <c:v>1.3872804477900019E-2</c:v>
                </c:pt>
                <c:pt idx="757">
                  <c:v>-1.0422863669895047E-2</c:v>
                </c:pt>
                <c:pt idx="758">
                  <c:v>1.4716845016231824E-2</c:v>
                </c:pt>
                <c:pt idx="759">
                  <c:v>1.0450979927482919E-2</c:v>
                </c:pt>
                <c:pt idx="760">
                  <c:v>-1.0507059430554947E-2</c:v>
                </c:pt>
                <c:pt idx="761">
                  <c:v>1.422137947380896E-2</c:v>
                </c:pt>
                <c:pt idx="762">
                  <c:v>-7.0810937134843958E-3</c:v>
                </c:pt>
                <c:pt idx="763">
                  <c:v>-1.1627085932167481E-2</c:v>
                </c:pt>
                <c:pt idx="764">
                  <c:v>-1.4645298025861534E-2</c:v>
                </c:pt>
                <c:pt idx="765">
                  <c:v>-1.9817294214316761E-2</c:v>
                </c:pt>
                <c:pt idx="766">
                  <c:v>6.336604369051712E-3</c:v>
                </c:pt>
                <c:pt idx="767">
                  <c:v>-3.2341051084160068E-3</c:v>
                </c:pt>
                <c:pt idx="768">
                  <c:v>-5.3093429688075323E-3</c:v>
                </c:pt>
                <c:pt idx="769">
                  <c:v>1.6606123508043517E-2</c:v>
                </c:pt>
                <c:pt idx="770">
                  <c:v>1.7137023262597563E-2</c:v>
                </c:pt>
                <c:pt idx="771">
                  <c:v>2.5571169104291968E-3</c:v>
                </c:pt>
                <c:pt idx="772">
                  <c:v>-3.6089723725298534E-2</c:v>
                </c:pt>
                <c:pt idx="773">
                  <c:v>9.6446323911268811E-3</c:v>
                </c:pt>
                <c:pt idx="774">
                  <c:v>-3.6544443627991183E-2</c:v>
                </c:pt>
                <c:pt idx="775">
                  <c:v>-1.6397610270751355E-2</c:v>
                </c:pt>
                <c:pt idx="776">
                  <c:v>-2.5588007237010916E-3</c:v>
                </c:pt>
                <c:pt idx="777">
                  <c:v>2.9462828120546104E-2</c:v>
                </c:pt>
                <c:pt idx="778">
                  <c:v>-4.641562625855819E-2</c:v>
                </c:pt>
                <c:pt idx="779">
                  <c:v>-2.8455284552845458E-2</c:v>
                </c:pt>
                <c:pt idx="780">
                  <c:v>-1.3041351953485875E-2</c:v>
                </c:pt>
                <c:pt idx="781">
                  <c:v>1.3516489566701605E-2</c:v>
                </c:pt>
                <c:pt idx="782">
                  <c:v>-3.0366406822935073E-2</c:v>
                </c:pt>
                <c:pt idx="783">
                  <c:v>-1.4622258326563844E-2</c:v>
                </c:pt>
                <c:pt idx="784">
                  <c:v>2.3395968956988995E-2</c:v>
                </c:pt>
                <c:pt idx="785">
                  <c:v>1.7138888888888933E-2</c:v>
                </c:pt>
                <c:pt idx="786">
                  <c:v>-1.1033126689788951E-2</c:v>
                </c:pt>
                <c:pt idx="787">
                  <c:v>1.9633833153839819E-2</c:v>
                </c:pt>
                <c:pt idx="788">
                  <c:v>2.0853645325533037E-3</c:v>
                </c:pt>
                <c:pt idx="789">
                  <c:v>-1.664819869733242E-2</c:v>
                </c:pt>
                <c:pt idx="790">
                  <c:v>-1.2999862580733868E-2</c:v>
                </c:pt>
                <c:pt idx="791">
                  <c:v>-1.1388950768545422E-2</c:v>
                </c:pt>
                <c:pt idx="792">
                  <c:v>-1.9913810100554864E-2</c:v>
                </c:pt>
                <c:pt idx="793">
                  <c:v>9.1389814921255513E-3</c:v>
                </c:pt>
                <c:pt idx="794">
                  <c:v>1.9564845930398145E-2</c:v>
                </c:pt>
                <c:pt idx="795">
                  <c:v>-2.673109689673471E-2</c:v>
                </c:pt>
                <c:pt idx="796">
                  <c:v>1.3058202272988208E-2</c:v>
                </c:pt>
                <c:pt idx="797">
                  <c:v>-1.9264001813082555E-2</c:v>
                </c:pt>
                <c:pt idx="798">
                  <c:v>-8.9546202952136764E-4</c:v>
                </c:pt>
                <c:pt idx="799">
                  <c:v>6.2160286804671481E-3</c:v>
                </c:pt>
                <c:pt idx="800">
                  <c:v>1.9653478148435571E-2</c:v>
                </c:pt>
                <c:pt idx="801">
                  <c:v>0</c:v>
                </c:pt>
                <c:pt idx="802">
                  <c:v>5.1849973229632683E-3</c:v>
                </c:pt>
                <c:pt idx="803">
                  <c:v>3.1257884556082069E-2</c:v>
                </c:pt>
                <c:pt idx="804">
                  <c:v>3.1017234817593563E-2</c:v>
                </c:pt>
                <c:pt idx="805">
                  <c:v>2.0381258733883561E-2</c:v>
                </c:pt>
                <c:pt idx="806">
                  <c:v>1.4651162790697716E-2</c:v>
                </c:pt>
                <c:pt idx="807">
                  <c:v>1.0084804033921561E-2</c:v>
                </c:pt>
                <c:pt idx="808">
                  <c:v>3.1439880997403191E-2</c:v>
                </c:pt>
                <c:pt idx="809">
                  <c:v>1.4421901735516933E-2</c:v>
                </c:pt>
                <c:pt idx="810">
                  <c:v>-1.2337349397590373E-2</c:v>
                </c:pt>
                <c:pt idx="811">
                  <c:v>2.4885332292377813E-3</c:v>
                </c:pt>
                <c:pt idx="812">
                  <c:v>8.2258457045509756E-3</c:v>
                </c:pt>
                <c:pt idx="813">
                  <c:v>-2.5827942454378656E-2</c:v>
                </c:pt>
                <c:pt idx="814">
                  <c:v>-1.0456415084989273E-2</c:v>
                </c:pt>
                <c:pt idx="815">
                  <c:v>3.2802483974358886E-2</c:v>
                </c:pt>
                <c:pt idx="816">
                  <c:v>-2.0995975367308267E-2</c:v>
                </c:pt>
                <c:pt idx="817">
                  <c:v>1.0104011887072769E-2</c:v>
                </c:pt>
                <c:pt idx="818">
                  <c:v>6.3989408649603157E-3</c:v>
                </c:pt>
                <c:pt idx="819">
                  <c:v>1.8709347365343874E-2</c:v>
                </c:pt>
                <c:pt idx="820">
                  <c:v>-1.4204749264653125E-2</c:v>
                </c:pt>
                <c:pt idx="821">
                  <c:v>-1.4215365208742725E-2</c:v>
                </c:pt>
                <c:pt idx="822">
                  <c:v>1.4764869453946471E-3</c:v>
                </c:pt>
                <c:pt idx="823">
                  <c:v>-1.1401331793498398E-2</c:v>
                </c:pt>
                <c:pt idx="824">
                  <c:v>2.9726841150299596E-2</c:v>
                </c:pt>
                <c:pt idx="825">
                  <c:v>3.9103043761616364E-3</c:v>
                </c:pt>
                <c:pt idx="826">
                  <c:v>1.6614171335144545E-2</c:v>
                </c:pt>
                <c:pt idx="827">
                  <c:v>-1.8352963435977462E-2</c:v>
                </c:pt>
                <c:pt idx="828">
                  <c:v>1.1636871777574288E-2</c:v>
                </c:pt>
                <c:pt idx="829">
                  <c:v>4.7512443735263969E-2</c:v>
                </c:pt>
                <c:pt idx="830">
                  <c:v>-5.4565296471433304E-4</c:v>
                </c:pt>
                <c:pt idx="831">
                  <c:v>-2.0723384895359447E-2</c:v>
                </c:pt>
                <c:pt idx="832">
                  <c:v>2.1998188111222026E-2</c:v>
                </c:pt>
                <c:pt idx="833">
                  <c:v>-8.4780434584961397E-3</c:v>
                </c:pt>
                <c:pt idx="834">
                  <c:v>-2.3886481901749114E-2</c:v>
                </c:pt>
                <c:pt idx="835">
                  <c:v>-2.0830887015335489E-2</c:v>
                </c:pt>
                <c:pt idx="836">
                  <c:v>-2.1849666618698166E-2</c:v>
                </c:pt>
                <c:pt idx="837">
                  <c:v>1.0347448691856968E-2</c:v>
                </c:pt>
                <c:pt idx="838">
                  <c:v>-1.5580633418274519E-2</c:v>
                </c:pt>
                <c:pt idx="839">
                  <c:v>-1.5950496758129255E-2</c:v>
                </c:pt>
                <c:pt idx="840">
                  <c:v>-6.5637839462872145E-3</c:v>
                </c:pt>
                <c:pt idx="841">
                  <c:v>8.5237302668078763E-3</c:v>
                </c:pt>
                <c:pt idx="842">
                  <c:v>1.7303460692138325E-2</c:v>
                </c:pt>
                <c:pt idx="843">
                  <c:v>2.3768557663946557E-2</c:v>
                </c:pt>
                <c:pt idx="844">
                  <c:v>-5.7861756020262858E-3</c:v>
                </c:pt>
                <c:pt idx="845">
                  <c:v>1.9681236416324504E-2</c:v>
                </c:pt>
                <c:pt idx="846">
                  <c:v>-1.439905269390168E-2</c:v>
                </c:pt>
                <c:pt idx="847">
                  <c:v>3.2799096523055425E-2</c:v>
                </c:pt>
                <c:pt idx="848">
                  <c:v>1.2191149783630378E-2</c:v>
                </c:pt>
                <c:pt idx="849">
                  <c:v>5.4934951500942089E-3</c:v>
                </c:pt>
                <c:pt idx="850">
                  <c:v>-2.9534803977597477E-2</c:v>
                </c:pt>
                <c:pt idx="851">
                  <c:v>1.8891479989635689E-2</c:v>
                </c:pt>
                <c:pt idx="852">
                  <c:v>-8.3689746850075242E-3</c:v>
                </c:pt>
                <c:pt idx="853">
                  <c:v>-1.1074068029748444E-2</c:v>
                </c:pt>
                <c:pt idx="854">
                  <c:v>-1.5040784572587099E-2</c:v>
                </c:pt>
                <c:pt idx="855">
                  <c:v>-1.0986117759693709E-2</c:v>
                </c:pt>
                <c:pt idx="856">
                  <c:v>9.8013116817115067E-3</c:v>
                </c:pt>
                <c:pt idx="857">
                  <c:v>8.5558165172793781E-3</c:v>
                </c:pt>
                <c:pt idx="858">
                  <c:v>1.4732789962692882E-3</c:v>
                </c:pt>
                <c:pt idx="859">
                  <c:v>3.5876141891090292E-2</c:v>
                </c:pt>
                <c:pt idx="860">
                  <c:v>-2.3134892457108747E-2</c:v>
                </c:pt>
                <c:pt idx="861">
                  <c:v>5.8855253593453017E-3</c:v>
                </c:pt>
                <c:pt idx="862">
                  <c:v>-2.4639843349340277E-2</c:v>
                </c:pt>
                <c:pt idx="863">
                  <c:v>1.1137401113740035E-2</c:v>
                </c:pt>
                <c:pt idx="864">
                  <c:v>1.1322003450965609E-2</c:v>
                </c:pt>
                <c:pt idx="865">
                  <c:v>3.0383770392184623E-3</c:v>
                </c:pt>
                <c:pt idx="866">
                  <c:v>1.0042874452418683E-2</c:v>
                </c:pt>
                <c:pt idx="867">
                  <c:v>1.1511753985281455E-2</c:v>
                </c:pt>
                <c:pt idx="868">
                  <c:v>9.6245951740182179E-3</c:v>
                </c:pt>
                <c:pt idx="869">
                  <c:v>-2.5684467335321235E-2</c:v>
                </c:pt>
                <c:pt idx="870">
                  <c:v>1.7064292504231329E-2</c:v>
                </c:pt>
                <c:pt idx="871">
                  <c:v>3.3533179839058923E-2</c:v>
                </c:pt>
                <c:pt idx="872">
                  <c:v>2.1703648153866585E-2</c:v>
                </c:pt>
                <c:pt idx="873">
                  <c:v>-4.447130952894957E-3</c:v>
                </c:pt>
                <c:pt idx="874">
                  <c:v>3.764420157862771E-2</c:v>
                </c:pt>
                <c:pt idx="875">
                  <c:v>5.1408509571178561E-3</c:v>
                </c:pt>
                <c:pt idx="876">
                  <c:v>2.2641274065449676E-2</c:v>
                </c:pt>
                <c:pt idx="877">
                  <c:v>1.3377518449996918E-2</c:v>
                </c:pt>
                <c:pt idx="878">
                  <c:v>2.774601263918143E-2</c:v>
                </c:pt>
                <c:pt idx="879">
                  <c:v>-2.9612711798235263E-2</c:v>
                </c:pt>
                <c:pt idx="880">
                  <c:v>-1.4523948421878511E-2</c:v>
                </c:pt>
                <c:pt idx="881">
                  <c:v>1.0390087570679198E-2</c:v>
                </c:pt>
                <c:pt idx="882">
                  <c:v>-4.0405672956483089E-3</c:v>
                </c:pt>
                <c:pt idx="883">
                  <c:v>-6.389711550164376E-3</c:v>
                </c:pt>
                <c:pt idx="884">
                  <c:v>2.8887573239695475E-2</c:v>
                </c:pt>
                <c:pt idx="885">
                  <c:v>-1.0119449184491492E-2</c:v>
                </c:pt>
                <c:pt idx="886">
                  <c:v>6.3141436818472925E-3</c:v>
                </c:pt>
                <c:pt idx="887">
                  <c:v>7.5891878971376262E-3</c:v>
                </c:pt>
                <c:pt idx="888">
                  <c:v>-3.7956666139489941E-3</c:v>
                </c:pt>
                <c:pt idx="889">
                  <c:v>-4.3240990633433916E-2</c:v>
                </c:pt>
                <c:pt idx="890">
                  <c:v>-3.4700184597515234E-2</c:v>
                </c:pt>
                <c:pt idx="891">
                  <c:v>-4.4262999570262194E-3</c:v>
                </c:pt>
                <c:pt idx="892">
                  <c:v>4.2085725385246256E-2</c:v>
                </c:pt>
                <c:pt idx="893">
                  <c:v>-1.3130643691491955E-2</c:v>
                </c:pt>
                <c:pt idx="894">
                  <c:v>2.0986358866717533E-5</c:v>
                </c:pt>
                <c:pt idx="895">
                  <c:v>3.9747329541877395E-2</c:v>
                </c:pt>
                <c:pt idx="896">
                  <c:v>1.1908366131800018E-3</c:v>
                </c:pt>
                <c:pt idx="897">
                  <c:v>1.0120151600677328E-2</c:v>
                </c:pt>
                <c:pt idx="898">
                  <c:v>6.3465453239133175E-3</c:v>
                </c:pt>
                <c:pt idx="899">
                  <c:v>-1.5349833412660656E-2</c:v>
                </c:pt>
                <c:pt idx="900">
                  <c:v>-1.5730110775428002E-2</c:v>
                </c:pt>
                <c:pt idx="901">
                  <c:v>-9.0241257238740814E-3</c:v>
                </c:pt>
                <c:pt idx="902">
                  <c:v>3.3038737920216616E-4</c:v>
                </c:pt>
                <c:pt idx="903">
                  <c:v>-1.3376269507059736E-2</c:v>
                </c:pt>
                <c:pt idx="904">
                  <c:v>-8.8710352330737974E-3</c:v>
                </c:pt>
                <c:pt idx="905">
                  <c:v>5.4040361394915677E-3</c:v>
                </c:pt>
                <c:pt idx="906">
                  <c:v>2.3137650121777188E-2</c:v>
                </c:pt>
                <c:pt idx="907">
                  <c:v>4.5085163143853829E-2</c:v>
                </c:pt>
                <c:pt idx="908">
                  <c:v>-1.2979362617079264E-2</c:v>
                </c:pt>
                <c:pt idx="909">
                  <c:v>5.8488839374527465E-3</c:v>
                </c:pt>
                <c:pt idx="910">
                  <c:v>-1.8077531645569706E-2</c:v>
                </c:pt>
                <c:pt idx="911">
                  <c:v>-1.1219433589815883E-2</c:v>
                </c:pt>
                <c:pt idx="912">
                  <c:v>-3.2043838741876919E-2</c:v>
                </c:pt>
                <c:pt idx="913">
                  <c:v>3.310463843757884E-2</c:v>
                </c:pt>
                <c:pt idx="914">
                  <c:v>-7.5780724805964072E-3</c:v>
                </c:pt>
                <c:pt idx="915">
                  <c:v>1.8617730976866378E-2</c:v>
                </c:pt>
                <c:pt idx="916">
                  <c:v>-1.9446235692406968E-2</c:v>
                </c:pt>
                <c:pt idx="917">
                  <c:v>-4.3835672742966326E-2</c:v>
                </c:pt>
                <c:pt idx="918">
                  <c:v>3.2755878433564048E-2</c:v>
                </c:pt>
                <c:pt idx="919">
                  <c:v>-3.0052029136316331E-2</c:v>
                </c:pt>
                <c:pt idx="920">
                  <c:v>-1.9074797236407301E-2</c:v>
                </c:pt>
                <c:pt idx="921">
                  <c:v>2.3207997025176536E-2</c:v>
                </c:pt>
                <c:pt idx="922">
                  <c:v>2.1805122065929254E-3</c:v>
                </c:pt>
                <c:pt idx="923">
                  <c:v>-3.050341296928342E-3</c:v>
                </c:pt>
                <c:pt idx="924">
                  <c:v>2.5718381582044165E-2</c:v>
                </c:pt>
                <c:pt idx="925">
                  <c:v>-4.8812031957278521E-3</c:v>
                </c:pt>
                <c:pt idx="926">
                  <c:v>1.5616811654962768E-2</c:v>
                </c:pt>
                <c:pt idx="927">
                  <c:v>-2.2889576883384881E-2</c:v>
                </c:pt>
                <c:pt idx="928">
                  <c:v>2.7460340930694323E-2</c:v>
                </c:pt>
                <c:pt idx="929">
                  <c:v>-1.0053247260541607E-2</c:v>
                </c:pt>
                <c:pt idx="930">
                  <c:v>3.86276790164482E-3</c:v>
                </c:pt>
                <c:pt idx="931">
                  <c:v>-1.3095287351566023E-2</c:v>
                </c:pt>
                <c:pt idx="932">
                  <c:v>-1.490409810292425E-2</c:v>
                </c:pt>
                <c:pt idx="933">
                  <c:v>-4.809124569093908E-3</c:v>
                </c:pt>
                <c:pt idx="934">
                  <c:v>1.7811323982210026E-2</c:v>
                </c:pt>
                <c:pt idx="935">
                  <c:v>-4.1595764794857635E-3</c:v>
                </c:pt>
                <c:pt idx="936">
                  <c:v>4.1558551146552488E-3</c:v>
                </c:pt>
                <c:pt idx="937">
                  <c:v>-8.4453781512604659E-3</c:v>
                </c:pt>
                <c:pt idx="938">
                  <c:v>2.5509555489639315E-2</c:v>
                </c:pt>
                <c:pt idx="939">
                  <c:v>-2.7209619437213256E-2</c:v>
                </c:pt>
                <c:pt idx="940">
                  <c:v>-3.1220133800573525E-2</c:v>
                </c:pt>
                <c:pt idx="941">
                  <c:v>2.7205962950783789E-2</c:v>
                </c:pt>
                <c:pt idx="942">
                  <c:v>-4.035769165101593E-2</c:v>
                </c:pt>
                <c:pt idx="943">
                  <c:v>3.3003447125542158E-2</c:v>
                </c:pt>
                <c:pt idx="944">
                  <c:v>1.7223191026714048E-4</c:v>
                </c:pt>
                <c:pt idx="945">
                  <c:v>8.696213702994211E-3</c:v>
                </c:pt>
                <c:pt idx="946">
                  <c:v>6.5939693988604064E-3</c:v>
                </c:pt>
                <c:pt idx="947">
                  <c:v>-1.1956752172991279E-2</c:v>
                </c:pt>
                <c:pt idx="948">
                  <c:v>1.0256190190104221E-2</c:v>
                </c:pt>
                <c:pt idx="949">
                  <c:v>3.8994138136097221E-2</c:v>
                </c:pt>
                <c:pt idx="950">
                  <c:v>2.3528209321340948E-2</c:v>
                </c:pt>
                <c:pt idx="951">
                  <c:v>-1.2981566176030038E-2</c:v>
                </c:pt>
                <c:pt idx="952">
                  <c:v>2.3896724064668872E-2</c:v>
                </c:pt>
                <c:pt idx="953">
                  <c:v>-2.1678985020354868E-2</c:v>
                </c:pt>
                <c:pt idx="954">
                  <c:v>-3.6359963640036591E-3</c:v>
                </c:pt>
                <c:pt idx="955">
                  <c:v>3.2235174860617841E-3</c:v>
                </c:pt>
                <c:pt idx="956">
                  <c:v>2.398755153180827E-2</c:v>
                </c:pt>
                <c:pt idx="957">
                  <c:v>-2.5714905961990039E-2</c:v>
                </c:pt>
                <c:pt idx="958">
                  <c:v>2.0337060444012355E-2</c:v>
                </c:pt>
                <c:pt idx="959">
                  <c:v>-7.3056459938060959E-3</c:v>
                </c:pt>
                <c:pt idx="960">
                  <c:v>-3.0497560195184382E-2</c:v>
                </c:pt>
                <c:pt idx="961">
                  <c:v>1.9327956434744949E-2</c:v>
                </c:pt>
                <c:pt idx="962">
                  <c:v>-7.3862716529060103E-3</c:v>
                </c:pt>
                <c:pt idx="963">
                  <c:v>-3.7389655664512397E-2</c:v>
                </c:pt>
                <c:pt idx="964">
                  <c:v>1.5524069720651425E-2</c:v>
                </c:pt>
                <c:pt idx="965">
                  <c:v>-3.1386861313868634E-2</c:v>
                </c:pt>
                <c:pt idx="966">
                  <c:v>-6.6745613090751768E-3</c:v>
                </c:pt>
                <c:pt idx="967">
                  <c:v>-2.0808496802861218E-2</c:v>
                </c:pt>
                <c:pt idx="968">
                  <c:v>-1.4831211953514086E-2</c:v>
                </c:pt>
                <c:pt idx="969">
                  <c:v>2.1053814178182237E-2</c:v>
                </c:pt>
                <c:pt idx="970">
                  <c:v>1.2477443774481666E-2</c:v>
                </c:pt>
                <c:pt idx="971">
                  <c:v>-2.803799256667169E-2</c:v>
                </c:pt>
                <c:pt idx="972">
                  <c:v>-3.77915427446946E-3</c:v>
                </c:pt>
                <c:pt idx="973">
                  <c:v>1.7732884399551526E-3</c:v>
                </c:pt>
                <c:pt idx="974">
                  <c:v>2.6104102713482211E-2</c:v>
                </c:pt>
                <c:pt idx="975">
                  <c:v>9.171507184347269E-3</c:v>
                </c:pt>
                <c:pt idx="976">
                  <c:v>-2.2374172328731498E-2</c:v>
                </c:pt>
                <c:pt idx="977">
                  <c:v>-2.3926516157591858E-2</c:v>
                </c:pt>
                <c:pt idx="978">
                  <c:v>1.3016168167078639E-2</c:v>
                </c:pt>
                <c:pt idx="979">
                  <c:v>1.4908333892955405E-2</c:v>
                </c:pt>
                <c:pt idx="980">
                  <c:v>-1.0873640794900653E-2</c:v>
                </c:pt>
                <c:pt idx="981">
                  <c:v>-1.1349953173081156E-2</c:v>
                </c:pt>
                <c:pt idx="982">
                  <c:v>1.0104427453368559E-2</c:v>
                </c:pt>
                <c:pt idx="983">
                  <c:v>5.9394886680807588E-3</c:v>
                </c:pt>
                <c:pt idx="984">
                  <c:v>-4.9233091385318874E-2</c:v>
                </c:pt>
                <c:pt idx="985">
                  <c:v>-4.6459505521443964E-3</c:v>
                </c:pt>
                <c:pt idx="986">
                  <c:v>1.6043533330206014E-2</c:v>
                </c:pt>
                <c:pt idx="987">
                  <c:v>-2.7586684519137514E-2</c:v>
                </c:pt>
                <c:pt idx="988">
                  <c:v>1.6950359660992773E-2</c:v>
                </c:pt>
                <c:pt idx="989">
                  <c:v>-2.3110862105189384E-2</c:v>
                </c:pt>
                <c:pt idx="990">
                  <c:v>4.8510048510047856E-3</c:v>
                </c:pt>
                <c:pt idx="991">
                  <c:v>-1.5505350772889373E-2</c:v>
                </c:pt>
                <c:pt idx="992">
                  <c:v>-3.0049760858012458E-2</c:v>
                </c:pt>
                <c:pt idx="993">
                  <c:v>4.6570702794242278E-3</c:v>
                </c:pt>
                <c:pt idx="994">
                  <c:v>-1.4625319154211145E-3</c:v>
                </c:pt>
                <c:pt idx="995">
                  <c:v>2.9243830991509928E-2</c:v>
                </c:pt>
                <c:pt idx="996">
                  <c:v>1.6184273999035166E-2</c:v>
                </c:pt>
                <c:pt idx="997">
                  <c:v>-2.9526951650803442E-2</c:v>
                </c:pt>
                <c:pt idx="998">
                  <c:v>6.6769388803287555E-3</c:v>
                </c:pt>
                <c:pt idx="999">
                  <c:v>1.902332361516031E-2</c:v>
                </c:pt>
                <c:pt idx="1000">
                  <c:v>1.6498581408101509E-2</c:v>
                </c:pt>
                <c:pt idx="1001">
                  <c:v>3.5651460068019204E-2</c:v>
                </c:pt>
                <c:pt idx="1002">
                  <c:v>3.7368361453968969E-2</c:v>
                </c:pt>
                <c:pt idx="1003">
                  <c:v>-1.2858858203252889E-2</c:v>
                </c:pt>
                <c:pt idx="1004">
                  <c:v>7.8069709837225157E-3</c:v>
                </c:pt>
                <c:pt idx="1005">
                  <c:v>4.5864513155873463E-2</c:v>
                </c:pt>
                <c:pt idx="1006">
                  <c:v>2.461235023815023E-2</c:v>
                </c:pt>
                <c:pt idx="1007">
                  <c:v>-1.2184633027522913E-2</c:v>
                </c:pt>
                <c:pt idx="1008">
                  <c:v>-2.8339241660965683E-2</c:v>
                </c:pt>
                <c:pt idx="1009">
                  <c:v>-2.8931085982504805E-2</c:v>
                </c:pt>
                <c:pt idx="1010">
                  <c:v>1.2875159291646556E-2</c:v>
                </c:pt>
                <c:pt idx="1011">
                  <c:v>-1.5618221258135083E-3</c:v>
                </c:pt>
                <c:pt idx="1012">
                  <c:v>-2.998175023898487E-3</c:v>
                </c:pt>
                <c:pt idx="1013">
                  <c:v>-1.0459795162344639E-2</c:v>
                </c:pt>
                <c:pt idx="1014">
                  <c:v>-1.5789473684210562E-2</c:v>
                </c:pt>
                <c:pt idx="1015">
                  <c:v>1.2127178752824862E-2</c:v>
                </c:pt>
                <c:pt idx="1016">
                  <c:v>-4.4213551453605949E-5</c:v>
                </c:pt>
                <c:pt idx="1017">
                  <c:v>8.6220237437270014E-3</c:v>
                </c:pt>
                <c:pt idx="1018">
                  <c:v>-3.0467088968283616E-2</c:v>
                </c:pt>
                <c:pt idx="1019">
                  <c:v>3.4295661610110134E-2</c:v>
                </c:pt>
                <c:pt idx="1020">
                  <c:v>2.2754098360655794E-2</c:v>
                </c:pt>
                <c:pt idx="1021">
                  <c:v>2.0709110726421742E-2</c:v>
                </c:pt>
                <c:pt idx="1022">
                  <c:v>-3.8525963149078794E-2</c:v>
                </c:pt>
                <c:pt idx="1023">
                  <c:v>1.7312717770034819E-2</c:v>
                </c:pt>
                <c:pt idx="1024">
                  <c:v>-2.6608155838595635E-2</c:v>
                </c:pt>
                <c:pt idx="1025">
                  <c:v>8.5767065446867904E-3</c:v>
                </c:pt>
                <c:pt idx="1026">
                  <c:v>2.2458680388993089E-2</c:v>
                </c:pt>
                <c:pt idx="1027">
                  <c:v>2.0728482470357353E-2</c:v>
                </c:pt>
                <c:pt idx="1028">
                  <c:v>1.4186027076717409E-2</c:v>
                </c:pt>
                <c:pt idx="1029">
                  <c:v>3.5494304019117108E-2</c:v>
                </c:pt>
                <c:pt idx="1030">
                  <c:v>3.600843512513433E-3</c:v>
                </c:pt>
                <c:pt idx="1031">
                  <c:v>-1.4787797093979892E-2</c:v>
                </c:pt>
                <c:pt idx="1032">
                  <c:v>-9.4967908090379874E-3</c:v>
                </c:pt>
                <c:pt idx="1033">
                  <c:v>8.5315566028145817E-4</c:v>
                </c:pt>
                <c:pt idx="1034">
                  <c:v>1.6317915203669542E-2</c:v>
                </c:pt>
                <c:pt idx="1035">
                  <c:v>-1.9610584123814265E-2</c:v>
                </c:pt>
                <c:pt idx="1036">
                  <c:v>1.5888212168740985E-2</c:v>
                </c:pt>
                <c:pt idx="1037">
                  <c:v>2.0050929360557627E-5</c:v>
                </c:pt>
                <c:pt idx="1038">
                  <c:v>-8.2207162048362325E-3</c:v>
                </c:pt>
                <c:pt idx="1039">
                  <c:v>-1.7163998059194583E-2</c:v>
                </c:pt>
                <c:pt idx="1040">
                  <c:v>-8.4336110254036121E-3</c:v>
                </c:pt>
                <c:pt idx="1041">
                  <c:v>6.2441655429934465E-3</c:v>
                </c:pt>
                <c:pt idx="1042">
                  <c:v>-3.216096977693486E-3</c:v>
                </c:pt>
                <c:pt idx="1043">
                  <c:v>1.4746639089968967E-2</c:v>
                </c:pt>
                <c:pt idx="1044">
                  <c:v>-2.9981860057477081E-2</c:v>
                </c:pt>
                <c:pt idx="1045">
                  <c:v>-2.7294503277861842E-2</c:v>
                </c:pt>
                <c:pt idx="1046">
                  <c:v>-1.9138962694143852E-2</c:v>
                </c:pt>
                <c:pt idx="1047">
                  <c:v>2.1450437157266522E-2</c:v>
                </c:pt>
                <c:pt idx="1048">
                  <c:v>-2.1560552812574115E-3</c:v>
                </c:pt>
                <c:pt idx="1049">
                  <c:v>1.1883926449299093E-3</c:v>
                </c:pt>
                <c:pt idx="1050">
                  <c:v>1.165400552486183E-2</c:v>
                </c:pt>
                <c:pt idx="1051">
                  <c:v>1.2885058452086399E-2</c:v>
                </c:pt>
                <c:pt idx="1052">
                  <c:v>-9.6251053074978797E-3</c:v>
                </c:pt>
                <c:pt idx="1053">
                  <c:v>-2.6497671352317027E-2</c:v>
                </c:pt>
                <c:pt idx="1054">
                  <c:v>-6.2913690281145461E-3</c:v>
                </c:pt>
                <c:pt idx="1055">
                  <c:v>-2.8402470927037217E-2</c:v>
                </c:pt>
                <c:pt idx="1056">
                  <c:v>-7.919089530964154E-4</c:v>
                </c:pt>
                <c:pt idx="1057">
                  <c:v>-1.401657533626194E-2</c:v>
                </c:pt>
                <c:pt idx="1058">
                  <c:v>5.9022116069172847E-3</c:v>
                </c:pt>
                <c:pt idx="1059">
                  <c:v>4.1780821917807853E-3</c:v>
                </c:pt>
                <c:pt idx="1060">
                  <c:v>-6.3888320487461119E-3</c:v>
                </c:pt>
                <c:pt idx="1061">
                  <c:v>1.2470825133861255E-2</c:v>
                </c:pt>
                <c:pt idx="1062">
                  <c:v>5.4082762673175466E-2</c:v>
                </c:pt>
                <c:pt idx="1063">
                  <c:v>-3.4391080617495635E-2</c:v>
                </c:pt>
                <c:pt idx="1064">
                  <c:v>4.6340705213606899E-2</c:v>
                </c:pt>
                <c:pt idx="1065">
                  <c:v>-1.7910574454088231E-2</c:v>
                </c:pt>
                <c:pt idx="1066">
                  <c:v>-2.5108580565699354E-2</c:v>
                </c:pt>
                <c:pt idx="1067">
                  <c:v>-1.7709510827404323E-2</c:v>
                </c:pt>
                <c:pt idx="1068">
                  <c:v>1.4350828105961491E-2</c:v>
                </c:pt>
                <c:pt idx="1069">
                  <c:v>4.5602171108242969E-3</c:v>
                </c:pt>
                <c:pt idx="1070">
                  <c:v>-1.1249141920768804E-2</c:v>
                </c:pt>
                <c:pt idx="1071">
                  <c:v>-1.0481288213029958E-2</c:v>
                </c:pt>
                <c:pt idx="1072">
                  <c:v>-1.3874114478419292E-2</c:v>
                </c:pt>
                <c:pt idx="1073">
                  <c:v>1.1659398668808777E-2</c:v>
                </c:pt>
                <c:pt idx="1074">
                  <c:v>2.4184400381142578E-2</c:v>
                </c:pt>
                <c:pt idx="1075">
                  <c:v>-4.3416622363990328E-3</c:v>
                </c:pt>
                <c:pt idx="1076">
                  <c:v>-1.2369849603986833E-2</c:v>
                </c:pt>
                <c:pt idx="1077">
                  <c:v>-6.6228149216074911E-3</c:v>
                </c:pt>
                <c:pt idx="1078">
                  <c:v>-4.3131207764524553E-2</c:v>
                </c:pt>
                <c:pt idx="1079">
                  <c:v>-5.4507536259351924E-4</c:v>
                </c:pt>
                <c:pt idx="1080">
                  <c:v>7.7063524055675427E-3</c:v>
                </c:pt>
                <c:pt idx="1081">
                  <c:v>-6.4944232669772476E-3</c:v>
                </c:pt>
                <c:pt idx="1082">
                  <c:v>-9.0711003742125918E-3</c:v>
                </c:pt>
                <c:pt idx="1083">
                  <c:v>2.1654437247544164E-2</c:v>
                </c:pt>
                <c:pt idx="1084">
                  <c:v>6.4101064451982902E-3</c:v>
                </c:pt>
                <c:pt idx="1085">
                  <c:v>7.8105023361770701E-3</c:v>
                </c:pt>
                <c:pt idx="1086">
                  <c:v>9.9642486449082988E-3</c:v>
                </c:pt>
                <c:pt idx="1087">
                  <c:v>3.1972960010961636E-3</c:v>
                </c:pt>
                <c:pt idx="1088">
                  <c:v>2.5291961663669302E-2</c:v>
                </c:pt>
                <c:pt idx="1089">
                  <c:v>-2.540077268084728E-2</c:v>
                </c:pt>
                <c:pt idx="1090">
                  <c:v>-1.1391078507315663E-4</c:v>
                </c:pt>
                <c:pt idx="1091">
                  <c:v>-4.2675841326983897E-2</c:v>
                </c:pt>
                <c:pt idx="1092">
                  <c:v>-7.4733434881950759E-3</c:v>
                </c:pt>
                <c:pt idx="1093">
                  <c:v>3.8343484724953261E-2</c:v>
                </c:pt>
                <c:pt idx="1094">
                  <c:v>-2.3810073670354041E-2</c:v>
                </c:pt>
                <c:pt idx="1095">
                  <c:v>-2.0369056068133461E-2</c:v>
                </c:pt>
                <c:pt idx="1096">
                  <c:v>-9.4182424110697289E-4</c:v>
                </c:pt>
                <c:pt idx="1097">
                  <c:v>1.6799613246313728E-2</c:v>
                </c:pt>
                <c:pt idx="1098">
                  <c:v>1.3336503031023449E-2</c:v>
                </c:pt>
                <c:pt idx="1099">
                  <c:v>-9.8062215549195482E-3</c:v>
                </c:pt>
                <c:pt idx="1100">
                  <c:v>3.2553070507960601E-2</c:v>
                </c:pt>
                <c:pt idx="1101">
                  <c:v>-6.195218209352068E-4</c:v>
                </c:pt>
                <c:pt idx="1102">
                  <c:v>2.1995178509929936E-2</c:v>
                </c:pt>
                <c:pt idx="1103">
                  <c:v>3.0597802889043662E-2</c:v>
                </c:pt>
                <c:pt idx="1104">
                  <c:v>-1.8114441416893737E-2</c:v>
                </c:pt>
                <c:pt idx="1105">
                  <c:v>-2.7772844329988437E-2</c:v>
                </c:pt>
                <c:pt idx="1106">
                  <c:v>1.0595300618820329E-2</c:v>
                </c:pt>
                <c:pt idx="1107">
                  <c:v>3.9993673317214942E-3</c:v>
                </c:pt>
                <c:pt idx="1108">
                  <c:v>1.1252644371427287E-3</c:v>
                </c:pt>
                <c:pt idx="1109">
                  <c:v>5.5525582231814299E-3</c:v>
                </c:pt>
                <c:pt idx="1110">
                  <c:v>-1.430775077686585E-3</c:v>
                </c:pt>
                <c:pt idx="1111">
                  <c:v>2.9977388228446023E-2</c:v>
                </c:pt>
                <c:pt idx="1112">
                  <c:v>-5.6405686214841516E-2</c:v>
                </c:pt>
                <c:pt idx="1113">
                  <c:v>2.4486881205224471E-2</c:v>
                </c:pt>
                <c:pt idx="1114">
                  <c:v>5.3739263389845447E-3</c:v>
                </c:pt>
                <c:pt idx="1115">
                  <c:v>-1.9457428488359192E-3</c:v>
                </c:pt>
                <c:pt idx="1116">
                  <c:v>-1.7949177609465315E-2</c:v>
                </c:pt>
                <c:pt idx="1117">
                  <c:v>2.3776383342840882E-2</c:v>
                </c:pt>
                <c:pt idx="1118">
                  <c:v>-2.1463436378630164E-2</c:v>
                </c:pt>
                <c:pt idx="1119">
                  <c:v>2.5282434402331376E-3</c:v>
                </c:pt>
                <c:pt idx="1120">
                  <c:v>2.1969783028513046E-2</c:v>
                </c:pt>
                <c:pt idx="1121">
                  <c:v>-3.0790093815303825E-2</c:v>
                </c:pt>
                <c:pt idx="1122">
                  <c:v>6.4453976191021067E-3</c:v>
                </c:pt>
                <c:pt idx="1123">
                  <c:v>6.3357491225671855E-3</c:v>
                </c:pt>
                <c:pt idx="1124">
                  <c:v>8.5605580215598626E-3</c:v>
                </c:pt>
                <c:pt idx="1125">
                  <c:v>-8.3307136120716295E-3</c:v>
                </c:pt>
                <c:pt idx="1126">
                  <c:v>1.1548128523877505E-2</c:v>
                </c:pt>
                <c:pt idx="1127">
                  <c:v>2.010162738119213E-2</c:v>
                </c:pt>
                <c:pt idx="1128">
                  <c:v>-5.2006758684251054E-3</c:v>
                </c:pt>
                <c:pt idx="1129">
                  <c:v>3.9859707945471501E-2</c:v>
                </c:pt>
                <c:pt idx="1130">
                  <c:v>-2.1000827305318159E-2</c:v>
                </c:pt>
                <c:pt idx="1131">
                  <c:v>-1.2350761630300511E-2</c:v>
                </c:pt>
                <c:pt idx="1132">
                  <c:v>2.3211425813387122E-2</c:v>
                </c:pt>
                <c:pt idx="1133">
                  <c:v>-3.6235768348377921E-3</c:v>
                </c:pt>
                <c:pt idx="1134">
                  <c:v>-1.7236927049709472E-2</c:v>
                </c:pt>
                <c:pt idx="1135">
                  <c:v>-7.9484989818038396E-3</c:v>
                </c:pt>
                <c:pt idx="1136">
                  <c:v>2.9091069615503479E-2</c:v>
                </c:pt>
                <c:pt idx="1137">
                  <c:v>1.5485586822237411E-2</c:v>
                </c:pt>
                <c:pt idx="1138">
                  <c:v>-1.7044734507666949E-2</c:v>
                </c:pt>
                <c:pt idx="1139">
                  <c:v>-3.4916951374116337E-2</c:v>
                </c:pt>
                <c:pt idx="1140">
                  <c:v>2.8677027207552202E-2</c:v>
                </c:pt>
                <c:pt idx="1141">
                  <c:v>5.1080039825116092E-3</c:v>
                </c:pt>
                <c:pt idx="1142">
                  <c:v>-7.5153968732503754E-3</c:v>
                </c:pt>
                <c:pt idx="1143">
                  <c:v>-1.6663412093992074E-2</c:v>
                </c:pt>
                <c:pt idx="1144">
                  <c:v>-3.8679640784625172E-2</c:v>
                </c:pt>
                <c:pt idx="1145">
                  <c:v>-2.4513404333455762E-2</c:v>
                </c:pt>
                <c:pt idx="1146">
                  <c:v>6.1647058823529515E-3</c:v>
                </c:pt>
                <c:pt idx="1147">
                  <c:v>-8.8630092137879906E-3</c:v>
                </c:pt>
                <c:pt idx="1148">
                  <c:v>3.1569261260411006E-2</c:v>
                </c:pt>
                <c:pt idx="1149">
                  <c:v>1.7840397063196203E-2</c:v>
                </c:pt>
                <c:pt idx="1150">
                  <c:v>-1.0696388845194469E-2</c:v>
                </c:pt>
                <c:pt idx="1151">
                  <c:v>-1.7058489494605318E-2</c:v>
                </c:pt>
                <c:pt idx="1152">
                  <c:v>2.4864814900402068E-2</c:v>
                </c:pt>
                <c:pt idx="1153">
                  <c:v>-6.5839909808343084E-3</c:v>
                </c:pt>
                <c:pt idx="1154">
                  <c:v>5.0433519451632006E-2</c:v>
                </c:pt>
                <c:pt idx="1155">
                  <c:v>2.3120138288677465E-3</c:v>
                </c:pt>
                <c:pt idx="1156">
                  <c:v>-2.5330372733740055E-2</c:v>
                </c:pt>
                <c:pt idx="1157">
                  <c:v>-3.8087233477837802E-2</c:v>
                </c:pt>
                <c:pt idx="1158">
                  <c:v>-1.3428374338928432E-2</c:v>
                </c:pt>
                <c:pt idx="1159">
                  <c:v>2.7804969002004399E-2</c:v>
                </c:pt>
                <c:pt idx="1160">
                  <c:v>-4.1951064649992575E-3</c:v>
                </c:pt>
                <c:pt idx="1161">
                  <c:v>-4.6773238602723421E-2</c:v>
                </c:pt>
                <c:pt idx="1162">
                  <c:v>-1.1347348303870042E-2</c:v>
                </c:pt>
                <c:pt idx="1163">
                  <c:v>-5.0018122508156335E-3</c:v>
                </c:pt>
                <c:pt idx="1164">
                  <c:v>2.6373306134343615E-2</c:v>
                </c:pt>
                <c:pt idx="1165">
                  <c:v>8.6361915578270724E-3</c:v>
                </c:pt>
                <c:pt idx="1166">
                  <c:v>-2.3458209200309648E-3</c:v>
                </c:pt>
                <c:pt idx="1167">
                  <c:v>6.207528980225226E-3</c:v>
                </c:pt>
                <c:pt idx="1168">
                  <c:v>4.250695207160049E-2</c:v>
                </c:pt>
                <c:pt idx="1169">
                  <c:v>2.0487761140500282E-2</c:v>
                </c:pt>
                <c:pt idx="1170">
                  <c:v>-1.3530729692922655E-2</c:v>
                </c:pt>
                <c:pt idx="1171">
                  <c:v>1.3404586951681098E-2</c:v>
                </c:pt>
                <c:pt idx="1172">
                  <c:v>2.1862365969414634E-2</c:v>
                </c:pt>
                <c:pt idx="1173">
                  <c:v>4.4487926548691589E-2</c:v>
                </c:pt>
                <c:pt idx="1174">
                  <c:v>5.9082674571805105E-3</c:v>
                </c:pt>
                <c:pt idx="1175">
                  <c:v>-5.6279802713709763E-3</c:v>
                </c:pt>
                <c:pt idx="1176">
                  <c:v>7.2240059273894599E-3</c:v>
                </c:pt>
                <c:pt idx="1177">
                  <c:v>-8.5412452236457766E-3</c:v>
                </c:pt>
                <c:pt idx="1178">
                  <c:v>3.3387605366748513E-3</c:v>
                </c:pt>
                <c:pt idx="1179">
                  <c:v>-1.4748474826941657E-2</c:v>
                </c:pt>
                <c:pt idx="1180">
                  <c:v>9.1733555717710363E-4</c:v>
                </c:pt>
                <c:pt idx="1181">
                  <c:v>-2.7057426732487559E-2</c:v>
                </c:pt>
                <c:pt idx="1182">
                  <c:v>1.6441875401412866E-2</c:v>
                </c:pt>
                <c:pt idx="1183">
                  <c:v>1.5565103837566966E-2</c:v>
                </c:pt>
                <c:pt idx="1184">
                  <c:v>-3.0736047452143419E-2</c:v>
                </c:pt>
                <c:pt idx="1185">
                  <c:v>1.4614314753396777E-2</c:v>
                </c:pt>
                <c:pt idx="1186">
                  <c:v>-1.0122738200683309E-2</c:v>
                </c:pt>
                <c:pt idx="1187">
                  <c:v>2.7163492266393967E-2</c:v>
                </c:pt>
                <c:pt idx="1188">
                  <c:v>1.9476074917553328E-2</c:v>
                </c:pt>
                <c:pt idx="1189">
                  <c:v>2.1016438802083419E-2</c:v>
                </c:pt>
                <c:pt idx="1190">
                  <c:v>1.163694330975386E-2</c:v>
                </c:pt>
                <c:pt idx="1191">
                  <c:v>-1.9224329807559712E-2</c:v>
                </c:pt>
                <c:pt idx="1192">
                  <c:v>-3.8780551483140205E-2</c:v>
                </c:pt>
                <c:pt idx="1193">
                  <c:v>3.0295432702352361E-3</c:v>
                </c:pt>
                <c:pt idx="1194">
                  <c:v>-2.357989459870434E-2</c:v>
                </c:pt>
                <c:pt idx="1195">
                  <c:v>4.0746666666667203E-3</c:v>
                </c:pt>
                <c:pt idx="1196">
                  <c:v>-2.7663281349594268E-2</c:v>
                </c:pt>
                <c:pt idx="1197">
                  <c:v>1.525216327244126E-2</c:v>
                </c:pt>
                <c:pt idx="1198">
                  <c:v>1.0223408376737979E-2</c:v>
                </c:pt>
                <c:pt idx="1199">
                  <c:v>-2.3712636086669354E-2</c:v>
                </c:pt>
                <c:pt idx="1200">
                  <c:v>-1.7741794692737421E-2</c:v>
                </c:pt>
                <c:pt idx="1201">
                  <c:v>8.4868143342738296E-3</c:v>
                </c:pt>
                <c:pt idx="1202">
                  <c:v>1.7205295970744394E-2</c:v>
                </c:pt>
                <c:pt idx="1203">
                  <c:v>4.8079005500930617E-3</c:v>
                </c:pt>
                <c:pt idx="1204">
                  <c:v>-1.2630399172342351E-2</c:v>
                </c:pt>
                <c:pt idx="1205">
                  <c:v>3.5363457760314437E-3</c:v>
                </c:pt>
                <c:pt idx="1206">
                  <c:v>-3.8066649264769858E-3</c:v>
                </c:pt>
                <c:pt idx="1207">
                  <c:v>-9.629451710810805E-3</c:v>
                </c:pt>
                <c:pt idx="1208">
                  <c:v>-2.6148690360702033E-2</c:v>
                </c:pt>
                <c:pt idx="1209">
                  <c:v>1.2678288431061859E-3</c:v>
                </c:pt>
                <c:pt idx="1210">
                  <c:v>-1.4991181657848315E-2</c:v>
                </c:pt>
                <c:pt idx="1211">
                  <c:v>-1.9511971168193715E-3</c:v>
                </c:pt>
                <c:pt idx="1212">
                  <c:v>-3.7582225493352904E-2</c:v>
                </c:pt>
                <c:pt idx="1213">
                  <c:v>1.627473472899341E-2</c:v>
                </c:pt>
                <c:pt idx="1214">
                  <c:v>-1.0135214579659029E-2</c:v>
                </c:pt>
                <c:pt idx="1215">
                  <c:v>1.9717774504679625E-3</c:v>
                </c:pt>
                <c:pt idx="1216">
                  <c:v>2.8830879389240643E-2</c:v>
                </c:pt>
                <c:pt idx="1217">
                  <c:v>2.9843523148894956E-2</c:v>
                </c:pt>
                <c:pt idx="1218">
                  <c:v>1.2978875760830674E-2</c:v>
                </c:pt>
                <c:pt idx="1219">
                  <c:v>-1.8821242378722236E-2</c:v>
                </c:pt>
                <c:pt idx="1220">
                  <c:v>-1.1932636887608734E-3</c:v>
                </c:pt>
                <c:pt idx="1221">
                  <c:v>6.1537767959786716E-3</c:v>
                </c:pt>
                <c:pt idx="1222">
                  <c:v>5.5784568509723298E-3</c:v>
                </c:pt>
                <c:pt idx="1223">
                  <c:v>3.1190820986966186E-3</c:v>
                </c:pt>
                <c:pt idx="1224">
                  <c:v>1.5991116046640729E-2</c:v>
                </c:pt>
                <c:pt idx="1225">
                  <c:v>1.2919444748059953E-2</c:v>
                </c:pt>
                <c:pt idx="1226">
                  <c:v>2.3502244475138091E-2</c:v>
                </c:pt>
                <c:pt idx="1227">
                  <c:v>1.6025303110174006E-2</c:v>
                </c:pt>
                <c:pt idx="1228">
                  <c:v>-1.2659541351042903E-2</c:v>
                </c:pt>
                <c:pt idx="1229">
                  <c:v>-5.5491329479768498E-3</c:v>
                </c:pt>
                <c:pt idx="1230">
                  <c:v>2.3250406882123321E-4</c:v>
                </c:pt>
                <c:pt idx="1231">
                  <c:v>8.2836735556399959E-3</c:v>
                </c:pt>
                <c:pt idx="1232">
                  <c:v>-8.8234061281803663E-3</c:v>
                </c:pt>
                <c:pt idx="1233">
                  <c:v>2.7488211786098459E-4</c:v>
                </c:pt>
                <c:pt idx="1234">
                  <c:v>-5.792077114953725E-3</c:v>
                </c:pt>
                <c:pt idx="1235">
                  <c:v>-9.6104779724442545E-3</c:v>
                </c:pt>
                <c:pt idx="1236">
                  <c:v>8.2653499355946018E-3</c:v>
                </c:pt>
                <c:pt idx="1237">
                  <c:v>1.7672735015437053E-2</c:v>
                </c:pt>
                <c:pt idx="1238">
                  <c:v>3.3978449628622259E-2</c:v>
                </c:pt>
                <c:pt idx="1239">
                  <c:v>1.9789959327384265E-2</c:v>
                </c:pt>
                <c:pt idx="1240">
                  <c:v>-6.9250153778994961E-3</c:v>
                </c:pt>
                <c:pt idx="1241">
                  <c:v>2.4496483375959062E-2</c:v>
                </c:pt>
                <c:pt idx="1242">
                  <c:v>-2.6563170417755595E-2</c:v>
                </c:pt>
                <c:pt idx="1243">
                  <c:v>8.334669017470684E-3</c:v>
                </c:pt>
                <c:pt idx="1244">
                  <c:v>-1.009378477189633E-2</c:v>
                </c:pt>
                <c:pt idx="1245">
                  <c:v>-9.935768767563205E-3</c:v>
                </c:pt>
                <c:pt idx="1246">
                  <c:v>3.7911809427268094E-2</c:v>
                </c:pt>
                <c:pt idx="1247">
                  <c:v>-7.4616661783377149E-3</c:v>
                </c:pt>
                <c:pt idx="1248">
                  <c:v>5.1364808218369584E-3</c:v>
                </c:pt>
                <c:pt idx="1249">
                  <c:v>1.1630183655088579E-2</c:v>
                </c:pt>
                <c:pt idx="1250">
                  <c:v>0</c:v>
                </c:pt>
                <c:pt idx="1251">
                  <c:v>-2.5257412711929928E-2</c:v>
                </c:pt>
                <c:pt idx="1252">
                  <c:v>6.6914202887040182E-3</c:v>
                </c:pt>
                <c:pt idx="1253">
                  <c:v>-5.9960552268244977E-3</c:v>
                </c:pt>
                <c:pt idx="1254">
                  <c:v>-1.5278990396062819E-3</c:v>
                </c:pt>
                <c:pt idx="1255">
                  <c:v>3.9746417854054751E-5</c:v>
                </c:pt>
                <c:pt idx="1256">
                  <c:v>9.101567933864671E-3</c:v>
                </c:pt>
                <c:pt idx="1257">
                  <c:v>8.23174934520177E-3</c:v>
                </c:pt>
                <c:pt idx="1258">
                  <c:v>-2.8224310018165215E-2</c:v>
                </c:pt>
                <c:pt idx="1259">
                  <c:v>4.6430294259527305E-3</c:v>
                </c:pt>
                <c:pt idx="1260">
                  <c:v>3.3811495908608998E-2</c:v>
                </c:pt>
                <c:pt idx="1261">
                  <c:v>-3.5569833375263669E-2</c:v>
                </c:pt>
                <c:pt idx="1262">
                  <c:v>-1.703621952443064E-2</c:v>
                </c:pt>
                <c:pt idx="1263">
                  <c:v>-1.2554607438860152E-2</c:v>
                </c:pt>
                <c:pt idx="1264">
                  <c:v>-3.7067664509726921E-2</c:v>
                </c:pt>
                <c:pt idx="1265">
                  <c:v>-3.4114818154493513E-2</c:v>
                </c:pt>
                <c:pt idx="1266">
                  <c:v>-1.7648758585431992E-2</c:v>
                </c:pt>
                <c:pt idx="1267">
                  <c:v>2.219708111777351E-2</c:v>
                </c:pt>
                <c:pt idx="1268">
                  <c:v>-6.4636089959270761E-3</c:v>
                </c:pt>
                <c:pt idx="1269">
                  <c:v>-1.7155333749220188E-2</c:v>
                </c:pt>
                <c:pt idx="1270">
                  <c:v>-2.6975563313233844E-3</c:v>
                </c:pt>
                <c:pt idx="1271">
                  <c:v>9.7056483691329437E-3</c:v>
                </c:pt>
                <c:pt idx="1272">
                  <c:v>9.6573769753724812E-3</c:v>
                </c:pt>
                <c:pt idx="1273">
                  <c:v>1.2708746739202987E-3</c:v>
                </c:pt>
                <c:pt idx="1274">
                  <c:v>5.0414180101541028E-2</c:v>
                </c:pt>
                <c:pt idx="1275">
                  <c:v>5.46934622233525E-3</c:v>
                </c:pt>
                <c:pt idx="1276">
                  <c:v>8.6654016445288085E-3</c:v>
                </c:pt>
                <c:pt idx="1277">
                  <c:v>-9.5524759097845979E-3</c:v>
                </c:pt>
                <c:pt idx="1278">
                  <c:v>-1.5807023467837144E-2</c:v>
                </c:pt>
                <c:pt idx="1279">
                  <c:v>-2.152889460705483E-2</c:v>
                </c:pt>
                <c:pt idx="1280">
                  <c:v>-2.390918454559406E-2</c:v>
                </c:pt>
                <c:pt idx="1281">
                  <c:v>1.0889088459811458E-2</c:v>
                </c:pt>
                <c:pt idx="1282">
                  <c:v>3.5313714602997781E-3</c:v>
                </c:pt>
                <c:pt idx="1283">
                  <c:v>-1.1442103399433337E-2</c:v>
                </c:pt>
                <c:pt idx="1284">
                  <c:v>-6.134282579980767E-3</c:v>
                </c:pt>
                <c:pt idx="1285">
                  <c:v>2.0476201202892293E-2</c:v>
                </c:pt>
                <c:pt idx="1286">
                  <c:v>-3.4435565758686201E-3</c:v>
                </c:pt>
                <c:pt idx="1287">
                  <c:v>1.1296681876579271E-3</c:v>
                </c:pt>
                <c:pt idx="1288">
                  <c:v>5.9517224594552685E-3</c:v>
                </c:pt>
                <c:pt idx="1289">
                  <c:v>9.8535169137376529E-3</c:v>
                </c:pt>
                <c:pt idx="1290">
                  <c:v>-1.3808424445702782E-2</c:v>
                </c:pt>
                <c:pt idx="1291">
                  <c:v>-4.6068904593639604E-2</c:v>
                </c:pt>
                <c:pt idx="1292">
                  <c:v>-3.6393943603278162E-2</c:v>
                </c:pt>
                <c:pt idx="1293">
                  <c:v>7.1596751717840591E-3</c:v>
                </c:pt>
                <c:pt idx="1294">
                  <c:v>-1.0424618320610698E-2</c:v>
                </c:pt>
                <c:pt idx="1295">
                  <c:v>-6.002458838560396E-3</c:v>
                </c:pt>
                <c:pt idx="1296">
                  <c:v>-3.1963913275452178E-2</c:v>
                </c:pt>
                <c:pt idx="1297">
                  <c:v>-1.4655777131977209E-2</c:v>
                </c:pt>
                <c:pt idx="1298">
                  <c:v>2.7205003686659205E-3</c:v>
                </c:pt>
                <c:pt idx="1299">
                  <c:v>1.2424565140220323E-3</c:v>
                </c:pt>
                <c:pt idx="1300">
                  <c:v>-1.9930610074201646E-2</c:v>
                </c:pt>
                <c:pt idx="1301">
                  <c:v>-2.1343669250645972E-2</c:v>
                </c:pt>
                <c:pt idx="1302">
                  <c:v>3.6911865659819451E-2</c:v>
                </c:pt>
                <c:pt idx="1303">
                  <c:v>-4.2523935628437969E-3</c:v>
                </c:pt>
                <c:pt idx="1304">
                  <c:v>-1.5854750031965338E-3</c:v>
                </c:pt>
                <c:pt idx="1305">
                  <c:v>-2.4870015111543631E-2</c:v>
                </c:pt>
                <c:pt idx="1306">
                  <c:v>-1.4288716116831409E-2</c:v>
                </c:pt>
                <c:pt idx="1307">
                  <c:v>-4.769771903645182E-3</c:v>
                </c:pt>
                <c:pt idx="1308">
                  <c:v>-2.1258935982221741E-2</c:v>
                </c:pt>
                <c:pt idx="1309">
                  <c:v>2.1884831076460437E-3</c:v>
                </c:pt>
                <c:pt idx="1310">
                  <c:v>-2.1373003957963807E-2</c:v>
                </c:pt>
                <c:pt idx="1311">
                  <c:v>-1.3611514002008244E-2</c:v>
                </c:pt>
                <c:pt idx="1312">
                  <c:v>-1.4591109602985998E-2</c:v>
                </c:pt>
                <c:pt idx="1313">
                  <c:v>-3.0905647382920221E-2</c:v>
                </c:pt>
                <c:pt idx="1314">
                  <c:v>-2.9344704036007134E-2</c:v>
                </c:pt>
                <c:pt idx="1315">
                  <c:v>2.7455765710798575E-3</c:v>
                </c:pt>
                <c:pt idx="1316">
                  <c:v>-1.9014298752662001E-2</c:v>
                </c:pt>
                <c:pt idx="1317">
                  <c:v>-3.0082183284229199E-3</c:v>
                </c:pt>
                <c:pt idx="1318">
                  <c:v>-2.2707477914645333E-3</c:v>
                </c:pt>
                <c:pt idx="1319">
                  <c:v>6.7342166796571321E-3</c:v>
                </c:pt>
                <c:pt idx="1320">
                  <c:v>1.5824842835464856E-2</c:v>
                </c:pt>
                <c:pt idx="1321">
                  <c:v>-1.1767575147856707E-2</c:v>
                </c:pt>
                <c:pt idx="1322">
                  <c:v>-2.1285784797630904E-2</c:v>
                </c:pt>
                <c:pt idx="1323">
                  <c:v>4.1606253545987308E-3</c:v>
                </c:pt>
                <c:pt idx="1324">
                  <c:v>1.6636323686358249E-2</c:v>
                </c:pt>
                <c:pt idx="1325">
                  <c:v>-6.0516240582931318E-3</c:v>
                </c:pt>
                <c:pt idx="1326">
                  <c:v>-7.7659045725646117E-4</c:v>
                </c:pt>
                <c:pt idx="1327">
                  <c:v>-3.2020393571051994E-3</c:v>
                </c:pt>
                <c:pt idx="1328">
                  <c:v>-2.4326347305388372E-3</c:v>
                </c:pt>
                <c:pt idx="1329">
                  <c:v>1.24742074657663E-2</c:v>
                </c:pt>
                <c:pt idx="1330">
                  <c:v>-7.1638104060523389E-3</c:v>
                </c:pt>
                <c:pt idx="1331">
                  <c:v>1.188069542499938E-2</c:v>
                </c:pt>
                <c:pt idx="1332">
                  <c:v>8.3294913170431206E-3</c:v>
                </c:pt>
                <c:pt idx="1333">
                  <c:v>4.1090044504054193E-2</c:v>
                </c:pt>
                <c:pt idx="1334">
                  <c:v>-1.3146337178661384E-2</c:v>
                </c:pt>
                <c:pt idx="1335">
                  <c:v>2.2222222222222247E-2</c:v>
                </c:pt>
                <c:pt idx="1336">
                  <c:v>1.5644047135310809E-2</c:v>
                </c:pt>
                <c:pt idx="1337">
                  <c:v>-2.2633098048181109E-2</c:v>
                </c:pt>
                <c:pt idx="1338">
                  <c:v>1.1169264056606513E-2</c:v>
                </c:pt>
                <c:pt idx="1339">
                  <c:v>1.2029031605123978E-2</c:v>
                </c:pt>
                <c:pt idx="1340">
                  <c:v>-1.1028886539615456E-2</c:v>
                </c:pt>
                <c:pt idx="1341">
                  <c:v>-4.6023170485077883E-2</c:v>
                </c:pt>
                <c:pt idx="1342">
                  <c:v>1.4566929133858274E-2</c:v>
                </c:pt>
                <c:pt idx="1343">
                  <c:v>-2.4029133458702761E-2</c:v>
                </c:pt>
                <c:pt idx="1344">
                  <c:v>-2.7832150721799859E-3</c:v>
                </c:pt>
                <c:pt idx="1345">
                  <c:v>-3.3062413740223978E-2</c:v>
                </c:pt>
                <c:pt idx="1346">
                  <c:v>1.1704253497002562E-2</c:v>
                </c:pt>
                <c:pt idx="1347">
                  <c:v>-3.4236267870579255E-2</c:v>
                </c:pt>
                <c:pt idx="1348">
                  <c:v>-1.0615504479937796E-2</c:v>
                </c:pt>
                <c:pt idx="1349">
                  <c:v>-1.0204416445188033E-2</c:v>
                </c:pt>
                <c:pt idx="1350">
                  <c:v>3.6464894251792343E-4</c:v>
                </c:pt>
                <c:pt idx="1351">
                  <c:v>-2.7570666401564085E-2</c:v>
                </c:pt>
                <c:pt idx="1352">
                  <c:v>9.1668086556483137E-3</c:v>
                </c:pt>
                <c:pt idx="1353">
                  <c:v>9.623826568514968E-3</c:v>
                </c:pt>
                <c:pt idx="1354">
                  <c:v>-6.38817351750903E-3</c:v>
                </c:pt>
                <c:pt idx="1355">
                  <c:v>-4.9145011444728008E-3</c:v>
                </c:pt>
                <c:pt idx="1356">
                  <c:v>-5.1552668966917015E-2</c:v>
                </c:pt>
                <c:pt idx="1357">
                  <c:v>3.0815322062914569E-2</c:v>
                </c:pt>
                <c:pt idx="1358">
                  <c:v>-3.8059649851220189E-3</c:v>
                </c:pt>
                <c:pt idx="1359">
                  <c:v>1.2711864406779549E-2</c:v>
                </c:pt>
                <c:pt idx="1360">
                  <c:v>3.9440290829276152E-3</c:v>
                </c:pt>
                <c:pt idx="1361">
                  <c:v>1.5030915861032272E-3</c:v>
                </c:pt>
                <c:pt idx="1362">
                  <c:v>1.3507521233413989E-2</c:v>
                </c:pt>
                <c:pt idx="1363">
                  <c:v>-1.1611079325547701E-2</c:v>
                </c:pt>
                <c:pt idx="1364">
                  <c:v>1.9749387087986962E-2</c:v>
                </c:pt>
                <c:pt idx="1365">
                  <c:v>3.0252437558434625E-2</c:v>
                </c:pt>
                <c:pt idx="1366">
                  <c:v>4.245802813249505E-3</c:v>
                </c:pt>
                <c:pt idx="1367">
                  <c:v>-2.4850734226239748E-3</c:v>
                </c:pt>
                <c:pt idx="1368">
                  <c:v>1.8959492687977267E-2</c:v>
                </c:pt>
                <c:pt idx="1369">
                  <c:v>8.287292817679601E-3</c:v>
                </c:pt>
                <c:pt idx="1370">
                  <c:v>-6.61313179026932E-3</c:v>
                </c:pt>
                <c:pt idx="1371">
                  <c:v>-5.9914407988587298E-3</c:v>
                </c:pt>
                <c:pt idx="1372">
                  <c:v>2.8702640642938424E-3</c:v>
                </c:pt>
                <c:pt idx="1373">
                  <c:v>1.4850855434713529E-2</c:v>
                </c:pt>
                <c:pt idx="1374">
                  <c:v>-9.0245354557703609E-3</c:v>
                </c:pt>
                <c:pt idx="1375">
                  <c:v>1.5399209486166023E-2</c:v>
                </c:pt>
                <c:pt idx="1376">
                  <c:v>3.7556053811659197E-2</c:v>
                </c:pt>
                <c:pt idx="1377">
                  <c:v>1.1675370670508393E-2</c:v>
                </c:pt>
                <c:pt idx="1378">
                  <c:v>-7.1201827513575546E-4</c:v>
                </c:pt>
                <c:pt idx="1379">
                  <c:v>1.1251966867559365E-2</c:v>
                </c:pt>
                <c:pt idx="1380">
                  <c:v>-7.8973636310257691E-3</c:v>
                </c:pt>
                <c:pt idx="1381">
                  <c:v>-2.0684757198236349E-2</c:v>
                </c:pt>
                <c:pt idx="1382">
                  <c:v>-1.3839366652565372E-2</c:v>
                </c:pt>
                <c:pt idx="1383">
                  <c:v>-2.5401397230052764E-2</c:v>
                </c:pt>
                <c:pt idx="1384">
                  <c:v>1.8643694784167029E-2</c:v>
                </c:pt>
                <c:pt idx="1385">
                  <c:v>-8.5493827160493269E-3</c:v>
                </c:pt>
                <c:pt idx="1386">
                  <c:v>-3.4492419761541701E-2</c:v>
                </c:pt>
                <c:pt idx="1387">
                  <c:v>1.0124133483798302E-2</c:v>
                </c:pt>
                <c:pt idx="1388">
                  <c:v>7.3095215295731226E-3</c:v>
                </c:pt>
                <c:pt idx="1389">
                  <c:v>6.2424741745358619E-3</c:v>
                </c:pt>
                <c:pt idx="1390">
                  <c:v>-2.4877971972917759E-2</c:v>
                </c:pt>
                <c:pt idx="1391">
                  <c:v>-2.0636202163733203E-2</c:v>
                </c:pt>
                <c:pt idx="1392">
                  <c:v>3.3766405064960793E-2</c:v>
                </c:pt>
                <c:pt idx="1393">
                  <c:v>-1.097288676236044E-2</c:v>
                </c:pt>
                <c:pt idx="1394">
                  <c:v>9.0950138682835361E-3</c:v>
                </c:pt>
                <c:pt idx="1395">
                  <c:v>2.8125799028381345E-3</c:v>
                </c:pt>
                <c:pt idx="1396">
                  <c:v>-2.5720295767465557E-2</c:v>
                </c:pt>
                <c:pt idx="1397">
                  <c:v>-2.7380679773626893E-2</c:v>
                </c:pt>
                <c:pt idx="1398">
                  <c:v>9.8547020045742194E-3</c:v>
                </c:pt>
                <c:pt idx="1399">
                  <c:v>-5.3955037468776173E-3</c:v>
                </c:pt>
                <c:pt idx="1400">
                  <c:v>-4.8555068144526294E-3</c:v>
                </c:pt>
                <c:pt idx="1401">
                  <c:v>2.0156134329362706E-2</c:v>
                </c:pt>
                <c:pt idx="1402">
                  <c:v>-3.0181086519114799E-2</c:v>
                </c:pt>
                <c:pt idx="1403">
                  <c:v>-6.8022583497717379E-4</c:v>
                </c:pt>
                <c:pt idx="1404">
                  <c:v>2.2632904499353464E-2</c:v>
                </c:pt>
                <c:pt idx="1405">
                  <c:v>1.6407628049389122E-2</c:v>
                </c:pt>
                <c:pt idx="1406">
                  <c:v>-4.7478716437458698E-3</c:v>
                </c:pt>
                <c:pt idx="1407">
                  <c:v>9.3436420463893135E-3</c:v>
                </c:pt>
                <c:pt idx="1408">
                  <c:v>1.2288536132207638E-2</c:v>
                </c:pt>
                <c:pt idx="1409">
                  <c:v>-1.6099948480164862E-2</c:v>
                </c:pt>
                <c:pt idx="1410">
                  <c:v>-2.7425055635554377E-2</c:v>
                </c:pt>
                <c:pt idx="1411">
                  <c:v>1.679117033447745E-2</c:v>
                </c:pt>
                <c:pt idx="1412">
                  <c:v>1.4892279180593329E-3</c:v>
                </c:pt>
                <c:pt idx="1413">
                  <c:v>3.4862203423435371E-2</c:v>
                </c:pt>
                <c:pt idx="1414">
                  <c:v>-1.1686943193792588E-2</c:v>
                </c:pt>
                <c:pt idx="1415">
                  <c:v>1.9288552873897538E-2</c:v>
                </c:pt>
                <c:pt idx="1416">
                  <c:v>1.6165842525675052E-2</c:v>
                </c:pt>
                <c:pt idx="1417">
                  <c:v>9.7947470210245288E-3</c:v>
                </c:pt>
                <c:pt idx="1418">
                  <c:v>1.0193994810329423E-3</c:v>
                </c:pt>
                <c:pt idx="1419">
                  <c:v>-1.7373862058324318E-2</c:v>
                </c:pt>
                <c:pt idx="1420">
                  <c:v>-5.0562150618680161E-3</c:v>
                </c:pt>
                <c:pt idx="1421">
                  <c:v>-8.8381048578012409E-3</c:v>
                </c:pt>
                <c:pt idx="1422">
                  <c:v>8.9169134740941234E-4</c:v>
                </c:pt>
                <c:pt idx="1423">
                  <c:v>-1.9281555251519304E-2</c:v>
                </c:pt>
                <c:pt idx="1424">
                  <c:v>5.1260422411834802E-3</c:v>
                </c:pt>
                <c:pt idx="1425">
                  <c:v>3.4149962880475081E-2</c:v>
                </c:pt>
                <c:pt idx="1426">
                  <c:v>-1.610537157838874E-2</c:v>
                </c:pt>
                <c:pt idx="1427">
                  <c:v>1.0500269644386644E-2</c:v>
                </c:pt>
                <c:pt idx="1428">
                  <c:v>-3.5254599108432275E-2</c:v>
                </c:pt>
                <c:pt idx="1429">
                  <c:v>9.957372034753189E-3</c:v>
                </c:pt>
                <c:pt idx="1430">
                  <c:v>5.4128942874633722E-3</c:v>
                </c:pt>
                <c:pt idx="1431">
                  <c:v>-1.672808844736429E-2</c:v>
                </c:pt>
                <c:pt idx="1432">
                  <c:v>1.0885506632337229E-2</c:v>
                </c:pt>
                <c:pt idx="1433">
                  <c:v>2.4502692072089203E-3</c:v>
                </c:pt>
                <c:pt idx="1434">
                  <c:v>3.4638021419612072E-2</c:v>
                </c:pt>
                <c:pt idx="1435">
                  <c:v>2.6422132421511433E-3</c:v>
                </c:pt>
                <c:pt idx="1436">
                  <c:v>7.9367539916292123E-3</c:v>
                </c:pt>
                <c:pt idx="1437">
                  <c:v>-2.3069115068745961E-3</c:v>
                </c:pt>
                <c:pt idx="1438">
                  <c:v>-2.0717721050684507E-2</c:v>
                </c:pt>
                <c:pt idx="1439">
                  <c:v>4.9647399571842464E-2</c:v>
                </c:pt>
                <c:pt idx="1440">
                  <c:v>3.929096307849201E-3</c:v>
                </c:pt>
                <c:pt idx="1441">
                  <c:v>6.2440248565964829E-3</c:v>
                </c:pt>
                <c:pt idx="1442">
                  <c:v>2.0783230901694981E-3</c:v>
                </c:pt>
                <c:pt idx="1443">
                  <c:v>-2.7228822849693336E-2</c:v>
                </c:pt>
                <c:pt idx="1444">
                  <c:v>-2.5219298245613954E-2</c:v>
                </c:pt>
                <c:pt idx="1445">
                  <c:v>-3.1183602049743835E-2</c:v>
                </c:pt>
                <c:pt idx="1446">
                  <c:v>2.5414435915629217E-2</c:v>
                </c:pt>
                <c:pt idx="1447">
                  <c:v>9.9704346732088309E-3</c:v>
                </c:pt>
                <c:pt idx="1448">
                  <c:v>-5.8546915387250329E-3</c:v>
                </c:pt>
                <c:pt idx="1449">
                  <c:v>-2.6563919431131216E-2</c:v>
                </c:pt>
                <c:pt idx="1450">
                  <c:v>-1.5221238938053156E-2</c:v>
                </c:pt>
                <c:pt idx="1451">
                  <c:v>-1.4704921246976952E-3</c:v>
                </c:pt>
                <c:pt idx="1452">
                  <c:v>-2.2842556533691195E-2</c:v>
                </c:pt>
                <c:pt idx="1453">
                  <c:v>1.694631434408387E-2</c:v>
                </c:pt>
                <c:pt idx="1454">
                  <c:v>-1.4720895768154029E-2</c:v>
                </c:pt>
                <c:pt idx="1455">
                  <c:v>-4.8465806537869799E-3</c:v>
                </c:pt>
                <c:pt idx="1456">
                  <c:v>-1.4106741006953143E-3</c:v>
                </c:pt>
                <c:pt idx="1457">
                  <c:v>-4.0866435706837907E-2</c:v>
                </c:pt>
                <c:pt idx="1458">
                  <c:v>1.574554635993811E-2</c:v>
                </c:pt>
                <c:pt idx="1459">
                  <c:v>1.2428793371310673E-3</c:v>
                </c:pt>
                <c:pt idx="1460">
                  <c:v>-4.1377883521257888E-2</c:v>
                </c:pt>
                <c:pt idx="1461">
                  <c:v>-6.9421963238732671E-3</c:v>
                </c:pt>
                <c:pt idx="1462">
                  <c:v>-5.8316430020282414E-3</c:v>
                </c:pt>
                <c:pt idx="1463">
                  <c:v>-1.9054905818486602E-2</c:v>
                </c:pt>
                <c:pt idx="1464">
                  <c:v>7.056900906254558E-3</c:v>
                </c:pt>
                <c:pt idx="1465">
                  <c:v>2.3235229032971941E-2</c:v>
                </c:pt>
                <c:pt idx="1466">
                  <c:v>7.0285467128027275E-3</c:v>
                </c:pt>
                <c:pt idx="1467">
                  <c:v>-2.6199935573928895E-2</c:v>
                </c:pt>
                <c:pt idx="1468">
                  <c:v>-1.2313007681846459E-2</c:v>
                </c:pt>
                <c:pt idx="1469">
                  <c:v>-3.6915748734742536E-2</c:v>
                </c:pt>
                <c:pt idx="1470">
                  <c:v>4.2503863987633922E-3</c:v>
                </c:pt>
                <c:pt idx="1471">
                  <c:v>-1.8353212774143833E-2</c:v>
                </c:pt>
                <c:pt idx="1472">
                  <c:v>5.6833771018695908E-3</c:v>
                </c:pt>
                <c:pt idx="1473">
                  <c:v>1.5589679632083561E-2</c:v>
                </c:pt>
                <c:pt idx="1474">
                  <c:v>1.7077289124261222E-2</c:v>
                </c:pt>
                <c:pt idx="1475">
                  <c:v>4.4145945741992081E-3</c:v>
                </c:pt>
                <c:pt idx="1476">
                  <c:v>-4.3576258452290313E-3</c:v>
                </c:pt>
                <c:pt idx="1477">
                  <c:v>-3.0184123151222455E-2</c:v>
                </c:pt>
                <c:pt idx="1478">
                  <c:v>4.1705571117335707E-2</c:v>
                </c:pt>
                <c:pt idx="1479">
                  <c:v>4.223931879294892E-2</c:v>
                </c:pt>
                <c:pt idx="1480">
                  <c:v>-1.2899989250009446E-3</c:v>
                </c:pt>
                <c:pt idx="1481">
                  <c:v>8.6111011445589841E-3</c:v>
                </c:pt>
                <c:pt idx="1482">
                  <c:v>-2.1237238091850262E-2</c:v>
                </c:pt>
                <c:pt idx="1483">
                  <c:v>-6.8692302100748217E-3</c:v>
                </c:pt>
                <c:pt idx="1484">
                  <c:v>9.5150960658734092E-4</c:v>
                </c:pt>
                <c:pt idx="1485">
                  <c:v>-1.0676026470695828E-2</c:v>
                </c:pt>
                <c:pt idx="1486">
                  <c:v>3.3704128016556437E-2</c:v>
                </c:pt>
                <c:pt idx="1487">
                  <c:v>6.3637338672197265E-3</c:v>
                </c:pt>
                <c:pt idx="1488">
                  <c:v>-1.126150129667134E-2</c:v>
                </c:pt>
                <c:pt idx="1489">
                  <c:v>-7.2578327105489431E-3</c:v>
                </c:pt>
                <c:pt idx="1490">
                  <c:v>5.1031487513571051E-3</c:v>
                </c:pt>
                <c:pt idx="1491">
                  <c:v>-2.9635230996362977E-2</c:v>
                </c:pt>
                <c:pt idx="1492">
                  <c:v>9.6111028647765141E-3</c:v>
                </c:pt>
                <c:pt idx="1493">
                  <c:v>-2.9404197449180023E-4</c:v>
                </c:pt>
                <c:pt idx="1494">
                  <c:v>1.7463877348431928E-2</c:v>
                </c:pt>
                <c:pt idx="1495">
                  <c:v>7.1908650719086833E-3</c:v>
                </c:pt>
                <c:pt idx="1496">
                  <c:v>-1.1875291500735486E-2</c:v>
                </c:pt>
                <c:pt idx="1497">
                  <c:v>-1.2163241594655518E-2</c:v>
                </c:pt>
                <c:pt idx="1498">
                  <c:v>2.6684309185136146E-2</c:v>
                </c:pt>
                <c:pt idx="1499">
                  <c:v>8.5561880213369246E-3</c:v>
                </c:pt>
                <c:pt idx="1500">
                  <c:v>1.1749254579014429E-2</c:v>
                </c:pt>
                <c:pt idx="1501">
                  <c:v>1.1682980738869737E-2</c:v>
                </c:pt>
                <c:pt idx="1502">
                  <c:v>-1.2137605770565359E-3</c:v>
                </c:pt>
                <c:pt idx="1503">
                  <c:v>-2.0242352696086888E-2</c:v>
                </c:pt>
                <c:pt idx="1504">
                  <c:v>3.4481536607839029E-2</c:v>
                </c:pt>
                <c:pt idx="1505">
                  <c:v>-3.1859134664794174E-3</c:v>
                </c:pt>
                <c:pt idx="1506">
                  <c:v>2.48470685270464E-2</c:v>
                </c:pt>
                <c:pt idx="1507">
                  <c:v>-1.2407363938164535E-3</c:v>
                </c:pt>
                <c:pt idx="1508">
                  <c:v>2.1420897125973854E-2</c:v>
                </c:pt>
                <c:pt idx="1509">
                  <c:v>-1.5909539149299951E-2</c:v>
                </c:pt>
                <c:pt idx="1510">
                  <c:v>-2.4383726367826881E-2</c:v>
                </c:pt>
                <c:pt idx="1511">
                  <c:v>-4.7932073404545923E-3</c:v>
                </c:pt>
                <c:pt idx="1512">
                  <c:v>-8.6693270950873192E-3</c:v>
                </c:pt>
                <c:pt idx="1513">
                  <c:v>1.2978900610771626E-2</c:v>
                </c:pt>
                <c:pt idx="1514">
                  <c:v>6.988694758479002E-3</c:v>
                </c:pt>
                <c:pt idx="1515">
                  <c:v>-2.8747363407498089E-2</c:v>
                </c:pt>
                <c:pt idx="1516">
                  <c:v>-1.3555641178325001E-2</c:v>
                </c:pt>
                <c:pt idx="1517">
                  <c:v>-2.5956963283857687E-2</c:v>
                </c:pt>
                <c:pt idx="1518">
                  <c:v>-1.3670664576573949E-2</c:v>
                </c:pt>
                <c:pt idx="1519">
                  <c:v>-1.2936132465997292E-3</c:v>
                </c:pt>
                <c:pt idx="1520">
                  <c:v>-1.1250508863476422E-2</c:v>
                </c:pt>
                <c:pt idx="1521">
                  <c:v>2.2532469962944873E-2</c:v>
                </c:pt>
                <c:pt idx="1522">
                  <c:v>8.3824444525788661E-3</c:v>
                </c:pt>
                <c:pt idx="1523">
                  <c:v>-1.557281835341956E-2</c:v>
                </c:pt>
                <c:pt idx="1524">
                  <c:v>2.4816549282790732E-2</c:v>
                </c:pt>
                <c:pt idx="1525">
                  <c:v>1.7666954519286009E-2</c:v>
                </c:pt>
                <c:pt idx="1526">
                  <c:v>4.1721175264293284E-3</c:v>
                </c:pt>
                <c:pt idx="1527">
                  <c:v>-6.4082250624977752E-3</c:v>
                </c:pt>
                <c:pt idx="1528">
                  <c:v>3.7102661327474494E-2</c:v>
                </c:pt>
                <c:pt idx="1529">
                  <c:v>1.5547051185676055E-2</c:v>
                </c:pt>
                <c:pt idx="1530">
                  <c:v>-1.9851283604185518E-2</c:v>
                </c:pt>
                <c:pt idx="1531">
                  <c:v>3.5357522913733574E-3</c:v>
                </c:pt>
                <c:pt idx="1532">
                  <c:v>-1.5256208524320927E-2</c:v>
                </c:pt>
                <c:pt idx="1533">
                  <c:v>1.7368347922745588E-2</c:v>
                </c:pt>
                <c:pt idx="1534">
                  <c:v>-1.8949740508057946E-2</c:v>
                </c:pt>
                <c:pt idx="1535">
                  <c:v>-1.1554658406710031E-2</c:v>
                </c:pt>
                <c:pt idx="1536">
                  <c:v>-1.1196788845463213E-2</c:v>
                </c:pt>
                <c:pt idx="1537">
                  <c:v>9.5431399779226118E-3</c:v>
                </c:pt>
                <c:pt idx="1538">
                  <c:v>-1.9364396317590241E-2</c:v>
                </c:pt>
                <c:pt idx="1539">
                  <c:v>6.4743543629957137E-4</c:v>
                </c:pt>
                <c:pt idx="1540">
                  <c:v>-4.0186915887850491E-2</c:v>
                </c:pt>
                <c:pt idx="1541">
                  <c:v>1.655306718597864E-2</c:v>
                </c:pt>
                <c:pt idx="1542">
                  <c:v>-5.0287356321838998E-2</c:v>
                </c:pt>
                <c:pt idx="1543">
                  <c:v>3.8403351565225656E-3</c:v>
                </c:pt>
                <c:pt idx="1544">
                  <c:v>5.1781435968777803E-3</c:v>
                </c:pt>
                <c:pt idx="1545">
                  <c:v>-8.9574042749499625E-3</c:v>
                </c:pt>
                <c:pt idx="1546">
                  <c:v>2.1257612785600531E-2</c:v>
                </c:pt>
                <c:pt idx="1547">
                  <c:v>2.1802712044669006E-2</c:v>
                </c:pt>
                <c:pt idx="1548">
                  <c:v>2.0779896658116918E-2</c:v>
                </c:pt>
                <c:pt idx="1549">
                  <c:v>2.1886380189366315E-2</c:v>
                </c:pt>
                <c:pt idx="1550">
                  <c:v>6.6640533124265157E-3</c:v>
                </c:pt>
                <c:pt idx="1551">
                  <c:v>-6.6907391673748338E-3</c:v>
                </c:pt>
                <c:pt idx="1552">
                  <c:v>5.4527958943655502E-3</c:v>
                </c:pt>
                <c:pt idx="1553">
                  <c:v>2.1302991634765317E-2</c:v>
                </c:pt>
                <c:pt idx="1554">
                  <c:v>-5.2059834102654104E-4</c:v>
                </c:pt>
                <c:pt idx="1555">
                  <c:v>-4.4898951316063633E-2</c:v>
                </c:pt>
                <c:pt idx="1556">
                  <c:v>-3.1267042355935366E-2</c:v>
                </c:pt>
                <c:pt idx="1557">
                  <c:v>3.4565584537436807E-2</c:v>
                </c:pt>
                <c:pt idx="1558">
                  <c:v>-1.5091054197199538E-2</c:v>
                </c:pt>
                <c:pt idx="1559">
                  <c:v>-1.1049723756906077E-2</c:v>
                </c:pt>
                <c:pt idx="1560">
                  <c:v>1.8324022346368773E-2</c:v>
                </c:pt>
                <c:pt idx="1561">
                  <c:v>1.7409114183307699E-2</c:v>
                </c:pt>
                <c:pt idx="1562">
                  <c:v>1.1036019843266924E-2</c:v>
                </c:pt>
                <c:pt idx="1563">
                  <c:v>3.1999999999999191E-3</c:v>
                </c:pt>
                <c:pt idx="1564">
                  <c:v>-3.9624313308523659E-2</c:v>
                </c:pt>
                <c:pt idx="1565">
                  <c:v>4.2403218068420678E-2</c:v>
                </c:pt>
                <c:pt idx="1566">
                  <c:v>-6.6912129151029754E-3</c:v>
                </c:pt>
                <c:pt idx="1567">
                  <c:v>2.1064262037994174E-2</c:v>
                </c:pt>
                <c:pt idx="1568">
                  <c:v>3.176487014800224E-3</c:v>
                </c:pt>
                <c:pt idx="1569">
                  <c:v>-9.6384703712724239E-3</c:v>
                </c:pt>
                <c:pt idx="1570">
                  <c:v>-4.5674935001054438E-3</c:v>
                </c:pt>
                <c:pt idx="1571">
                  <c:v>-2.7177749541154234E-3</c:v>
                </c:pt>
                <c:pt idx="1572">
                  <c:v>3.1675809591222751E-2</c:v>
                </c:pt>
                <c:pt idx="1573">
                  <c:v>-2.3979416809605521E-2</c:v>
                </c:pt>
                <c:pt idx="1574">
                  <c:v>7.9786299251343781E-3</c:v>
                </c:pt>
                <c:pt idx="1575">
                  <c:v>3.462584559592722E-2</c:v>
                </c:pt>
                <c:pt idx="1576">
                  <c:v>-9.1672002965857927E-3</c:v>
                </c:pt>
                <c:pt idx="1577">
                  <c:v>1.156501921833991E-3</c:v>
                </c:pt>
                <c:pt idx="1578">
                  <c:v>-2.1710325145245089E-2</c:v>
                </c:pt>
                <c:pt idx="1579">
                  <c:v>3.1569076891018878E-2</c:v>
                </c:pt>
                <c:pt idx="1580">
                  <c:v>-2.0940645726020841E-2</c:v>
                </c:pt>
                <c:pt idx="1581">
                  <c:v>1.2688697087445404E-2</c:v>
                </c:pt>
                <c:pt idx="1582">
                  <c:v>-3.6706281833616308E-2</c:v>
                </c:pt>
                <c:pt idx="1583">
                  <c:v>-1.5827135253269446E-2</c:v>
                </c:pt>
                <c:pt idx="1584">
                  <c:v>4.6919770773639052E-3</c:v>
                </c:pt>
                <c:pt idx="1585">
                  <c:v>-2.056967666036855E-2</c:v>
                </c:pt>
                <c:pt idx="1586">
                  <c:v>-4.3313678386838386E-3</c:v>
                </c:pt>
                <c:pt idx="1587">
                  <c:v>-2.4858343995613274E-2</c:v>
                </c:pt>
                <c:pt idx="1588">
                  <c:v>2.1368322399249978E-3</c:v>
                </c:pt>
                <c:pt idx="1589">
                  <c:v>-2.1846476133472899E-2</c:v>
                </c:pt>
                <c:pt idx="1590">
                  <c:v>-1.9580847483555163E-2</c:v>
                </c:pt>
                <c:pt idx="1591">
                  <c:v>5.500078015290873E-3</c:v>
                </c:pt>
                <c:pt idx="1592">
                  <c:v>-3.5496760678123823E-2</c:v>
                </c:pt>
                <c:pt idx="1593">
                  <c:v>1.2388383879012083E-2</c:v>
                </c:pt>
                <c:pt idx="1594">
                  <c:v>-1.493841875248308E-2</c:v>
                </c:pt>
                <c:pt idx="1595">
                  <c:v>3.0652577236428145E-2</c:v>
                </c:pt>
                <c:pt idx="1596">
                  <c:v>-9.4701416607966948E-3</c:v>
                </c:pt>
                <c:pt idx="1597">
                  <c:v>-1.6197850821744603E-2</c:v>
                </c:pt>
                <c:pt idx="1598">
                  <c:v>2.5299172757208073E-3</c:v>
                </c:pt>
                <c:pt idx="1599">
                  <c:v>1.9307029841778463E-2</c:v>
                </c:pt>
                <c:pt idx="1600">
                  <c:v>-4.5545643887295179E-2</c:v>
                </c:pt>
                <c:pt idx="1601">
                  <c:v>-1.165184453227925E-2</c:v>
                </c:pt>
                <c:pt idx="1602">
                  <c:v>2.4244948968964768E-2</c:v>
                </c:pt>
                <c:pt idx="1603">
                  <c:v>-1.915646479847077E-2</c:v>
                </c:pt>
                <c:pt idx="1604">
                  <c:v>-2.2599104329076084E-2</c:v>
                </c:pt>
                <c:pt idx="1605">
                  <c:v>-2.9570234610326242E-2</c:v>
                </c:pt>
                <c:pt idx="1606">
                  <c:v>-6.0767683833173681E-3</c:v>
                </c:pt>
                <c:pt idx="1607">
                  <c:v>-2.3268088849791035E-2</c:v>
                </c:pt>
                <c:pt idx="1608">
                  <c:v>8.9615419256057326E-3</c:v>
                </c:pt>
                <c:pt idx="1609">
                  <c:v>-2.78955590270029E-2</c:v>
                </c:pt>
                <c:pt idx="1610">
                  <c:v>-8.5399449035813303E-3</c:v>
                </c:pt>
                <c:pt idx="1611">
                  <c:v>-3.1490228767250476E-3</c:v>
                </c:pt>
                <c:pt idx="1612">
                  <c:v>-1.1056396915358152E-2</c:v>
                </c:pt>
                <c:pt idx="1613">
                  <c:v>-4.0398346486282656E-3</c:v>
                </c:pt>
                <c:pt idx="1614">
                  <c:v>-1.7687010659371758E-2</c:v>
                </c:pt>
                <c:pt idx="1615">
                  <c:v>-1.6372977385125061E-2</c:v>
                </c:pt>
                <c:pt idx="1616">
                  <c:v>2.3723518500439252E-2</c:v>
                </c:pt>
                <c:pt idx="1617">
                  <c:v>8.4875071523936724E-3</c:v>
                </c:pt>
                <c:pt idx="1618">
                  <c:v>8.4160756501182078E-3</c:v>
                </c:pt>
                <c:pt idx="1619">
                  <c:v>2.0442610652663097E-2</c:v>
                </c:pt>
                <c:pt idx="1620">
                  <c:v>8.0867487594193134E-3</c:v>
                </c:pt>
                <c:pt idx="1621">
                  <c:v>-5.2871467639015344E-3</c:v>
                </c:pt>
                <c:pt idx="1622">
                  <c:v>1.1455278592375367E-2</c:v>
                </c:pt>
                <c:pt idx="1623">
                  <c:v>-4.1677992208028264E-3</c:v>
                </c:pt>
                <c:pt idx="1624">
                  <c:v>3.3436448002911449E-2</c:v>
                </c:pt>
                <c:pt idx="1625">
                  <c:v>4.4460095963376302E-3</c:v>
                </c:pt>
                <c:pt idx="1626">
                  <c:v>1.3585765623630567E-3</c:v>
                </c:pt>
                <c:pt idx="1627">
                  <c:v>2.997943017199875E-2</c:v>
                </c:pt>
                <c:pt idx="1628">
                  <c:v>1.6061867935752532E-2</c:v>
                </c:pt>
                <c:pt idx="1629">
                  <c:v>-1.2796922047507537E-2</c:v>
                </c:pt>
                <c:pt idx="1630">
                  <c:v>9.5314750487164278E-3</c:v>
                </c:pt>
                <c:pt idx="1631">
                  <c:v>-2.3708614829423883E-2</c:v>
                </c:pt>
                <c:pt idx="1632">
                  <c:v>-4.2121550760766341E-3</c:v>
                </c:pt>
                <c:pt idx="1633">
                  <c:v>3.7983425414364444E-3</c:v>
                </c:pt>
                <c:pt idx="1634">
                  <c:v>3.1389748882008502E-3</c:v>
                </c:pt>
                <c:pt idx="1635">
                  <c:v>-2.6576364181919694E-3</c:v>
                </c:pt>
                <c:pt idx="1636">
                  <c:v>-1.757854471998958E-2</c:v>
                </c:pt>
                <c:pt idx="1637">
                  <c:v>8.0059497768832973E-3</c:v>
                </c:pt>
                <c:pt idx="1638">
                  <c:v>1.0980426196779658E-2</c:v>
                </c:pt>
                <c:pt idx="1639">
                  <c:v>-1.2277839787069568E-2</c:v>
                </c:pt>
                <c:pt idx="1640">
                  <c:v>4.3463143254480632E-5</c:v>
                </c:pt>
                <c:pt idx="1641">
                  <c:v>9.8222434699465032E-3</c:v>
                </c:pt>
                <c:pt idx="1642">
                  <c:v>9.7697439208091676E-3</c:v>
                </c:pt>
                <c:pt idx="1643">
                  <c:v>7.1605148751172397E-3</c:v>
                </c:pt>
                <c:pt idx="1644">
                  <c:v>9.4794752433346625E-3</c:v>
                </c:pt>
                <c:pt idx="1645">
                  <c:v>1.1863838349962323E-2</c:v>
                </c:pt>
                <c:pt idx="1646">
                  <c:v>1.4169117951692371E-2</c:v>
                </c:pt>
                <c:pt idx="1647">
                  <c:v>9.1098492585482173E-3</c:v>
                </c:pt>
                <c:pt idx="1648">
                  <c:v>-9.1490567565380102E-3</c:v>
                </c:pt>
                <c:pt idx="1649">
                  <c:v>6.8230102958000329E-3</c:v>
                </c:pt>
                <c:pt idx="1650">
                  <c:v>-1.2133262995576873E-2</c:v>
                </c:pt>
                <c:pt idx="1651">
                  <c:v>-1.055701610253037E-2</c:v>
                </c:pt>
                <c:pt idx="1652">
                  <c:v>6.9332004815875264E-3</c:v>
                </c:pt>
                <c:pt idx="1653">
                  <c:v>1.6079821885050499E-3</c:v>
                </c:pt>
                <c:pt idx="1654">
                  <c:v>-1.2349236405548924E-2</c:v>
                </c:pt>
                <c:pt idx="1655">
                  <c:v>1.1086566915350296E-2</c:v>
                </c:pt>
                <c:pt idx="1656">
                  <c:v>-1.3809307885733106E-2</c:v>
                </c:pt>
                <c:pt idx="1657">
                  <c:v>9.195786657749493E-3</c:v>
                </c:pt>
                <c:pt idx="1658">
                  <c:v>-2.4685222001325415E-2</c:v>
                </c:pt>
                <c:pt idx="1659">
                  <c:v>2.5479870901987431E-2</c:v>
                </c:pt>
                <c:pt idx="1660">
                  <c:v>9.6902434984263847E-3</c:v>
                </c:pt>
                <c:pt idx="1661">
                  <c:v>9.2281191042572399E-3</c:v>
                </c:pt>
                <c:pt idx="1662">
                  <c:v>8.1277685211532109E-4</c:v>
                </c:pt>
                <c:pt idx="1663">
                  <c:v>-2.4607138506517245E-2</c:v>
                </c:pt>
                <c:pt idx="1664">
                  <c:v>-3.109778943424503E-2</c:v>
                </c:pt>
                <c:pt idx="1665">
                  <c:v>1.8905216120993285E-3</c:v>
                </c:pt>
                <c:pt idx="1666">
                  <c:v>-6.5614546702118578E-3</c:v>
                </c:pt>
                <c:pt idx="1667">
                  <c:v>6.6911288581911633E-3</c:v>
                </c:pt>
                <c:pt idx="1668">
                  <c:v>2.00686106346484E-2</c:v>
                </c:pt>
                <c:pt idx="1669">
                  <c:v>8.3235244661174473E-3</c:v>
                </c:pt>
                <c:pt idx="1670">
                  <c:v>-1.7635287250896432E-2</c:v>
                </c:pt>
                <c:pt idx="1671">
                  <c:v>1.2434749395238327E-2</c:v>
                </c:pt>
                <c:pt idx="1672">
                  <c:v>-1.1024480214621041E-2</c:v>
                </c:pt>
                <c:pt idx="1673">
                  <c:v>8.053236129360427E-3</c:v>
                </c:pt>
                <c:pt idx="1674">
                  <c:v>1.1773115250388861E-2</c:v>
                </c:pt>
                <c:pt idx="1675">
                  <c:v>-9.3504550554793665E-3</c:v>
                </c:pt>
                <c:pt idx="1676">
                  <c:v>2.8064434935816753E-2</c:v>
                </c:pt>
                <c:pt idx="1677">
                  <c:v>-5.9574815358876222E-3</c:v>
                </c:pt>
                <c:pt idx="1678">
                  <c:v>1.0262304503099215E-3</c:v>
                </c:pt>
                <c:pt idx="1679">
                  <c:v>2.4481259739194614E-2</c:v>
                </c:pt>
                <c:pt idx="1680">
                  <c:v>4.0427490693671327E-3</c:v>
                </c:pt>
                <c:pt idx="1681">
                  <c:v>-1.5268697177483704E-2</c:v>
                </c:pt>
                <c:pt idx="1682">
                  <c:v>-6.1131128294400674E-3</c:v>
                </c:pt>
                <c:pt idx="1683">
                  <c:v>4.8472505091649602E-3</c:v>
                </c:pt>
                <c:pt idx="1684">
                  <c:v>-7.9046576675178906E-3</c:v>
                </c:pt>
                <c:pt idx="1685">
                  <c:v>-9.1117103865327211E-3</c:v>
                </c:pt>
                <c:pt idx="1686">
                  <c:v>1.8390994185806805E-2</c:v>
                </c:pt>
                <c:pt idx="1687">
                  <c:v>-3.1987690812648986E-3</c:v>
                </c:pt>
                <c:pt idx="1688">
                  <c:v>3.3308960922901892E-2</c:v>
                </c:pt>
                <c:pt idx="1689">
                  <c:v>-2.5552323295856818E-3</c:v>
                </c:pt>
                <c:pt idx="1690">
                  <c:v>-1.8799511291530294E-2</c:v>
                </c:pt>
                <c:pt idx="1691">
                  <c:v>-4.1773778920309304E-3</c:v>
                </c:pt>
                <c:pt idx="1692">
                  <c:v>1.8070345272668677E-2</c:v>
                </c:pt>
                <c:pt idx="1693">
                  <c:v>-1.0459587955626048E-2</c:v>
                </c:pt>
                <c:pt idx="1694">
                  <c:v>2.1620755925688684E-2</c:v>
                </c:pt>
                <c:pt idx="1695">
                  <c:v>5.8786643674559372E-4</c:v>
                </c:pt>
                <c:pt idx="1696">
                  <c:v>7.9511182484037941E-3</c:v>
                </c:pt>
                <c:pt idx="1697">
                  <c:v>-1.3250952047874284E-2</c:v>
                </c:pt>
                <c:pt idx="1698">
                  <c:v>1.102666089079672E-3</c:v>
                </c:pt>
                <c:pt idx="1699">
                  <c:v>3.5403800007868851E-4</c:v>
                </c:pt>
                <c:pt idx="1700">
                  <c:v>2.0290994887927519E-2</c:v>
                </c:pt>
                <c:pt idx="1701">
                  <c:v>-8.2864410699143506E-3</c:v>
                </c:pt>
                <c:pt idx="1702">
                  <c:v>-2.906999339318328E-2</c:v>
                </c:pt>
                <c:pt idx="1703">
                  <c:v>-2.0373854220870204E-2</c:v>
                </c:pt>
                <c:pt idx="1704">
                  <c:v>-1.23396257252595E-2</c:v>
                </c:pt>
                <c:pt idx="1705">
                  <c:v>1.2493794472943945E-2</c:v>
                </c:pt>
                <c:pt idx="1706">
                  <c:v>-1.6425594508457996E-2</c:v>
                </c:pt>
                <c:pt idx="1707">
                  <c:v>-1.8029245596543717E-2</c:v>
                </c:pt>
                <c:pt idx="1708">
                  <c:v>-5.2880954395464934E-3</c:v>
                </c:pt>
                <c:pt idx="1709">
                  <c:v>8.5059328881938637E-5</c:v>
                </c:pt>
                <c:pt idx="1710">
                  <c:v>-1.1482032745056782E-3</c:v>
                </c:pt>
                <c:pt idx="1711">
                  <c:v>-2.3799386920980943E-2</c:v>
                </c:pt>
                <c:pt idx="1712">
                  <c:v>-5.4516114963583237E-3</c:v>
                </c:pt>
                <c:pt idx="1713">
                  <c:v>1.8461673390633256E-2</c:v>
                </c:pt>
                <c:pt idx="1714">
                  <c:v>7.9224973089343526E-3</c:v>
                </c:pt>
                <c:pt idx="1715">
                  <c:v>7.6893502499038105E-3</c:v>
                </c:pt>
                <c:pt idx="1716">
                  <c:v>-1.3862393488490322E-2</c:v>
                </c:pt>
                <c:pt idx="1717">
                  <c:v>-4.8577078497119572E-3</c:v>
                </c:pt>
                <c:pt idx="1718">
                  <c:v>-2.3111149509698139E-2</c:v>
                </c:pt>
                <c:pt idx="1719">
                  <c:v>1.123198018926338E-2</c:v>
                </c:pt>
                <c:pt idx="1720">
                  <c:v>1.6442189959769069E-2</c:v>
                </c:pt>
                <c:pt idx="1721">
                  <c:v>-3.9149888143176588E-3</c:v>
                </c:pt>
                <c:pt idx="1722">
                  <c:v>-6.6945968125081473E-3</c:v>
                </c:pt>
                <c:pt idx="1723">
                  <c:v>-1.5262196712757593E-2</c:v>
                </c:pt>
                <c:pt idx="1724">
                  <c:v>-1.8103943127124856E-3</c:v>
                </c:pt>
                <c:pt idx="1725">
                  <c:v>3.2026895514465227E-2</c:v>
                </c:pt>
                <c:pt idx="1726">
                  <c:v>-1.3116159451350203E-2</c:v>
                </c:pt>
                <c:pt idx="1727">
                  <c:v>4.6473245309242234E-3</c:v>
                </c:pt>
                <c:pt idx="1728">
                  <c:v>1.7638666724309301E-2</c:v>
                </c:pt>
                <c:pt idx="1729">
                  <c:v>-1.3594460257444802E-3</c:v>
                </c:pt>
                <c:pt idx="1730">
                  <c:v>-2.4290636831581995E-2</c:v>
                </c:pt>
                <c:pt idx="1731">
                  <c:v>6.8887338681547956E-3</c:v>
                </c:pt>
                <c:pt idx="1732">
                  <c:v>2.9314973586212913E-2</c:v>
                </c:pt>
                <c:pt idx="1733">
                  <c:v>3.3654452904799247E-3</c:v>
                </c:pt>
                <c:pt idx="1734">
                  <c:v>-2.5156177938032902E-4</c:v>
                </c:pt>
                <c:pt idx="1735">
                  <c:v>-5.0325015726557405E-4</c:v>
                </c:pt>
                <c:pt idx="1736">
                  <c:v>-3.9776780094826575E-2</c:v>
                </c:pt>
                <c:pt idx="1737">
                  <c:v>6.4671181996942021E-3</c:v>
                </c:pt>
                <c:pt idx="1738">
                  <c:v>-8.6397777102418666E-3</c:v>
                </c:pt>
                <c:pt idx="1739">
                  <c:v>-1.6773232898309592E-2</c:v>
                </c:pt>
                <c:pt idx="1740">
                  <c:v>2.378513206538686E-2</c:v>
                </c:pt>
                <c:pt idx="1741">
                  <c:v>-1.7533173809005879E-2</c:v>
                </c:pt>
                <c:pt idx="1742">
                  <c:v>2.302718979718405E-3</c:v>
                </c:pt>
                <c:pt idx="1743">
                  <c:v>-2.2930105151541917E-2</c:v>
                </c:pt>
                <c:pt idx="1744">
                  <c:v>6.8279448338231553E-3</c:v>
                </c:pt>
                <c:pt idx="1745">
                  <c:v>-2.6138507140932334E-2</c:v>
                </c:pt>
                <c:pt idx="1746">
                  <c:v>4.6578122117690041E-3</c:v>
                </c:pt>
                <c:pt idx="1747">
                  <c:v>2.7082855175579687E-3</c:v>
                </c:pt>
                <c:pt idx="1748">
                  <c:v>1.4374656656290124E-2</c:v>
                </c:pt>
                <c:pt idx="1749">
                  <c:v>-2.4054517555736132E-2</c:v>
                </c:pt>
                <c:pt idx="1750">
                  <c:v>-7.7687861271676616E-3</c:v>
                </c:pt>
                <c:pt idx="1751">
                  <c:v>-1.5099967376613604E-2</c:v>
                </c:pt>
                <c:pt idx="1752">
                  <c:v>1.4053849429801726E-2</c:v>
                </c:pt>
                <c:pt idx="1753">
                  <c:v>-3.2197853476434932E-2</c:v>
                </c:pt>
                <c:pt idx="1754">
                  <c:v>-6.9431051108968063E-3</c:v>
                </c:pt>
                <c:pt idx="1755">
                  <c:v>9.6620703049134816E-3</c:v>
                </c:pt>
                <c:pt idx="1756">
                  <c:v>3.7509016590526628E-3</c:v>
                </c:pt>
                <c:pt idx="1757">
                  <c:v>-2.850572509941067E-2</c:v>
                </c:pt>
                <c:pt idx="1758">
                  <c:v>2.1501134234145305E-2</c:v>
                </c:pt>
                <c:pt idx="1759">
                  <c:v>1.5931254224196801E-3</c:v>
                </c:pt>
                <c:pt idx="1760">
                  <c:v>1.9328095628283564E-2</c:v>
                </c:pt>
                <c:pt idx="1761">
                  <c:v>-7.5184414601853766E-3</c:v>
                </c:pt>
                <c:pt idx="1762">
                  <c:v>1.1434560960503555E-3</c:v>
                </c:pt>
                <c:pt idx="1763">
                  <c:v>4.1878836910483773E-3</c:v>
                </c:pt>
                <c:pt idx="1764">
                  <c:v>-7.7721435003079778E-3</c:v>
                </c:pt>
                <c:pt idx="1765">
                  <c:v>4.2269666141280957E-2</c:v>
                </c:pt>
                <c:pt idx="1766">
                  <c:v>-4.674182018146871E-3</c:v>
                </c:pt>
                <c:pt idx="1767">
                  <c:v>6.860036832412565E-3</c:v>
                </c:pt>
                <c:pt idx="1768">
                  <c:v>-1.166034112213641E-2</c:v>
                </c:pt>
                <c:pt idx="1769">
                  <c:v>-1.0039789025631478E-2</c:v>
                </c:pt>
                <c:pt idx="1770">
                  <c:v>-2.2900406599056368E-3</c:v>
                </c:pt>
                <c:pt idx="1771">
                  <c:v>-1.3022297170695153E-2</c:v>
                </c:pt>
                <c:pt idx="1772">
                  <c:v>-1.7465590887517698E-2</c:v>
                </c:pt>
                <c:pt idx="1773">
                  <c:v>1.1593082793932019E-3</c:v>
                </c:pt>
                <c:pt idx="1774">
                  <c:v>-7.3820322300492194E-3</c:v>
                </c:pt>
                <c:pt idx="1775">
                  <c:v>4.0684392164487458E-2</c:v>
                </c:pt>
                <c:pt idx="1776">
                  <c:v>-2.9892573563754616E-3</c:v>
                </c:pt>
                <c:pt idx="1777">
                  <c:v>-1.1992879227958411E-2</c:v>
                </c:pt>
                <c:pt idx="1778">
                  <c:v>1.2091038406827799E-2</c:v>
                </c:pt>
                <c:pt idx="1779">
                  <c:v>3.3544155539939217E-2</c:v>
                </c:pt>
                <c:pt idx="1780">
                  <c:v>-2.9826390462807724E-2</c:v>
                </c:pt>
                <c:pt idx="1781">
                  <c:v>2.3688267999813079E-2</c:v>
                </c:pt>
                <c:pt idx="1782">
                  <c:v>-1.9534459151072575E-2</c:v>
                </c:pt>
                <c:pt idx="1783">
                  <c:v>-8.8446140955218584E-3</c:v>
                </c:pt>
                <c:pt idx="1784">
                  <c:v>-2.5784332143527995E-2</c:v>
                </c:pt>
                <c:pt idx="1785">
                  <c:v>-8.3883719809092656E-3</c:v>
                </c:pt>
                <c:pt idx="1786">
                  <c:v>-2.5766930818221651E-2</c:v>
                </c:pt>
                <c:pt idx="1787">
                  <c:v>-1.1028494435849991E-2</c:v>
                </c:pt>
                <c:pt idx="1788">
                  <c:v>-5.8532647088505229E-3</c:v>
                </c:pt>
                <c:pt idx="1789">
                  <c:v>-2.2840320779617149E-3</c:v>
                </c:pt>
                <c:pt idx="1790">
                  <c:v>5.2398636617998736E-3</c:v>
                </c:pt>
                <c:pt idx="1791">
                  <c:v>5.465587044534476E-3</c:v>
                </c:pt>
                <c:pt idx="1792">
                  <c:v>-1.0066438494061658E-3</c:v>
                </c:pt>
                <c:pt idx="1793">
                  <c:v>2.4989923417976664E-2</c:v>
                </c:pt>
                <c:pt idx="1794">
                  <c:v>3.6374360990956011E-3</c:v>
                </c:pt>
                <c:pt idx="1795">
                  <c:v>2.3263786854736016E-2</c:v>
                </c:pt>
                <c:pt idx="1796">
                  <c:v>2.9675010769157351E-3</c:v>
                </c:pt>
                <c:pt idx="1797">
                  <c:v>-1.1596277738010053E-2</c:v>
                </c:pt>
                <c:pt idx="1798">
                  <c:v>-2.520278099652375E-2</c:v>
                </c:pt>
                <c:pt idx="1799">
                  <c:v>-5.2303120356612193E-2</c:v>
                </c:pt>
                <c:pt idx="1800">
                  <c:v>-7.6826591407964818E-3</c:v>
                </c:pt>
                <c:pt idx="1801">
                  <c:v>-2.1383051561594788E-2</c:v>
                </c:pt>
                <c:pt idx="1802">
                  <c:v>5.3818416662132848E-5</c:v>
                </c:pt>
                <c:pt idx="1803">
                  <c:v>2.4701323861801763E-2</c:v>
                </c:pt>
                <c:pt idx="1804">
                  <c:v>-4.2224673073893139E-2</c:v>
                </c:pt>
                <c:pt idx="1805">
                  <c:v>1.3160059220266522E-2</c:v>
                </c:pt>
                <c:pt idx="1806">
                  <c:v>-2.8143096823077429E-2</c:v>
                </c:pt>
                <c:pt idx="1807">
                  <c:v>-3.4526925432978722E-2</c:v>
                </c:pt>
                <c:pt idx="1808">
                  <c:v>4.2740958643363886E-2</c:v>
                </c:pt>
                <c:pt idx="1809">
                  <c:v>1.4824648744330163E-2</c:v>
                </c:pt>
                <c:pt idx="1810">
                  <c:v>-5.5761473890766473E-2</c:v>
                </c:pt>
                <c:pt idx="1811">
                  <c:v>2.5861571321364765E-2</c:v>
                </c:pt>
                <c:pt idx="1812">
                  <c:v>-3.8264588374318093E-3</c:v>
                </c:pt>
                <c:pt idx="1813">
                  <c:v>2.8695701293566134E-2</c:v>
                </c:pt>
                <c:pt idx="1814">
                  <c:v>-1.7022678600845765E-2</c:v>
                </c:pt>
                <c:pt idx="1815">
                  <c:v>4.1897100720630137E-3</c:v>
                </c:pt>
                <c:pt idx="1816">
                  <c:v>2.6702269692924913E-3</c:v>
                </c:pt>
                <c:pt idx="1817">
                  <c:v>-3.8670661340434967E-2</c:v>
                </c:pt>
                <c:pt idx="1818">
                  <c:v>2.943383159231205E-3</c:v>
                </c:pt>
                <c:pt idx="1819">
                  <c:v>1.5536885717573879E-2</c:v>
                </c:pt>
                <c:pt idx="1820">
                  <c:v>-1.762239347234806E-2</c:v>
                </c:pt>
                <c:pt idx="1821">
                  <c:v>1.0382419103651052E-2</c:v>
                </c:pt>
                <c:pt idx="1822">
                  <c:v>1.2901752583204997E-2</c:v>
                </c:pt>
                <c:pt idx="1823">
                  <c:v>9.0176407597360414E-4</c:v>
                </c:pt>
                <c:pt idx="1824">
                  <c:v>2.190438650824926E-2</c:v>
                </c:pt>
                <c:pt idx="1825">
                  <c:v>1.256336786422747E-2</c:v>
                </c:pt>
                <c:pt idx="18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E5-4390-A8BD-6A277FE5F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45421"/>
        <c:axId val="69088355"/>
      </c:scatterChart>
      <c:valAx>
        <c:axId val="4494542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KSE-100 Index Daily Return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088355"/>
        <c:crosses val="autoZero"/>
        <c:crossBetween val="midCat"/>
      </c:valAx>
      <c:valAx>
        <c:axId val="690883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Company Daily Return (Y)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9454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21</xdr:col>
      <xdr:colOff>581760</xdr:colOff>
      <xdr:row>21</xdr:row>
      <xdr:rowOff>134280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16</xdr:col>
      <xdr:colOff>535680</xdr:colOff>
      <xdr:row>28</xdr:row>
      <xdr:rowOff>86760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"/>
  <sheetViews>
    <sheetView showGridLines="0" tabSelected="1" topLeftCell="A12" zoomScale="96" zoomScaleNormal="68" workbookViewId="0">
      <selection activeCell="C26" sqref="C26"/>
    </sheetView>
  </sheetViews>
  <sheetFormatPr defaultColWidth="8.6640625" defaultRowHeight="14.4" x14ac:dyDescent="0.3"/>
  <cols>
    <col min="1" max="1" width="5" customWidth="1"/>
    <col min="2" max="2" width="60" customWidth="1"/>
    <col min="3" max="3" width="30" customWidth="1"/>
  </cols>
  <sheetData>
    <row r="1" spans="2:3" ht="19.5" customHeight="1" x14ac:dyDescent="0.3"/>
    <row r="2" spans="2:3" ht="21.75" customHeight="1" x14ac:dyDescent="0.3"/>
    <row r="3" spans="2:3" ht="21.75" customHeight="1" x14ac:dyDescent="0.3">
      <c r="B3" s="14" t="s">
        <v>0</v>
      </c>
      <c r="C3" s="14"/>
    </row>
    <row r="4" spans="2:3" ht="21.75" customHeight="1" x14ac:dyDescent="0.3">
      <c r="B4" s="13" t="s">
        <v>1</v>
      </c>
      <c r="C4" s="13"/>
    </row>
    <row r="5" spans="2:3" ht="21.75" customHeight="1" x14ac:dyDescent="0.3">
      <c r="B5" s="15"/>
      <c r="C5" s="15"/>
    </row>
    <row r="6" spans="2:3" ht="24" customHeight="1" x14ac:dyDescent="0.3">
      <c r="B6" s="16" t="s">
        <v>2</v>
      </c>
      <c r="C6" s="17" t="s">
        <v>3</v>
      </c>
    </row>
    <row r="7" spans="2:3" ht="24" customHeight="1" x14ac:dyDescent="0.3">
      <c r="B7" s="16" t="s">
        <v>4</v>
      </c>
      <c r="C7" s="17" t="s">
        <v>5</v>
      </c>
    </row>
    <row r="8" spans="2:3" ht="24" customHeight="1" x14ac:dyDescent="0.3">
      <c r="B8" s="16" t="s">
        <v>6</v>
      </c>
      <c r="C8" s="17" t="s">
        <v>7</v>
      </c>
    </row>
    <row r="9" spans="2:3" ht="24" customHeight="1" x14ac:dyDescent="0.3">
      <c r="B9" s="16" t="s">
        <v>8</v>
      </c>
      <c r="C9" s="17" t="s">
        <v>9</v>
      </c>
    </row>
    <row r="10" spans="2:3" ht="21.75" customHeight="1" x14ac:dyDescent="0.3">
      <c r="B10" s="15"/>
      <c r="C10" s="15"/>
    </row>
    <row r="11" spans="2:3" ht="24" customHeight="1" x14ac:dyDescent="0.3">
      <c r="B11" s="16" t="s">
        <v>10</v>
      </c>
      <c r="C11" s="17" t="s">
        <v>11</v>
      </c>
    </row>
    <row r="12" spans="2:3" ht="24" customHeight="1" x14ac:dyDescent="0.3">
      <c r="B12" s="16" t="s">
        <v>12</v>
      </c>
      <c r="C12" s="17" t="s">
        <v>13</v>
      </c>
    </row>
    <row r="13" spans="2:3" ht="21.75" customHeight="1" x14ac:dyDescent="0.3">
      <c r="B13" s="15"/>
      <c r="C13" s="15"/>
    </row>
    <row r="14" spans="2:3" ht="24" customHeight="1" x14ac:dyDescent="0.3">
      <c r="B14" s="16" t="s">
        <v>14</v>
      </c>
      <c r="C14" s="17" t="s">
        <v>15</v>
      </c>
    </row>
    <row r="15" spans="2:3" ht="21.75" customHeight="1" x14ac:dyDescent="0.3">
      <c r="B15" s="15"/>
      <c r="C15" s="15"/>
    </row>
    <row r="16" spans="2:3" ht="24" customHeight="1" x14ac:dyDescent="0.3">
      <c r="B16" s="16" t="s">
        <v>16</v>
      </c>
      <c r="C16" s="17" t="s">
        <v>17</v>
      </c>
    </row>
    <row r="17" spans="2:3" ht="21.75" customHeight="1" x14ac:dyDescent="0.3"/>
    <row r="18" spans="2:3" ht="21.75" customHeight="1" x14ac:dyDescent="0.3"/>
    <row r="19" spans="2:3" ht="21.75" customHeight="1" x14ac:dyDescent="0.3">
      <c r="B19" s="87" t="s">
        <v>134</v>
      </c>
      <c r="C19" s="87" t="s">
        <v>142</v>
      </c>
    </row>
    <row r="20" spans="2:3" ht="21.75" customHeight="1" x14ac:dyDescent="0.3">
      <c r="B20" s="86" t="s">
        <v>135</v>
      </c>
      <c r="C20" s="86" t="s">
        <v>139</v>
      </c>
    </row>
    <row r="21" spans="2:3" ht="21.75" customHeight="1" x14ac:dyDescent="0.3">
      <c r="B21" s="86" t="s">
        <v>136</v>
      </c>
      <c r="C21" s="86" t="s">
        <v>143</v>
      </c>
    </row>
    <row r="22" spans="2:3" ht="15.6" x14ac:dyDescent="0.3">
      <c r="B22" s="86" t="s">
        <v>137</v>
      </c>
      <c r="C22" s="86" t="s">
        <v>141</v>
      </c>
    </row>
    <row r="23" spans="2:3" ht="15.6" x14ac:dyDescent="0.3">
      <c r="B23" s="86" t="s">
        <v>138</v>
      </c>
      <c r="C23" s="86" t="s">
        <v>140</v>
      </c>
    </row>
    <row r="24" spans="2:3" ht="15.6" x14ac:dyDescent="0.3">
      <c r="B24" s="86" t="s">
        <v>145</v>
      </c>
      <c r="C24" s="86" t="s">
        <v>144</v>
      </c>
    </row>
  </sheetData>
  <mergeCells count="2">
    <mergeCell ref="B3:C3"/>
    <mergeCell ref="B4:C4"/>
  </mergeCells>
  <phoneticPr fontId="26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28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5" width="12" customWidth="1"/>
    <col min="6" max="6" width="14" customWidth="1"/>
  </cols>
  <sheetData>
    <row r="1" spans="1:6" ht="21.75" customHeight="1" x14ac:dyDescent="0.3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</row>
    <row r="2" spans="1:6" ht="13.5" customHeight="1" x14ac:dyDescent="0.3">
      <c r="A2" s="19">
        <v>43466</v>
      </c>
      <c r="B2" s="20">
        <v>140</v>
      </c>
      <c r="C2" s="20">
        <v>550</v>
      </c>
      <c r="D2" s="20">
        <v>150</v>
      </c>
      <c r="E2" s="20">
        <v>280</v>
      </c>
      <c r="F2" s="20">
        <v>37000</v>
      </c>
    </row>
    <row r="3" spans="1:6" ht="13.5" customHeight="1" x14ac:dyDescent="0.3">
      <c r="A3" s="21">
        <v>43467</v>
      </c>
      <c r="B3" s="22">
        <v>139.76</v>
      </c>
      <c r="C3" s="22">
        <v>546.26</v>
      </c>
      <c r="D3" s="22">
        <v>149.69999999999999</v>
      </c>
      <c r="E3" s="22">
        <v>278.39</v>
      </c>
      <c r="F3" s="22">
        <v>37449.599999999999</v>
      </c>
    </row>
    <row r="4" spans="1:6" ht="13.5" customHeight="1" x14ac:dyDescent="0.3">
      <c r="A4" s="19">
        <v>43468</v>
      </c>
      <c r="B4" s="20">
        <v>139.47</v>
      </c>
      <c r="C4" s="20">
        <v>575.47</v>
      </c>
      <c r="D4" s="20">
        <v>149.63999999999999</v>
      </c>
      <c r="E4" s="20">
        <v>267.95999999999998</v>
      </c>
      <c r="F4" s="20">
        <v>37401.800000000003</v>
      </c>
    </row>
    <row r="5" spans="1:6" ht="13.5" customHeight="1" x14ac:dyDescent="0.3">
      <c r="A5" s="21">
        <v>43469</v>
      </c>
      <c r="B5" s="22">
        <v>139.30000000000001</v>
      </c>
      <c r="C5" s="22">
        <v>558.99</v>
      </c>
      <c r="D5" s="22">
        <v>149.66999999999999</v>
      </c>
      <c r="E5" s="22">
        <v>271.68</v>
      </c>
      <c r="F5" s="22">
        <v>37702.28</v>
      </c>
    </row>
    <row r="6" spans="1:6" ht="13.5" customHeight="1" x14ac:dyDescent="0.3">
      <c r="A6" s="19">
        <v>43472</v>
      </c>
      <c r="B6" s="20">
        <v>140.69999999999999</v>
      </c>
      <c r="C6" s="20">
        <v>550.13</v>
      </c>
      <c r="D6" s="20">
        <v>153.01</v>
      </c>
      <c r="E6" s="20">
        <v>276.17</v>
      </c>
      <c r="F6" s="20">
        <v>37861.94</v>
      </c>
    </row>
    <row r="7" spans="1:6" ht="13.5" customHeight="1" x14ac:dyDescent="0.3">
      <c r="A7" s="21">
        <v>43473</v>
      </c>
      <c r="B7" s="22">
        <v>140.5</v>
      </c>
      <c r="C7" s="22">
        <v>557.29999999999995</v>
      </c>
      <c r="D7" s="22">
        <v>154.01</v>
      </c>
      <c r="E7" s="22">
        <v>282.31</v>
      </c>
      <c r="F7" s="22">
        <v>38065.06</v>
      </c>
    </row>
    <row r="8" spans="1:6" ht="13.5" customHeight="1" x14ac:dyDescent="0.3">
      <c r="A8" s="19">
        <v>43474</v>
      </c>
      <c r="B8" s="20">
        <v>137.63</v>
      </c>
      <c r="C8" s="20">
        <v>580.80999999999995</v>
      </c>
      <c r="D8" s="20">
        <v>149.26</v>
      </c>
      <c r="E8" s="20">
        <v>289.64</v>
      </c>
      <c r="F8" s="20">
        <v>38398.589999999997</v>
      </c>
    </row>
    <row r="9" spans="1:6" ht="13.5" customHeight="1" x14ac:dyDescent="0.3">
      <c r="A9" s="21">
        <v>43475</v>
      </c>
      <c r="B9" s="22">
        <v>138.31</v>
      </c>
      <c r="C9" s="22">
        <v>570.99</v>
      </c>
      <c r="D9" s="22">
        <v>151.81</v>
      </c>
      <c r="E9" s="22">
        <v>286.47000000000003</v>
      </c>
      <c r="F9" s="22">
        <v>38274.300000000003</v>
      </c>
    </row>
    <row r="10" spans="1:6" ht="13.5" customHeight="1" x14ac:dyDescent="0.3">
      <c r="A10" s="19">
        <v>43476</v>
      </c>
      <c r="B10" s="20">
        <v>137.84</v>
      </c>
      <c r="C10" s="20">
        <v>589.75</v>
      </c>
      <c r="D10" s="20">
        <v>147.26</v>
      </c>
      <c r="E10" s="20">
        <v>285.74</v>
      </c>
      <c r="F10" s="20">
        <v>38148.69</v>
      </c>
    </row>
    <row r="11" spans="1:6" ht="13.5" customHeight="1" x14ac:dyDescent="0.3">
      <c r="A11" s="21">
        <v>43479</v>
      </c>
      <c r="B11" s="22">
        <v>137.47</v>
      </c>
      <c r="C11" s="22">
        <v>580.57000000000005</v>
      </c>
      <c r="D11" s="22">
        <v>146.38</v>
      </c>
      <c r="E11" s="22">
        <v>294.20999999999998</v>
      </c>
      <c r="F11" s="22">
        <v>37382.6</v>
      </c>
    </row>
    <row r="12" spans="1:6" ht="13.5" customHeight="1" x14ac:dyDescent="0.3">
      <c r="A12" s="19">
        <v>43480</v>
      </c>
      <c r="B12" s="20">
        <v>137.72999999999999</v>
      </c>
      <c r="C12" s="20">
        <v>594.16</v>
      </c>
      <c r="D12" s="20">
        <v>143.24</v>
      </c>
      <c r="E12" s="20">
        <v>300.35000000000002</v>
      </c>
      <c r="F12" s="20">
        <v>37492.639999999999</v>
      </c>
    </row>
    <row r="13" spans="1:6" ht="13.5" customHeight="1" x14ac:dyDescent="0.3">
      <c r="A13" s="21">
        <v>43481</v>
      </c>
      <c r="B13" s="22">
        <v>138.22</v>
      </c>
      <c r="C13" s="22">
        <v>595.29999999999995</v>
      </c>
      <c r="D13" s="22">
        <v>143.38999999999999</v>
      </c>
      <c r="E13" s="22">
        <v>296.31</v>
      </c>
      <c r="F13" s="22">
        <v>37007.550000000003</v>
      </c>
    </row>
    <row r="14" spans="1:6" ht="13.5" customHeight="1" x14ac:dyDescent="0.3">
      <c r="A14" s="19">
        <v>43482</v>
      </c>
      <c r="B14" s="20">
        <v>140.49</v>
      </c>
      <c r="C14" s="20">
        <v>619.07000000000005</v>
      </c>
      <c r="D14" s="20">
        <v>140.61000000000001</v>
      </c>
      <c r="E14" s="20">
        <v>283.23</v>
      </c>
      <c r="F14" s="20">
        <v>36697.43</v>
      </c>
    </row>
    <row r="15" spans="1:6" ht="13.5" customHeight="1" x14ac:dyDescent="0.3">
      <c r="A15" s="21">
        <v>43483</v>
      </c>
      <c r="B15" s="22">
        <v>141.81</v>
      </c>
      <c r="C15" s="22">
        <v>638.9</v>
      </c>
      <c r="D15" s="22">
        <v>137.61000000000001</v>
      </c>
      <c r="E15" s="22">
        <v>282.14</v>
      </c>
      <c r="F15" s="22">
        <v>36550.910000000003</v>
      </c>
    </row>
    <row r="16" spans="1:6" ht="13.5" customHeight="1" x14ac:dyDescent="0.3">
      <c r="A16" s="19">
        <v>43486</v>
      </c>
      <c r="B16" s="20">
        <v>142.08000000000001</v>
      </c>
      <c r="C16" s="20">
        <v>631.98</v>
      </c>
      <c r="D16" s="20">
        <v>135.4</v>
      </c>
      <c r="E16" s="20">
        <v>276.58</v>
      </c>
      <c r="F16" s="20">
        <v>36835.51</v>
      </c>
    </row>
    <row r="17" spans="1:6" ht="13.5" customHeight="1" x14ac:dyDescent="0.3">
      <c r="A17" s="21">
        <v>43487</v>
      </c>
      <c r="B17" s="22">
        <v>140.66999999999999</v>
      </c>
      <c r="C17" s="22">
        <v>665.08</v>
      </c>
      <c r="D17" s="22">
        <v>137.19</v>
      </c>
      <c r="E17" s="22">
        <v>277.04000000000002</v>
      </c>
      <c r="F17" s="22">
        <v>37088.800000000003</v>
      </c>
    </row>
    <row r="18" spans="1:6" ht="13.5" customHeight="1" x14ac:dyDescent="0.3">
      <c r="A18" s="19">
        <v>43488</v>
      </c>
      <c r="B18" s="20">
        <v>138.72999999999999</v>
      </c>
      <c r="C18" s="20">
        <v>652.29</v>
      </c>
      <c r="D18" s="20">
        <v>136.84</v>
      </c>
      <c r="E18" s="20">
        <v>282.25</v>
      </c>
      <c r="F18" s="20">
        <v>37296.6</v>
      </c>
    </row>
    <row r="19" spans="1:6" ht="13.5" customHeight="1" x14ac:dyDescent="0.3">
      <c r="A19" s="21">
        <v>43489</v>
      </c>
      <c r="B19" s="22">
        <v>139.25</v>
      </c>
      <c r="C19" s="22">
        <v>649.07000000000005</v>
      </c>
      <c r="D19" s="22">
        <v>138.33000000000001</v>
      </c>
      <c r="E19" s="22">
        <v>274.67</v>
      </c>
      <c r="F19" s="22">
        <v>37233.5</v>
      </c>
    </row>
    <row r="20" spans="1:6" ht="13.5" customHeight="1" x14ac:dyDescent="0.3">
      <c r="A20" s="19">
        <v>43490</v>
      </c>
      <c r="B20" s="20">
        <v>141.83000000000001</v>
      </c>
      <c r="C20" s="20">
        <v>670.15</v>
      </c>
      <c r="D20" s="20">
        <v>141.35</v>
      </c>
      <c r="E20" s="20">
        <v>276.23</v>
      </c>
      <c r="F20" s="20">
        <v>37365.68</v>
      </c>
    </row>
    <row r="21" spans="1:6" ht="13.5" customHeight="1" x14ac:dyDescent="0.3">
      <c r="A21" s="21">
        <v>43493</v>
      </c>
      <c r="B21" s="22">
        <v>141.94999999999999</v>
      </c>
      <c r="C21" s="22">
        <v>661.86</v>
      </c>
      <c r="D21" s="22">
        <v>141.94</v>
      </c>
      <c r="E21" s="22">
        <v>270.01</v>
      </c>
      <c r="F21" s="22">
        <v>37001.35</v>
      </c>
    </row>
    <row r="22" spans="1:6" ht="13.5" customHeight="1" x14ac:dyDescent="0.3">
      <c r="A22" s="19">
        <v>43494</v>
      </c>
      <c r="B22" s="20">
        <v>141.79</v>
      </c>
      <c r="C22" s="20">
        <v>654.77</v>
      </c>
      <c r="D22" s="20">
        <v>143.27000000000001</v>
      </c>
      <c r="E22" s="20">
        <v>282.81</v>
      </c>
      <c r="F22" s="20">
        <v>37659.949999999997</v>
      </c>
    </row>
    <row r="23" spans="1:6" ht="13.5" customHeight="1" x14ac:dyDescent="0.3">
      <c r="A23" s="21">
        <v>43495</v>
      </c>
      <c r="B23" s="22">
        <v>142.88</v>
      </c>
      <c r="C23" s="22">
        <v>656.67</v>
      </c>
      <c r="D23" s="22">
        <v>141.13999999999999</v>
      </c>
      <c r="E23" s="22">
        <v>283.22000000000003</v>
      </c>
      <c r="F23" s="22">
        <v>38365.82</v>
      </c>
    </row>
    <row r="24" spans="1:6" ht="13.5" customHeight="1" x14ac:dyDescent="0.3">
      <c r="A24" s="19">
        <v>43496</v>
      </c>
      <c r="B24" s="20">
        <v>140.05000000000001</v>
      </c>
      <c r="C24" s="20">
        <v>662.3</v>
      </c>
      <c r="D24" s="20">
        <v>141</v>
      </c>
      <c r="E24" s="20">
        <v>285.89999999999998</v>
      </c>
      <c r="F24" s="20">
        <v>38118.269999999997</v>
      </c>
    </row>
    <row r="25" spans="1:6" ht="13.5" customHeight="1" x14ac:dyDescent="0.3">
      <c r="A25" s="21">
        <v>43497</v>
      </c>
      <c r="B25" s="22">
        <v>139.47999999999999</v>
      </c>
      <c r="C25" s="22">
        <v>667.22</v>
      </c>
      <c r="D25" s="22">
        <v>138.51</v>
      </c>
      <c r="E25" s="22">
        <v>280.39</v>
      </c>
      <c r="F25" s="22">
        <v>37595.01</v>
      </c>
    </row>
    <row r="26" spans="1:6" ht="13.5" customHeight="1" x14ac:dyDescent="0.3">
      <c r="A26" s="19">
        <v>43500</v>
      </c>
      <c r="B26" s="20">
        <v>140.47999999999999</v>
      </c>
      <c r="C26" s="20">
        <v>658.84</v>
      </c>
      <c r="D26" s="20">
        <v>139.77000000000001</v>
      </c>
      <c r="E26" s="20">
        <v>269.22000000000003</v>
      </c>
      <c r="F26" s="20">
        <v>37113.910000000003</v>
      </c>
    </row>
    <row r="27" spans="1:6" ht="13.5" customHeight="1" x14ac:dyDescent="0.3">
      <c r="A27" s="21">
        <v>43501</v>
      </c>
      <c r="B27" s="22">
        <v>142.22</v>
      </c>
      <c r="C27" s="22">
        <v>661.52</v>
      </c>
      <c r="D27" s="22">
        <v>141.82</v>
      </c>
      <c r="E27" s="22">
        <v>264.47000000000003</v>
      </c>
      <c r="F27" s="22">
        <v>36736.629999999997</v>
      </c>
    </row>
    <row r="28" spans="1:6" ht="13.5" customHeight="1" x14ac:dyDescent="0.3">
      <c r="A28" s="19">
        <v>43502</v>
      </c>
      <c r="B28" s="20">
        <v>141.79</v>
      </c>
      <c r="C28" s="20">
        <v>669.35</v>
      </c>
      <c r="D28" s="20">
        <v>144.04</v>
      </c>
      <c r="E28" s="20">
        <v>259.82</v>
      </c>
      <c r="F28" s="20">
        <v>36361.49</v>
      </c>
    </row>
    <row r="29" spans="1:6" ht="13.5" customHeight="1" x14ac:dyDescent="0.3">
      <c r="A29" s="21">
        <v>43503</v>
      </c>
      <c r="B29" s="22">
        <v>142.58000000000001</v>
      </c>
      <c r="C29" s="22">
        <v>687.51</v>
      </c>
      <c r="D29" s="22">
        <v>144.03</v>
      </c>
      <c r="E29" s="22">
        <v>265.7</v>
      </c>
      <c r="F29" s="22">
        <v>36499.81</v>
      </c>
    </row>
    <row r="30" spans="1:6" ht="13.5" customHeight="1" x14ac:dyDescent="0.3">
      <c r="A30" s="19">
        <v>43504</v>
      </c>
      <c r="B30" s="20">
        <v>143.11000000000001</v>
      </c>
      <c r="C30" s="20">
        <v>691.89</v>
      </c>
      <c r="D30" s="20">
        <v>146.12</v>
      </c>
      <c r="E30" s="20">
        <v>260.06</v>
      </c>
      <c r="F30" s="20">
        <v>36587.81</v>
      </c>
    </row>
    <row r="31" spans="1:6" ht="13.5" customHeight="1" x14ac:dyDescent="0.3">
      <c r="A31" s="21">
        <v>43507</v>
      </c>
      <c r="B31" s="22">
        <v>144.71</v>
      </c>
      <c r="C31" s="22">
        <v>677.02</v>
      </c>
      <c r="D31" s="22">
        <v>145.84</v>
      </c>
      <c r="E31" s="22">
        <v>264.25</v>
      </c>
      <c r="F31" s="22">
        <v>36952.699999999997</v>
      </c>
    </row>
    <row r="32" spans="1:6" ht="13.5" customHeight="1" x14ac:dyDescent="0.3">
      <c r="A32" s="19">
        <v>43508</v>
      </c>
      <c r="B32" s="20">
        <v>142.52000000000001</v>
      </c>
      <c r="C32" s="20">
        <v>677.76</v>
      </c>
      <c r="D32" s="20">
        <v>144.61000000000001</v>
      </c>
      <c r="E32" s="20">
        <v>266.48</v>
      </c>
      <c r="F32" s="20">
        <v>37041.449999999997</v>
      </c>
    </row>
    <row r="33" spans="1:6" ht="13.5" customHeight="1" x14ac:dyDescent="0.3">
      <c r="A33" s="21">
        <v>43509</v>
      </c>
      <c r="B33" s="22">
        <v>143.69</v>
      </c>
      <c r="C33" s="22">
        <v>670.74</v>
      </c>
      <c r="D33" s="22">
        <v>145.81</v>
      </c>
      <c r="E33" s="22">
        <v>266.05</v>
      </c>
      <c r="F33" s="22">
        <v>37143.39</v>
      </c>
    </row>
    <row r="34" spans="1:6" ht="13.5" customHeight="1" x14ac:dyDescent="0.3">
      <c r="A34" s="19">
        <v>43510</v>
      </c>
      <c r="B34" s="20">
        <v>140.72</v>
      </c>
      <c r="C34" s="20">
        <v>686.75</v>
      </c>
      <c r="D34" s="20">
        <v>147.53</v>
      </c>
      <c r="E34" s="20">
        <v>253.67</v>
      </c>
      <c r="F34" s="20">
        <v>37030.400000000001</v>
      </c>
    </row>
    <row r="35" spans="1:6" ht="13.5" customHeight="1" x14ac:dyDescent="0.3">
      <c r="A35" s="21">
        <v>43511</v>
      </c>
      <c r="B35" s="22">
        <v>135.66</v>
      </c>
      <c r="C35" s="22">
        <v>666.86</v>
      </c>
      <c r="D35" s="22">
        <v>152.71</v>
      </c>
      <c r="E35" s="22">
        <v>251.16</v>
      </c>
      <c r="F35" s="22">
        <v>37698.79</v>
      </c>
    </row>
    <row r="36" spans="1:6" ht="13.5" customHeight="1" x14ac:dyDescent="0.3">
      <c r="A36" s="19">
        <v>43514</v>
      </c>
      <c r="B36" s="20">
        <v>134.56</v>
      </c>
      <c r="C36" s="20">
        <v>673.84</v>
      </c>
      <c r="D36" s="20">
        <v>154.53</v>
      </c>
      <c r="E36" s="20">
        <v>255.88</v>
      </c>
      <c r="F36" s="20">
        <v>38400.83</v>
      </c>
    </row>
    <row r="37" spans="1:6" ht="13.5" customHeight="1" x14ac:dyDescent="0.3">
      <c r="A37" s="21">
        <v>43515</v>
      </c>
      <c r="B37" s="22">
        <v>132.88999999999999</v>
      </c>
      <c r="C37" s="22">
        <v>661.58</v>
      </c>
      <c r="D37" s="22">
        <v>151.91</v>
      </c>
      <c r="E37" s="22">
        <v>258.60000000000002</v>
      </c>
      <c r="F37" s="22">
        <v>38069.99</v>
      </c>
    </row>
    <row r="38" spans="1:6" ht="13.5" customHeight="1" x14ac:dyDescent="0.3">
      <c r="A38" s="19">
        <v>43516</v>
      </c>
      <c r="B38" s="20">
        <v>134.55000000000001</v>
      </c>
      <c r="C38" s="20">
        <v>676.82</v>
      </c>
      <c r="D38" s="20">
        <v>149.63</v>
      </c>
      <c r="E38" s="20">
        <v>259.45999999999998</v>
      </c>
      <c r="F38" s="20">
        <v>38214.089999999997</v>
      </c>
    </row>
    <row r="39" spans="1:6" ht="13.5" customHeight="1" x14ac:dyDescent="0.3">
      <c r="A39" s="21">
        <v>43517</v>
      </c>
      <c r="B39" s="22">
        <v>135.83000000000001</v>
      </c>
      <c r="C39" s="22">
        <v>686.43</v>
      </c>
      <c r="D39" s="22">
        <v>146.62</v>
      </c>
      <c r="E39" s="22">
        <v>252.54</v>
      </c>
      <c r="F39" s="22">
        <v>38115.550000000003</v>
      </c>
    </row>
    <row r="40" spans="1:6" ht="13.5" customHeight="1" x14ac:dyDescent="0.3">
      <c r="A40" s="19">
        <v>43518</v>
      </c>
      <c r="B40" s="20">
        <v>133.58000000000001</v>
      </c>
      <c r="C40" s="20">
        <v>689.49</v>
      </c>
      <c r="D40" s="20">
        <v>146.86000000000001</v>
      </c>
      <c r="E40" s="20">
        <v>253.26</v>
      </c>
      <c r="F40" s="20">
        <v>38015.58</v>
      </c>
    </row>
    <row r="41" spans="1:6" ht="13.5" customHeight="1" x14ac:dyDescent="0.3">
      <c r="A41" s="21">
        <v>43521</v>
      </c>
      <c r="B41" s="22">
        <v>135.19</v>
      </c>
      <c r="C41" s="22">
        <v>696.04</v>
      </c>
      <c r="D41" s="22">
        <v>144.37</v>
      </c>
      <c r="E41" s="22">
        <v>254.59</v>
      </c>
      <c r="F41" s="22">
        <v>37786.6</v>
      </c>
    </row>
    <row r="42" spans="1:6" ht="13.5" customHeight="1" x14ac:dyDescent="0.3">
      <c r="A42" s="19">
        <v>43522</v>
      </c>
      <c r="B42" s="20">
        <v>133.35</v>
      </c>
      <c r="C42" s="20">
        <v>692.32</v>
      </c>
      <c r="D42" s="20">
        <v>147.53</v>
      </c>
      <c r="E42" s="20">
        <v>252.38</v>
      </c>
      <c r="F42" s="20">
        <v>37307.47</v>
      </c>
    </row>
    <row r="43" spans="1:6" ht="13.5" customHeight="1" x14ac:dyDescent="0.3">
      <c r="A43" s="21">
        <v>43523</v>
      </c>
      <c r="B43" s="22">
        <v>133.24</v>
      </c>
      <c r="C43" s="22">
        <v>700.98</v>
      </c>
      <c r="D43" s="22">
        <v>146.91</v>
      </c>
      <c r="E43" s="22">
        <v>254.56</v>
      </c>
      <c r="F43" s="22">
        <v>37205.32</v>
      </c>
    </row>
    <row r="44" spans="1:6" ht="13.5" customHeight="1" x14ac:dyDescent="0.3">
      <c r="A44" s="19">
        <v>43524</v>
      </c>
      <c r="B44" s="20">
        <v>132.74</v>
      </c>
      <c r="C44" s="20">
        <v>700.79</v>
      </c>
      <c r="D44" s="20">
        <v>148.44999999999999</v>
      </c>
      <c r="E44" s="20">
        <v>251.27</v>
      </c>
      <c r="F44" s="20">
        <v>37615.760000000002</v>
      </c>
    </row>
    <row r="45" spans="1:6" ht="13.5" customHeight="1" x14ac:dyDescent="0.3">
      <c r="A45" s="21">
        <v>43525</v>
      </c>
      <c r="B45" s="22">
        <v>132.99</v>
      </c>
      <c r="C45" s="22">
        <v>710.24</v>
      </c>
      <c r="D45" s="22">
        <v>148.87</v>
      </c>
      <c r="E45" s="22">
        <v>241.85</v>
      </c>
      <c r="F45" s="22">
        <v>38216.160000000003</v>
      </c>
    </row>
    <row r="46" spans="1:6" ht="13.5" customHeight="1" x14ac:dyDescent="0.3">
      <c r="A46" s="19">
        <v>43528</v>
      </c>
      <c r="B46" s="20">
        <v>134.54</v>
      </c>
      <c r="C46" s="20">
        <v>711.4</v>
      </c>
      <c r="D46" s="20">
        <v>149.72999999999999</v>
      </c>
      <c r="E46" s="20">
        <v>239.03</v>
      </c>
      <c r="F46" s="20">
        <v>38639.65</v>
      </c>
    </row>
    <row r="47" spans="1:6" ht="13.5" customHeight="1" x14ac:dyDescent="0.3">
      <c r="A47" s="21">
        <v>43529</v>
      </c>
      <c r="B47" s="22">
        <v>135.77000000000001</v>
      </c>
      <c r="C47" s="22">
        <v>680.69</v>
      </c>
      <c r="D47" s="22">
        <v>147.35</v>
      </c>
      <c r="E47" s="22">
        <v>236.02</v>
      </c>
      <c r="F47" s="22">
        <v>38716.230000000003</v>
      </c>
    </row>
    <row r="48" spans="1:6" ht="13.5" customHeight="1" x14ac:dyDescent="0.3">
      <c r="A48" s="19">
        <v>43530</v>
      </c>
      <c r="B48" s="20">
        <v>136.47999999999999</v>
      </c>
      <c r="C48" s="20">
        <v>674.93</v>
      </c>
      <c r="D48" s="20">
        <v>147.33000000000001</v>
      </c>
      <c r="E48" s="20">
        <v>241.57</v>
      </c>
      <c r="F48" s="20">
        <v>39320.660000000003</v>
      </c>
    </row>
    <row r="49" spans="1:6" ht="13.5" customHeight="1" x14ac:dyDescent="0.3">
      <c r="A49" s="21">
        <v>43531</v>
      </c>
      <c r="B49" s="22">
        <v>137.75</v>
      </c>
      <c r="C49" s="22">
        <v>693.39</v>
      </c>
      <c r="D49" s="22">
        <v>146.38999999999999</v>
      </c>
      <c r="E49" s="22">
        <v>244.97</v>
      </c>
      <c r="F49" s="22">
        <v>39299.72</v>
      </c>
    </row>
    <row r="50" spans="1:6" ht="13.5" customHeight="1" x14ac:dyDescent="0.3">
      <c r="A50" s="19">
        <v>43532</v>
      </c>
      <c r="B50" s="20">
        <v>138.69999999999999</v>
      </c>
      <c r="C50" s="20">
        <v>711.57</v>
      </c>
      <c r="D50" s="20">
        <v>146.22</v>
      </c>
      <c r="E50" s="20">
        <v>244.85</v>
      </c>
      <c r="F50" s="20">
        <v>39258.870000000003</v>
      </c>
    </row>
    <row r="51" spans="1:6" ht="13.5" customHeight="1" x14ac:dyDescent="0.3">
      <c r="A51" s="21">
        <v>43535</v>
      </c>
      <c r="B51" s="22">
        <v>137.54</v>
      </c>
      <c r="C51" s="22">
        <v>713.31</v>
      </c>
      <c r="D51" s="22">
        <v>146.56</v>
      </c>
      <c r="E51" s="22">
        <v>242.44</v>
      </c>
      <c r="F51" s="22">
        <v>38681.839999999997</v>
      </c>
    </row>
    <row r="52" spans="1:6" ht="13.5" customHeight="1" x14ac:dyDescent="0.3">
      <c r="A52" s="19">
        <v>43536</v>
      </c>
      <c r="B52" s="20">
        <v>136.22</v>
      </c>
      <c r="C52" s="20">
        <v>712.15</v>
      </c>
      <c r="D52" s="20">
        <v>148.19999999999999</v>
      </c>
      <c r="E52" s="20">
        <v>245.11</v>
      </c>
      <c r="F52" s="20">
        <v>39216.14</v>
      </c>
    </row>
    <row r="53" spans="1:6" ht="13.5" customHeight="1" x14ac:dyDescent="0.3">
      <c r="A53" s="21">
        <v>43537</v>
      </c>
      <c r="B53" s="22">
        <v>135.38</v>
      </c>
      <c r="C53" s="22">
        <v>708.36</v>
      </c>
      <c r="D53" s="22">
        <v>147.16999999999999</v>
      </c>
      <c r="E53" s="22">
        <v>252.15</v>
      </c>
      <c r="F53" s="22">
        <v>39680.44</v>
      </c>
    </row>
    <row r="54" spans="1:6" ht="13.5" customHeight="1" x14ac:dyDescent="0.3">
      <c r="A54" s="19">
        <v>43538</v>
      </c>
      <c r="B54" s="20">
        <v>136.36000000000001</v>
      </c>
      <c r="C54" s="20">
        <v>716.66</v>
      </c>
      <c r="D54" s="20">
        <v>149.13</v>
      </c>
      <c r="E54" s="20">
        <v>247.66</v>
      </c>
      <c r="F54" s="20">
        <v>39266.42</v>
      </c>
    </row>
    <row r="55" spans="1:6" ht="13.5" customHeight="1" x14ac:dyDescent="0.3">
      <c r="A55" s="21">
        <v>43539</v>
      </c>
      <c r="B55" s="22">
        <v>135.93</v>
      </c>
      <c r="C55" s="22">
        <v>724.41</v>
      </c>
      <c r="D55" s="22">
        <v>149.97</v>
      </c>
      <c r="E55" s="22">
        <v>244.79</v>
      </c>
      <c r="F55" s="22">
        <v>38720.65</v>
      </c>
    </row>
    <row r="56" spans="1:6" ht="13.5" customHeight="1" x14ac:dyDescent="0.3">
      <c r="A56" s="19">
        <v>43542</v>
      </c>
      <c r="B56" s="20">
        <v>140.37</v>
      </c>
      <c r="C56" s="20">
        <v>712.33</v>
      </c>
      <c r="D56" s="20">
        <v>153.9</v>
      </c>
      <c r="E56" s="20">
        <v>250.23</v>
      </c>
      <c r="F56" s="20">
        <v>39608.959999999999</v>
      </c>
    </row>
    <row r="57" spans="1:6" ht="13.5" customHeight="1" x14ac:dyDescent="0.3">
      <c r="A57" s="21">
        <v>43543</v>
      </c>
      <c r="B57" s="22">
        <v>138.82</v>
      </c>
      <c r="C57" s="22">
        <v>721.06</v>
      </c>
      <c r="D57" s="22">
        <v>145.93</v>
      </c>
      <c r="E57" s="22">
        <v>252.62</v>
      </c>
      <c r="F57" s="22">
        <v>39724.620000000003</v>
      </c>
    </row>
    <row r="58" spans="1:6" ht="13.5" customHeight="1" x14ac:dyDescent="0.3">
      <c r="A58" s="19">
        <v>43544</v>
      </c>
      <c r="B58" s="20">
        <v>136.75</v>
      </c>
      <c r="C58" s="20">
        <v>737.17</v>
      </c>
      <c r="D58" s="20">
        <v>144.51</v>
      </c>
      <c r="E58" s="20">
        <v>250.65</v>
      </c>
      <c r="F58" s="20">
        <v>39253.79</v>
      </c>
    </row>
    <row r="59" spans="1:6" ht="13.5" customHeight="1" x14ac:dyDescent="0.3">
      <c r="A59" s="21">
        <v>43545</v>
      </c>
      <c r="B59" s="22">
        <v>138.25</v>
      </c>
      <c r="C59" s="22">
        <v>725.2</v>
      </c>
      <c r="D59" s="22">
        <v>147.43</v>
      </c>
      <c r="E59" s="22">
        <v>256.24</v>
      </c>
      <c r="F59" s="22">
        <v>39130.5</v>
      </c>
    </row>
    <row r="60" spans="1:6" ht="13.5" customHeight="1" x14ac:dyDescent="0.3">
      <c r="A60" s="19">
        <v>43546</v>
      </c>
      <c r="B60" s="20">
        <v>141.02000000000001</v>
      </c>
      <c r="C60" s="20">
        <v>723.24</v>
      </c>
      <c r="D60" s="20">
        <v>141.63999999999999</v>
      </c>
      <c r="E60" s="20">
        <v>259.04000000000002</v>
      </c>
      <c r="F60" s="20">
        <v>39400.29</v>
      </c>
    </row>
    <row r="61" spans="1:6" ht="13.5" customHeight="1" x14ac:dyDescent="0.3">
      <c r="A61" s="21">
        <v>43549</v>
      </c>
      <c r="B61" s="22">
        <v>142.05000000000001</v>
      </c>
      <c r="C61" s="22">
        <v>729.58</v>
      </c>
      <c r="D61" s="22">
        <v>145</v>
      </c>
      <c r="E61" s="22">
        <v>254.54</v>
      </c>
      <c r="F61" s="22">
        <v>39894.39</v>
      </c>
    </row>
    <row r="62" spans="1:6" ht="13.5" customHeight="1" x14ac:dyDescent="0.3">
      <c r="A62" s="19">
        <v>43550</v>
      </c>
      <c r="B62" s="20">
        <v>143.74</v>
      </c>
      <c r="C62" s="20">
        <v>739.32</v>
      </c>
      <c r="D62" s="20">
        <v>145.25</v>
      </c>
      <c r="E62" s="20">
        <v>255.99</v>
      </c>
      <c r="F62" s="20">
        <v>40274.49</v>
      </c>
    </row>
    <row r="63" spans="1:6" ht="13.5" customHeight="1" x14ac:dyDescent="0.3">
      <c r="A63" s="21">
        <v>43551</v>
      </c>
      <c r="B63" s="22">
        <v>146.63</v>
      </c>
      <c r="C63" s="22">
        <v>734.27</v>
      </c>
      <c r="D63" s="22">
        <v>140.63999999999999</v>
      </c>
      <c r="E63" s="22">
        <v>256.07</v>
      </c>
      <c r="F63" s="22">
        <v>41023.449999999997</v>
      </c>
    </row>
    <row r="64" spans="1:6" ht="13.5" customHeight="1" x14ac:dyDescent="0.3">
      <c r="A64" s="19">
        <v>43552</v>
      </c>
      <c r="B64" s="20">
        <v>146.47999999999999</v>
      </c>
      <c r="C64" s="20">
        <v>727.86</v>
      </c>
      <c r="D64" s="20">
        <v>142.30000000000001</v>
      </c>
      <c r="E64" s="20">
        <v>264.19</v>
      </c>
      <c r="F64" s="20">
        <v>41376.199999999997</v>
      </c>
    </row>
    <row r="65" spans="1:6" ht="13.5" customHeight="1" x14ac:dyDescent="0.3">
      <c r="A65" s="21">
        <v>43553</v>
      </c>
      <c r="B65" s="22">
        <v>143.63999999999999</v>
      </c>
      <c r="C65" s="22">
        <v>722.34</v>
      </c>
      <c r="D65" s="22">
        <v>140</v>
      </c>
      <c r="E65" s="22">
        <v>267.35000000000002</v>
      </c>
      <c r="F65" s="22">
        <v>41603.370000000003</v>
      </c>
    </row>
    <row r="66" spans="1:6" ht="13.5" customHeight="1" x14ac:dyDescent="0.3">
      <c r="A66" s="19">
        <v>43556</v>
      </c>
      <c r="B66" s="20">
        <v>142.63</v>
      </c>
      <c r="C66" s="20">
        <v>727.68</v>
      </c>
      <c r="D66" s="20">
        <v>138.04</v>
      </c>
      <c r="E66" s="20">
        <v>269.92</v>
      </c>
      <c r="F66" s="20">
        <v>42195.6</v>
      </c>
    </row>
    <row r="67" spans="1:6" ht="13.5" customHeight="1" x14ac:dyDescent="0.3">
      <c r="A67" s="21">
        <v>43557</v>
      </c>
      <c r="B67" s="22">
        <v>144.56</v>
      </c>
      <c r="C67" s="22">
        <v>733.62</v>
      </c>
      <c r="D67" s="22">
        <v>141.28</v>
      </c>
      <c r="E67" s="22">
        <v>270.73</v>
      </c>
      <c r="F67" s="22">
        <v>41971.31</v>
      </c>
    </row>
    <row r="68" spans="1:6" ht="13.5" customHeight="1" x14ac:dyDescent="0.3">
      <c r="A68" s="19">
        <v>43558</v>
      </c>
      <c r="B68" s="20">
        <v>141.71</v>
      </c>
      <c r="C68" s="20">
        <v>733.81</v>
      </c>
      <c r="D68" s="20">
        <v>140.47</v>
      </c>
      <c r="E68" s="20">
        <v>273.52</v>
      </c>
      <c r="F68" s="20">
        <v>41708.019999999997</v>
      </c>
    </row>
    <row r="69" spans="1:6" ht="13.5" customHeight="1" x14ac:dyDescent="0.3">
      <c r="A69" s="21">
        <v>43559</v>
      </c>
      <c r="B69" s="22">
        <v>141.82</v>
      </c>
      <c r="C69" s="22">
        <v>716.59</v>
      </c>
      <c r="D69" s="22">
        <v>138.41</v>
      </c>
      <c r="E69" s="22">
        <v>266.47000000000003</v>
      </c>
      <c r="F69" s="22">
        <v>41055.040000000001</v>
      </c>
    </row>
    <row r="70" spans="1:6" ht="13.5" customHeight="1" x14ac:dyDescent="0.3">
      <c r="A70" s="19">
        <v>43560</v>
      </c>
      <c r="B70" s="20">
        <v>142.36000000000001</v>
      </c>
      <c r="C70" s="20">
        <v>703.24</v>
      </c>
      <c r="D70" s="20">
        <v>142.84</v>
      </c>
      <c r="E70" s="20">
        <v>259.27999999999997</v>
      </c>
      <c r="F70" s="20">
        <v>41425.72</v>
      </c>
    </row>
    <row r="71" spans="1:6" ht="13.5" customHeight="1" x14ac:dyDescent="0.3">
      <c r="A71" s="21">
        <v>43563</v>
      </c>
      <c r="B71" s="22">
        <v>141.79</v>
      </c>
      <c r="C71" s="22">
        <v>711.55</v>
      </c>
      <c r="D71" s="22">
        <v>144.99</v>
      </c>
      <c r="E71" s="22">
        <v>261.31</v>
      </c>
      <c r="F71" s="22">
        <v>41110.9</v>
      </c>
    </row>
    <row r="72" spans="1:6" ht="13.5" customHeight="1" x14ac:dyDescent="0.3">
      <c r="A72" s="19">
        <v>43564</v>
      </c>
      <c r="B72" s="20">
        <v>143.25</v>
      </c>
      <c r="C72" s="20">
        <v>696.65</v>
      </c>
      <c r="D72" s="20">
        <v>144.28</v>
      </c>
      <c r="E72" s="20">
        <v>263.41000000000003</v>
      </c>
      <c r="F72" s="20">
        <v>41244.22</v>
      </c>
    </row>
    <row r="73" spans="1:6" ht="13.5" customHeight="1" x14ac:dyDescent="0.3">
      <c r="A73" s="21">
        <v>43565</v>
      </c>
      <c r="B73" s="22">
        <v>144.44999999999999</v>
      </c>
      <c r="C73" s="22">
        <v>699.85</v>
      </c>
      <c r="D73" s="22">
        <v>142.54</v>
      </c>
      <c r="E73" s="22">
        <v>261.52</v>
      </c>
      <c r="F73" s="22">
        <v>41307.06</v>
      </c>
    </row>
    <row r="74" spans="1:6" ht="13.5" customHeight="1" x14ac:dyDescent="0.3">
      <c r="A74" s="19">
        <v>43566</v>
      </c>
      <c r="B74" s="20">
        <v>149.15</v>
      </c>
      <c r="C74" s="20">
        <v>695.81</v>
      </c>
      <c r="D74" s="20">
        <v>142.13999999999999</v>
      </c>
      <c r="E74" s="20">
        <v>251.77</v>
      </c>
      <c r="F74" s="20">
        <v>41163.519999999997</v>
      </c>
    </row>
    <row r="75" spans="1:6" ht="13.5" customHeight="1" x14ac:dyDescent="0.3">
      <c r="A75" s="21">
        <v>43567</v>
      </c>
      <c r="B75" s="22">
        <v>150.47</v>
      </c>
      <c r="C75" s="22">
        <v>688.83</v>
      </c>
      <c r="D75" s="22">
        <v>145.72999999999999</v>
      </c>
      <c r="E75" s="22">
        <v>246.72</v>
      </c>
      <c r="F75" s="22">
        <v>40989.519999999997</v>
      </c>
    </row>
    <row r="76" spans="1:6" ht="13.5" customHeight="1" x14ac:dyDescent="0.3">
      <c r="A76" s="19">
        <v>43570</v>
      </c>
      <c r="B76" s="20">
        <v>149.25</v>
      </c>
      <c r="C76" s="20">
        <v>689.57</v>
      </c>
      <c r="D76" s="20">
        <v>143.53</v>
      </c>
      <c r="E76" s="20">
        <v>249.34</v>
      </c>
      <c r="F76" s="20">
        <v>41464.6</v>
      </c>
    </row>
    <row r="77" spans="1:6" ht="13.5" customHeight="1" x14ac:dyDescent="0.3">
      <c r="A77" s="21">
        <v>43571</v>
      </c>
      <c r="B77" s="22">
        <v>148.13999999999999</v>
      </c>
      <c r="C77" s="22">
        <v>710.37</v>
      </c>
      <c r="D77" s="22">
        <v>140.71</v>
      </c>
      <c r="E77" s="22">
        <v>250.06</v>
      </c>
      <c r="F77" s="22">
        <v>42242.18</v>
      </c>
    </row>
    <row r="78" spans="1:6" ht="13.5" customHeight="1" x14ac:dyDescent="0.3">
      <c r="A78" s="19">
        <v>43572</v>
      </c>
      <c r="B78" s="20">
        <v>146.47999999999999</v>
      </c>
      <c r="C78" s="20">
        <v>714.41</v>
      </c>
      <c r="D78" s="20">
        <v>143.59</v>
      </c>
      <c r="E78" s="20">
        <v>247.15</v>
      </c>
      <c r="F78" s="20">
        <v>42056.4</v>
      </c>
    </row>
    <row r="79" spans="1:6" ht="13.5" customHeight="1" x14ac:dyDescent="0.3">
      <c r="A79" s="21">
        <v>43573</v>
      </c>
      <c r="B79" s="22">
        <v>148.46</v>
      </c>
      <c r="C79" s="22">
        <v>711.11</v>
      </c>
      <c r="D79" s="22">
        <v>143.01</v>
      </c>
      <c r="E79" s="22">
        <v>242.93</v>
      </c>
      <c r="F79" s="22">
        <v>41699.269999999997</v>
      </c>
    </row>
    <row r="80" spans="1:6" ht="13.5" customHeight="1" x14ac:dyDescent="0.3">
      <c r="A80" s="19">
        <v>43574</v>
      </c>
      <c r="B80" s="20">
        <v>147.34</v>
      </c>
      <c r="C80" s="20">
        <v>693.05</v>
      </c>
      <c r="D80" s="20">
        <v>143.29</v>
      </c>
      <c r="E80" s="20">
        <v>244.26</v>
      </c>
      <c r="F80" s="20">
        <v>42626.18</v>
      </c>
    </row>
    <row r="81" spans="1:6" ht="13.5" customHeight="1" x14ac:dyDescent="0.3">
      <c r="A81" s="21">
        <v>43577</v>
      </c>
      <c r="B81" s="22">
        <v>147.24</v>
      </c>
      <c r="C81" s="22">
        <v>699.73</v>
      </c>
      <c r="D81" s="22">
        <v>144.53</v>
      </c>
      <c r="E81" s="22">
        <v>243.68</v>
      </c>
      <c r="F81" s="22">
        <v>42684.94</v>
      </c>
    </row>
    <row r="82" spans="1:6" ht="13.5" customHeight="1" x14ac:dyDescent="0.3">
      <c r="A82" s="19">
        <v>43578</v>
      </c>
      <c r="B82" s="20">
        <v>148.82</v>
      </c>
      <c r="C82" s="20">
        <v>714.17</v>
      </c>
      <c r="D82" s="20">
        <v>143.69999999999999</v>
      </c>
      <c r="E82" s="20">
        <v>243.07</v>
      </c>
      <c r="F82" s="20">
        <v>42430.34</v>
      </c>
    </row>
    <row r="83" spans="1:6" ht="13.5" customHeight="1" x14ac:dyDescent="0.3">
      <c r="A83" s="21">
        <v>43579</v>
      </c>
      <c r="B83" s="22">
        <v>147.37</v>
      </c>
      <c r="C83" s="22">
        <v>722.25</v>
      </c>
      <c r="D83" s="22">
        <v>138.27000000000001</v>
      </c>
      <c r="E83" s="22">
        <v>240.87</v>
      </c>
      <c r="F83" s="22">
        <v>42286.61</v>
      </c>
    </row>
    <row r="84" spans="1:6" ht="13.5" customHeight="1" x14ac:dyDescent="0.3">
      <c r="A84" s="19">
        <v>43580</v>
      </c>
      <c r="B84" s="20">
        <v>146.82</v>
      </c>
      <c r="C84" s="20">
        <v>737.53</v>
      </c>
      <c r="D84" s="20">
        <v>137.87</v>
      </c>
      <c r="E84" s="20">
        <v>241.66</v>
      </c>
      <c r="F84" s="20">
        <v>42711.6</v>
      </c>
    </row>
    <row r="85" spans="1:6" ht="13.5" customHeight="1" x14ac:dyDescent="0.3">
      <c r="A85" s="21">
        <v>43581</v>
      </c>
      <c r="B85" s="22">
        <v>143.12</v>
      </c>
      <c r="C85" s="22">
        <v>744.17</v>
      </c>
      <c r="D85" s="22">
        <v>140.61000000000001</v>
      </c>
      <c r="E85" s="22">
        <v>243.07</v>
      </c>
      <c r="F85" s="22">
        <v>42684.95</v>
      </c>
    </row>
    <row r="86" spans="1:6" ht="13.5" customHeight="1" x14ac:dyDescent="0.3">
      <c r="A86" s="19">
        <v>43584</v>
      </c>
      <c r="B86" s="20">
        <v>141.02000000000001</v>
      </c>
      <c r="C86" s="20">
        <v>727.51</v>
      </c>
      <c r="D86" s="20">
        <v>145.47999999999999</v>
      </c>
      <c r="E86" s="20">
        <v>240.31</v>
      </c>
      <c r="F86" s="20">
        <v>42745.45</v>
      </c>
    </row>
    <row r="87" spans="1:6" ht="13.5" customHeight="1" x14ac:dyDescent="0.3">
      <c r="A87" s="21">
        <v>43585</v>
      </c>
      <c r="B87" s="22">
        <v>139.94999999999999</v>
      </c>
      <c r="C87" s="22">
        <v>727.36</v>
      </c>
      <c r="D87" s="22">
        <v>145.27000000000001</v>
      </c>
      <c r="E87" s="22">
        <v>247.97</v>
      </c>
      <c r="F87" s="22">
        <v>42135.78</v>
      </c>
    </row>
    <row r="88" spans="1:6" ht="13.5" customHeight="1" x14ac:dyDescent="0.3">
      <c r="A88" s="19">
        <v>43586</v>
      </c>
      <c r="B88" s="20">
        <v>140.80000000000001</v>
      </c>
      <c r="C88" s="20">
        <v>734.53</v>
      </c>
      <c r="D88" s="20">
        <v>145.26</v>
      </c>
      <c r="E88" s="20">
        <v>245.33</v>
      </c>
      <c r="F88" s="20">
        <v>41778.949999999997</v>
      </c>
    </row>
    <row r="89" spans="1:6" ht="13.5" customHeight="1" x14ac:dyDescent="0.3">
      <c r="A89" s="21">
        <v>43587</v>
      </c>
      <c r="B89" s="22">
        <v>143.18</v>
      </c>
      <c r="C89" s="22">
        <v>744.31</v>
      </c>
      <c r="D89" s="22">
        <v>148.44</v>
      </c>
      <c r="E89" s="22">
        <v>246.22</v>
      </c>
      <c r="F89" s="22">
        <v>42321.23</v>
      </c>
    </row>
    <row r="90" spans="1:6" ht="13.5" customHeight="1" x14ac:dyDescent="0.3">
      <c r="A90" s="19">
        <v>43588</v>
      </c>
      <c r="B90" s="20">
        <v>143.19</v>
      </c>
      <c r="C90" s="20">
        <v>738.28</v>
      </c>
      <c r="D90" s="20">
        <v>149.88999999999999</v>
      </c>
      <c r="E90" s="20">
        <v>239.12</v>
      </c>
      <c r="F90" s="20">
        <v>42537.5</v>
      </c>
    </row>
    <row r="91" spans="1:6" ht="13.5" customHeight="1" x14ac:dyDescent="0.3">
      <c r="A91" s="21">
        <v>43591</v>
      </c>
      <c r="B91" s="22">
        <v>143.75</v>
      </c>
      <c r="C91" s="22">
        <v>737.89</v>
      </c>
      <c r="D91" s="22">
        <v>150.65</v>
      </c>
      <c r="E91" s="22">
        <v>234.72</v>
      </c>
      <c r="F91" s="22">
        <v>43039.33</v>
      </c>
    </row>
    <row r="92" spans="1:6" ht="13.5" customHeight="1" x14ac:dyDescent="0.3">
      <c r="A92" s="19">
        <v>43592</v>
      </c>
      <c r="B92" s="20">
        <v>144.13</v>
      </c>
      <c r="C92" s="20">
        <v>743.09</v>
      </c>
      <c r="D92" s="20">
        <v>146.02000000000001</v>
      </c>
      <c r="E92" s="20">
        <v>238.91</v>
      </c>
      <c r="F92" s="20">
        <v>42224.22</v>
      </c>
    </row>
    <row r="93" spans="1:6" ht="13.5" customHeight="1" x14ac:dyDescent="0.3">
      <c r="A93" s="21">
        <v>43593</v>
      </c>
      <c r="B93" s="22">
        <v>146.34</v>
      </c>
      <c r="C93" s="22">
        <v>760.2</v>
      </c>
      <c r="D93" s="22">
        <v>145.12</v>
      </c>
      <c r="E93" s="22">
        <v>242.31</v>
      </c>
      <c r="F93" s="22">
        <v>41960.69</v>
      </c>
    </row>
    <row r="94" spans="1:6" ht="13.5" customHeight="1" x14ac:dyDescent="0.3">
      <c r="A94" s="19">
        <v>43594</v>
      </c>
      <c r="B94" s="20">
        <v>148.19999999999999</v>
      </c>
      <c r="C94" s="20">
        <v>774.13</v>
      </c>
      <c r="D94" s="20">
        <v>145.66</v>
      </c>
      <c r="E94" s="20">
        <v>243.41</v>
      </c>
      <c r="F94" s="20">
        <v>42123.25</v>
      </c>
    </row>
    <row r="95" spans="1:6" ht="13.5" customHeight="1" x14ac:dyDescent="0.3">
      <c r="A95" s="21">
        <v>43595</v>
      </c>
      <c r="B95" s="22">
        <v>148.81</v>
      </c>
      <c r="C95" s="22">
        <v>783.42</v>
      </c>
      <c r="D95" s="22">
        <v>142.25</v>
      </c>
      <c r="E95" s="22">
        <v>240.43</v>
      </c>
      <c r="F95" s="22">
        <v>42458.77</v>
      </c>
    </row>
    <row r="96" spans="1:6" ht="13.5" customHeight="1" x14ac:dyDescent="0.3">
      <c r="A96" s="19">
        <v>43598</v>
      </c>
      <c r="B96" s="20">
        <v>146.77000000000001</v>
      </c>
      <c r="C96" s="20">
        <v>789.36</v>
      </c>
      <c r="D96" s="20">
        <v>141.47999999999999</v>
      </c>
      <c r="E96" s="20">
        <v>242.15</v>
      </c>
      <c r="F96" s="20">
        <v>43476.04</v>
      </c>
    </row>
    <row r="97" spans="1:6" ht="13.5" customHeight="1" x14ac:dyDescent="0.3">
      <c r="A97" s="21">
        <v>43599</v>
      </c>
      <c r="B97" s="22">
        <v>148.66</v>
      </c>
      <c r="C97" s="22">
        <v>775.55</v>
      </c>
      <c r="D97" s="22">
        <v>145.35</v>
      </c>
      <c r="E97" s="22">
        <v>237.72</v>
      </c>
      <c r="F97" s="22">
        <v>43590.61</v>
      </c>
    </row>
    <row r="98" spans="1:6" ht="13.5" customHeight="1" x14ac:dyDescent="0.3">
      <c r="A98" s="19">
        <v>43600</v>
      </c>
      <c r="B98" s="20">
        <v>149.49</v>
      </c>
      <c r="C98" s="20">
        <v>760.95</v>
      </c>
      <c r="D98" s="20">
        <v>144.82</v>
      </c>
      <c r="E98" s="20">
        <v>242.64</v>
      </c>
      <c r="F98" s="20">
        <v>43165.37</v>
      </c>
    </row>
    <row r="99" spans="1:6" ht="13.5" customHeight="1" x14ac:dyDescent="0.3">
      <c r="A99" s="21">
        <v>43601</v>
      </c>
      <c r="B99" s="22">
        <v>152.08000000000001</v>
      </c>
      <c r="C99" s="22">
        <v>760.17</v>
      </c>
      <c r="D99" s="22">
        <v>141.6</v>
      </c>
      <c r="E99" s="22">
        <v>230.7</v>
      </c>
      <c r="F99" s="22">
        <v>42808.67</v>
      </c>
    </row>
    <row r="100" spans="1:6" ht="13.5" customHeight="1" x14ac:dyDescent="0.3">
      <c r="A100" s="19">
        <v>43602</v>
      </c>
      <c r="B100" s="20">
        <v>152.06</v>
      </c>
      <c r="C100" s="20">
        <v>774.59</v>
      </c>
      <c r="D100" s="20">
        <v>137.44999999999999</v>
      </c>
      <c r="E100" s="20">
        <v>229.13</v>
      </c>
      <c r="F100" s="20">
        <v>42173.54</v>
      </c>
    </row>
    <row r="101" spans="1:6" ht="13.5" customHeight="1" x14ac:dyDescent="0.3">
      <c r="A101" s="21">
        <v>43605</v>
      </c>
      <c r="B101" s="22">
        <v>156.22999999999999</v>
      </c>
      <c r="C101" s="22">
        <v>780.45</v>
      </c>
      <c r="D101" s="22">
        <v>137.47999999999999</v>
      </c>
      <c r="E101" s="22">
        <v>225.79</v>
      </c>
      <c r="F101" s="22">
        <v>42831.58</v>
      </c>
    </row>
    <row r="102" spans="1:6" ht="13.5" customHeight="1" x14ac:dyDescent="0.3">
      <c r="A102" s="19">
        <v>43606</v>
      </c>
      <c r="B102" s="20">
        <v>155.5</v>
      </c>
      <c r="C102" s="20">
        <v>788.64</v>
      </c>
      <c r="D102" s="20">
        <v>136.28</v>
      </c>
      <c r="E102" s="20">
        <v>231.42</v>
      </c>
      <c r="F102" s="20">
        <v>42772.39</v>
      </c>
    </row>
    <row r="103" spans="1:6" ht="13.5" customHeight="1" x14ac:dyDescent="0.3">
      <c r="A103" s="21">
        <v>43607</v>
      </c>
      <c r="B103" s="22">
        <v>158.97999999999999</v>
      </c>
      <c r="C103" s="22">
        <v>768.22</v>
      </c>
      <c r="D103" s="22">
        <v>134.47</v>
      </c>
      <c r="E103" s="22">
        <v>230.67</v>
      </c>
      <c r="F103" s="22">
        <v>42476.57</v>
      </c>
    </row>
    <row r="104" spans="1:6" ht="13.5" customHeight="1" x14ac:dyDescent="0.3">
      <c r="A104" s="19">
        <v>43608</v>
      </c>
      <c r="B104" s="20">
        <v>159.29</v>
      </c>
      <c r="C104" s="20">
        <v>748.88</v>
      </c>
      <c r="D104" s="20">
        <v>135.01</v>
      </c>
      <c r="E104" s="20">
        <v>236.17</v>
      </c>
      <c r="F104" s="20">
        <v>43044.26</v>
      </c>
    </row>
    <row r="105" spans="1:6" ht="13.5" customHeight="1" x14ac:dyDescent="0.3">
      <c r="A105" s="21">
        <v>43609</v>
      </c>
      <c r="B105" s="22">
        <v>158.19999999999999</v>
      </c>
      <c r="C105" s="22">
        <v>764.11</v>
      </c>
      <c r="D105" s="22">
        <v>135.66999999999999</v>
      </c>
      <c r="E105" s="22">
        <v>242.73</v>
      </c>
      <c r="F105" s="22">
        <v>43716.9</v>
      </c>
    </row>
    <row r="106" spans="1:6" ht="13.5" customHeight="1" x14ac:dyDescent="0.3">
      <c r="A106" s="19">
        <v>43612</v>
      </c>
      <c r="B106" s="20">
        <v>155.77000000000001</v>
      </c>
      <c r="C106" s="20">
        <v>764.1</v>
      </c>
      <c r="D106" s="20">
        <v>136.1</v>
      </c>
      <c r="E106" s="20">
        <v>244.94</v>
      </c>
      <c r="F106" s="20">
        <v>43574.75</v>
      </c>
    </row>
    <row r="107" spans="1:6" ht="13.5" customHeight="1" x14ac:dyDescent="0.3">
      <c r="A107" s="21">
        <v>43613</v>
      </c>
      <c r="B107" s="22">
        <v>155.5</v>
      </c>
      <c r="C107" s="22">
        <v>746.85</v>
      </c>
      <c r="D107" s="22">
        <v>136.9</v>
      </c>
      <c r="E107" s="22">
        <v>237.47</v>
      </c>
      <c r="F107" s="22">
        <v>43333.82</v>
      </c>
    </row>
    <row r="108" spans="1:6" ht="13.5" customHeight="1" x14ac:dyDescent="0.3">
      <c r="A108" s="19">
        <v>43614</v>
      </c>
      <c r="B108" s="20">
        <v>158.61000000000001</v>
      </c>
      <c r="C108" s="20">
        <v>758.92</v>
      </c>
      <c r="D108" s="20">
        <v>134.31</v>
      </c>
      <c r="E108" s="20">
        <v>234.2</v>
      </c>
      <c r="F108" s="20">
        <v>43492.26</v>
      </c>
    </row>
    <row r="109" spans="1:6" ht="13.5" customHeight="1" x14ac:dyDescent="0.3">
      <c r="A109" s="21">
        <v>43615</v>
      </c>
      <c r="B109" s="22">
        <v>160.46</v>
      </c>
      <c r="C109" s="22">
        <v>762.82</v>
      </c>
      <c r="D109" s="22">
        <v>133</v>
      </c>
      <c r="E109" s="22">
        <v>232.1</v>
      </c>
      <c r="F109" s="22">
        <v>42673.23</v>
      </c>
    </row>
    <row r="110" spans="1:6" ht="13.5" customHeight="1" x14ac:dyDescent="0.3">
      <c r="A110" s="19">
        <v>43616</v>
      </c>
      <c r="B110" s="20">
        <v>162.04</v>
      </c>
      <c r="C110" s="20">
        <v>802.99</v>
      </c>
      <c r="D110" s="20">
        <v>132.37</v>
      </c>
      <c r="E110" s="20">
        <v>233.97</v>
      </c>
      <c r="F110" s="20">
        <v>42930.26</v>
      </c>
    </row>
    <row r="111" spans="1:6" ht="13.5" customHeight="1" x14ac:dyDescent="0.3">
      <c r="A111" s="21">
        <v>43619</v>
      </c>
      <c r="B111" s="22">
        <v>156.76</v>
      </c>
      <c r="C111" s="22">
        <v>821.17</v>
      </c>
      <c r="D111" s="22">
        <v>132.31</v>
      </c>
      <c r="E111" s="22">
        <v>235.76</v>
      </c>
      <c r="F111" s="22">
        <v>43276.25</v>
      </c>
    </row>
    <row r="112" spans="1:6" ht="13.5" customHeight="1" x14ac:dyDescent="0.3">
      <c r="A112" s="19">
        <v>43620</v>
      </c>
      <c r="B112" s="20">
        <v>158.35</v>
      </c>
      <c r="C112" s="20">
        <v>826.68</v>
      </c>
      <c r="D112" s="20">
        <v>134.43</v>
      </c>
      <c r="E112" s="20">
        <v>229.95</v>
      </c>
      <c r="F112" s="20">
        <v>43382.2</v>
      </c>
    </row>
    <row r="113" spans="1:6" ht="13.5" customHeight="1" x14ac:dyDescent="0.3">
      <c r="A113" s="21">
        <v>43621</v>
      </c>
      <c r="B113" s="22">
        <v>159.62</v>
      </c>
      <c r="C113" s="22">
        <v>824.97</v>
      </c>
      <c r="D113" s="22">
        <v>132.94</v>
      </c>
      <c r="E113" s="22">
        <v>233.47</v>
      </c>
      <c r="F113" s="22">
        <v>43747.06</v>
      </c>
    </row>
    <row r="114" spans="1:6" ht="13.5" customHeight="1" x14ac:dyDescent="0.3">
      <c r="A114" s="19">
        <v>43622</v>
      </c>
      <c r="B114" s="20">
        <v>158.46</v>
      </c>
      <c r="C114" s="20">
        <v>828.84</v>
      </c>
      <c r="D114" s="20">
        <v>131.37</v>
      </c>
      <c r="E114" s="20">
        <v>229.1</v>
      </c>
      <c r="F114" s="20">
        <v>43770.87</v>
      </c>
    </row>
    <row r="115" spans="1:6" ht="13.5" customHeight="1" x14ac:dyDescent="0.3">
      <c r="A115" s="21">
        <v>43623</v>
      </c>
      <c r="B115" s="22">
        <v>157.13</v>
      </c>
      <c r="C115" s="22">
        <v>827.83</v>
      </c>
      <c r="D115" s="22">
        <v>134.49</v>
      </c>
      <c r="E115" s="22">
        <v>227.68</v>
      </c>
      <c r="F115" s="22">
        <v>43872.31</v>
      </c>
    </row>
    <row r="116" spans="1:6" ht="13.5" customHeight="1" x14ac:dyDescent="0.3">
      <c r="A116" s="19">
        <v>43626</v>
      </c>
      <c r="B116" s="20">
        <v>157.16999999999999</v>
      </c>
      <c r="C116" s="20">
        <v>807.32</v>
      </c>
      <c r="D116" s="20">
        <v>134.88</v>
      </c>
      <c r="E116" s="20">
        <v>228.9</v>
      </c>
      <c r="F116" s="20">
        <v>44578.36</v>
      </c>
    </row>
    <row r="117" spans="1:6" ht="13.5" customHeight="1" x14ac:dyDescent="0.3">
      <c r="A117" s="21">
        <v>43627</v>
      </c>
      <c r="B117" s="22">
        <v>160.97999999999999</v>
      </c>
      <c r="C117" s="22">
        <v>821.01</v>
      </c>
      <c r="D117" s="22">
        <v>131.97</v>
      </c>
      <c r="E117" s="22">
        <v>228.44</v>
      </c>
      <c r="F117" s="22">
        <v>44651.040000000001</v>
      </c>
    </row>
    <row r="118" spans="1:6" ht="13.5" customHeight="1" x14ac:dyDescent="0.3">
      <c r="A118" s="19">
        <v>43628</v>
      </c>
      <c r="B118" s="20">
        <v>158.68</v>
      </c>
      <c r="C118" s="20">
        <v>825.48</v>
      </c>
      <c r="D118" s="20">
        <v>131.37</v>
      </c>
      <c r="E118" s="20">
        <v>235.32</v>
      </c>
      <c r="F118" s="20">
        <v>45489.67</v>
      </c>
    </row>
    <row r="119" spans="1:6" ht="13.5" customHeight="1" x14ac:dyDescent="0.3">
      <c r="A119" s="21">
        <v>43629</v>
      </c>
      <c r="B119" s="22">
        <v>157.79</v>
      </c>
      <c r="C119" s="22">
        <v>785.86</v>
      </c>
      <c r="D119" s="22">
        <v>128.87</v>
      </c>
      <c r="E119" s="22">
        <v>240.5</v>
      </c>
      <c r="F119" s="22">
        <v>45948.46</v>
      </c>
    </row>
    <row r="120" spans="1:6" ht="13.5" customHeight="1" x14ac:dyDescent="0.3">
      <c r="A120" s="19">
        <v>43630</v>
      </c>
      <c r="B120" s="20">
        <v>160.81</v>
      </c>
      <c r="C120" s="20">
        <v>777.52</v>
      </c>
      <c r="D120" s="20">
        <v>126.61</v>
      </c>
      <c r="E120" s="20">
        <v>234.62</v>
      </c>
      <c r="F120" s="20">
        <v>45827.62</v>
      </c>
    </row>
    <row r="121" spans="1:6" ht="13.5" customHeight="1" x14ac:dyDescent="0.3">
      <c r="A121" s="21">
        <v>43633</v>
      </c>
      <c r="B121" s="22">
        <v>159.87</v>
      </c>
      <c r="C121" s="22">
        <v>766.61</v>
      </c>
      <c r="D121" s="22">
        <v>124</v>
      </c>
      <c r="E121" s="22">
        <v>229.74</v>
      </c>
      <c r="F121" s="22">
        <v>45822.05</v>
      </c>
    </row>
    <row r="122" spans="1:6" ht="13.5" customHeight="1" x14ac:dyDescent="0.3">
      <c r="A122" s="19">
        <v>43634</v>
      </c>
      <c r="B122" s="20">
        <v>159.12</v>
      </c>
      <c r="C122" s="20">
        <v>780.33</v>
      </c>
      <c r="D122" s="20">
        <v>122.5</v>
      </c>
      <c r="E122" s="20">
        <v>234.84</v>
      </c>
      <c r="F122" s="20">
        <v>45486.85</v>
      </c>
    </row>
    <row r="123" spans="1:6" ht="13.5" customHeight="1" x14ac:dyDescent="0.3">
      <c r="A123" s="21">
        <v>43635</v>
      </c>
      <c r="B123" s="22">
        <v>159.38</v>
      </c>
      <c r="C123" s="22">
        <v>780.19</v>
      </c>
      <c r="D123" s="22">
        <v>126.52</v>
      </c>
      <c r="E123" s="22">
        <v>235.46</v>
      </c>
      <c r="F123" s="22">
        <v>46130.73</v>
      </c>
    </row>
    <row r="124" spans="1:6" ht="13.5" customHeight="1" x14ac:dyDescent="0.3">
      <c r="A124" s="19">
        <v>43636</v>
      </c>
      <c r="B124" s="20">
        <v>156.69</v>
      </c>
      <c r="C124" s="20">
        <v>801.12</v>
      </c>
      <c r="D124" s="20">
        <v>128.58000000000001</v>
      </c>
      <c r="E124" s="20">
        <v>238.37</v>
      </c>
      <c r="F124" s="20">
        <v>47599.18</v>
      </c>
    </row>
    <row r="125" spans="1:6" ht="13.5" customHeight="1" x14ac:dyDescent="0.3">
      <c r="A125" s="21">
        <v>43637</v>
      </c>
      <c r="B125" s="22">
        <v>157.22</v>
      </c>
      <c r="C125" s="22">
        <v>779.11</v>
      </c>
      <c r="D125" s="22">
        <v>131.43</v>
      </c>
      <c r="E125" s="22">
        <v>238.59</v>
      </c>
      <c r="F125" s="22">
        <v>47478.67</v>
      </c>
    </row>
    <row r="126" spans="1:6" ht="13.5" customHeight="1" x14ac:dyDescent="0.3">
      <c r="A126" s="19">
        <v>43640</v>
      </c>
      <c r="B126" s="20">
        <v>154.63</v>
      </c>
      <c r="C126" s="20">
        <v>764.79</v>
      </c>
      <c r="D126" s="20">
        <v>133.72999999999999</v>
      </c>
      <c r="E126" s="20">
        <v>244.26</v>
      </c>
      <c r="F126" s="20">
        <v>47655.57</v>
      </c>
    </row>
    <row r="127" spans="1:6" ht="13.5" customHeight="1" x14ac:dyDescent="0.3">
      <c r="A127" s="21">
        <v>43641</v>
      </c>
      <c r="B127" s="22">
        <v>156.58000000000001</v>
      </c>
      <c r="C127" s="22">
        <v>779.64</v>
      </c>
      <c r="D127" s="22">
        <v>133.5</v>
      </c>
      <c r="E127" s="22">
        <v>247.93</v>
      </c>
      <c r="F127" s="22">
        <v>47935.19</v>
      </c>
    </row>
    <row r="128" spans="1:6" ht="13.5" customHeight="1" x14ac:dyDescent="0.3">
      <c r="A128" s="19">
        <v>43642</v>
      </c>
      <c r="B128" s="20">
        <v>156.63</v>
      </c>
      <c r="C128" s="20">
        <v>771.1</v>
      </c>
      <c r="D128" s="20">
        <v>134.4</v>
      </c>
      <c r="E128" s="20">
        <v>251.74</v>
      </c>
      <c r="F128" s="20">
        <v>48002.73</v>
      </c>
    </row>
    <row r="129" spans="1:6" ht="13.5" customHeight="1" x14ac:dyDescent="0.3">
      <c r="A129" s="21">
        <v>43643</v>
      </c>
      <c r="B129" s="22">
        <v>161.63999999999999</v>
      </c>
      <c r="C129" s="22">
        <v>757.16</v>
      </c>
      <c r="D129" s="22">
        <v>134.68</v>
      </c>
      <c r="E129" s="22">
        <v>248.64</v>
      </c>
      <c r="F129" s="22">
        <v>47929.61</v>
      </c>
    </row>
    <row r="130" spans="1:6" ht="13.5" customHeight="1" x14ac:dyDescent="0.3">
      <c r="A130" s="19">
        <v>43644</v>
      </c>
      <c r="B130" s="20">
        <v>162.32</v>
      </c>
      <c r="C130" s="20">
        <v>750.57</v>
      </c>
      <c r="D130" s="20">
        <v>132.46</v>
      </c>
      <c r="E130" s="20">
        <v>251.61</v>
      </c>
      <c r="F130" s="20">
        <v>48292.52</v>
      </c>
    </row>
    <row r="131" spans="1:6" ht="13.5" customHeight="1" x14ac:dyDescent="0.3">
      <c r="A131" s="21">
        <v>43647</v>
      </c>
      <c r="B131" s="22">
        <v>165.45</v>
      </c>
      <c r="C131" s="22">
        <v>740.96</v>
      </c>
      <c r="D131" s="22">
        <v>130.09</v>
      </c>
      <c r="E131" s="22">
        <v>244.07</v>
      </c>
      <c r="F131" s="22">
        <v>47509.06</v>
      </c>
    </row>
    <row r="132" spans="1:6" ht="13.5" customHeight="1" x14ac:dyDescent="0.3">
      <c r="A132" s="19">
        <v>43648</v>
      </c>
      <c r="B132" s="20">
        <v>162.51</v>
      </c>
      <c r="C132" s="20">
        <v>748.45</v>
      </c>
      <c r="D132" s="20">
        <v>131.99</v>
      </c>
      <c r="E132" s="20">
        <v>243.08</v>
      </c>
      <c r="F132" s="20">
        <v>47055.57</v>
      </c>
    </row>
    <row r="133" spans="1:6" ht="13.5" customHeight="1" x14ac:dyDescent="0.3">
      <c r="A133" s="21">
        <v>43649</v>
      </c>
      <c r="B133" s="22">
        <v>162.29</v>
      </c>
      <c r="C133" s="22">
        <v>763.66</v>
      </c>
      <c r="D133" s="22">
        <v>129.51</v>
      </c>
      <c r="E133" s="22">
        <v>240.28</v>
      </c>
      <c r="F133" s="22">
        <v>47198.41</v>
      </c>
    </row>
    <row r="134" spans="1:6" ht="13.5" customHeight="1" x14ac:dyDescent="0.3">
      <c r="A134" s="19">
        <v>43650</v>
      </c>
      <c r="B134" s="20">
        <v>163.06</v>
      </c>
      <c r="C134" s="20">
        <v>742.74</v>
      </c>
      <c r="D134" s="20">
        <v>129.97</v>
      </c>
      <c r="E134" s="20">
        <v>236.86</v>
      </c>
      <c r="F134" s="20">
        <v>47251.06</v>
      </c>
    </row>
    <row r="135" spans="1:6" ht="13.5" customHeight="1" x14ac:dyDescent="0.3">
      <c r="A135" s="21">
        <v>43651</v>
      </c>
      <c r="B135" s="22">
        <v>167.06</v>
      </c>
      <c r="C135" s="22">
        <v>739.37</v>
      </c>
      <c r="D135" s="22">
        <v>131.35</v>
      </c>
      <c r="E135" s="22">
        <v>232.78</v>
      </c>
      <c r="F135" s="22">
        <v>47374.65</v>
      </c>
    </row>
    <row r="136" spans="1:6" ht="13.5" customHeight="1" x14ac:dyDescent="0.3">
      <c r="A136" s="19">
        <v>43654</v>
      </c>
      <c r="B136" s="20">
        <v>163.22</v>
      </c>
      <c r="C136" s="20">
        <v>740</v>
      </c>
      <c r="D136" s="20">
        <v>132.96</v>
      </c>
      <c r="E136" s="20">
        <v>224.06</v>
      </c>
      <c r="F136" s="20">
        <v>47706.18</v>
      </c>
    </row>
    <row r="137" spans="1:6" ht="13.5" customHeight="1" x14ac:dyDescent="0.3">
      <c r="A137" s="21">
        <v>43655</v>
      </c>
      <c r="B137" s="22">
        <v>165.52</v>
      </c>
      <c r="C137" s="22">
        <v>741.51</v>
      </c>
      <c r="D137" s="22">
        <v>133.79</v>
      </c>
      <c r="E137" s="22">
        <v>229.41</v>
      </c>
      <c r="F137" s="22">
        <v>48370.96</v>
      </c>
    </row>
    <row r="138" spans="1:6" ht="13.5" customHeight="1" x14ac:dyDescent="0.3">
      <c r="A138" s="19">
        <v>43656</v>
      </c>
      <c r="B138" s="20">
        <v>166.92</v>
      </c>
      <c r="C138" s="20">
        <v>752.85</v>
      </c>
      <c r="D138" s="20">
        <v>131.31</v>
      </c>
      <c r="E138" s="20">
        <v>228.6</v>
      </c>
      <c r="F138" s="20">
        <v>47812.01</v>
      </c>
    </row>
    <row r="139" spans="1:6" ht="13.5" customHeight="1" x14ac:dyDescent="0.3">
      <c r="A139" s="21">
        <v>43657</v>
      </c>
      <c r="B139" s="22">
        <v>170.52</v>
      </c>
      <c r="C139" s="22">
        <v>754.89</v>
      </c>
      <c r="D139" s="22">
        <v>132.47999999999999</v>
      </c>
      <c r="E139" s="22">
        <v>227.94</v>
      </c>
      <c r="F139" s="22">
        <v>47460.34</v>
      </c>
    </row>
    <row r="140" spans="1:6" ht="13.5" customHeight="1" x14ac:dyDescent="0.3">
      <c r="A140" s="19">
        <v>43658</v>
      </c>
      <c r="B140" s="20">
        <v>172.26</v>
      </c>
      <c r="C140" s="20">
        <v>747.62</v>
      </c>
      <c r="D140" s="20">
        <v>132.25</v>
      </c>
      <c r="E140" s="20">
        <v>230.21</v>
      </c>
      <c r="F140" s="20">
        <v>48055.53</v>
      </c>
    </row>
    <row r="141" spans="1:6" ht="13.5" customHeight="1" x14ac:dyDescent="0.3">
      <c r="A141" s="21">
        <v>43661</v>
      </c>
      <c r="B141" s="22">
        <v>172.44</v>
      </c>
      <c r="C141" s="22">
        <v>733.4</v>
      </c>
      <c r="D141" s="22">
        <v>130.26</v>
      </c>
      <c r="E141" s="22">
        <v>234.95</v>
      </c>
      <c r="F141" s="22">
        <v>48121.99</v>
      </c>
    </row>
    <row r="142" spans="1:6" ht="13.5" customHeight="1" x14ac:dyDescent="0.3">
      <c r="A142" s="19">
        <v>43662</v>
      </c>
      <c r="B142" s="20">
        <v>171.25</v>
      </c>
      <c r="C142" s="20">
        <v>710.23</v>
      </c>
      <c r="D142" s="20">
        <v>126.24</v>
      </c>
      <c r="E142" s="20">
        <v>241</v>
      </c>
      <c r="F142" s="20">
        <v>48241.65</v>
      </c>
    </row>
    <row r="143" spans="1:6" ht="13.5" customHeight="1" x14ac:dyDescent="0.3">
      <c r="A143" s="21">
        <v>43663</v>
      </c>
      <c r="B143" s="22">
        <v>168.34</v>
      </c>
      <c r="C143" s="22">
        <v>706.01</v>
      </c>
      <c r="D143" s="22">
        <v>127.18</v>
      </c>
      <c r="E143" s="22">
        <v>239.15</v>
      </c>
      <c r="F143" s="22">
        <v>48921.33</v>
      </c>
    </row>
    <row r="144" spans="1:6" ht="13.5" customHeight="1" x14ac:dyDescent="0.3">
      <c r="A144" s="19">
        <v>43664</v>
      </c>
      <c r="B144" s="20">
        <v>168.85</v>
      </c>
      <c r="C144" s="20">
        <v>706.61</v>
      </c>
      <c r="D144" s="20">
        <v>124.12</v>
      </c>
      <c r="E144" s="20">
        <v>240.11</v>
      </c>
      <c r="F144" s="20">
        <v>47921.43</v>
      </c>
    </row>
    <row r="145" spans="1:6" ht="13.5" customHeight="1" x14ac:dyDescent="0.3">
      <c r="A145" s="21">
        <v>43665</v>
      </c>
      <c r="B145" s="22">
        <v>168.46</v>
      </c>
      <c r="C145" s="22">
        <v>718.51</v>
      </c>
      <c r="D145" s="22">
        <v>120.84</v>
      </c>
      <c r="E145" s="22">
        <v>236.12</v>
      </c>
      <c r="F145" s="22">
        <v>48748.86</v>
      </c>
    </row>
    <row r="146" spans="1:6" ht="13.5" customHeight="1" x14ac:dyDescent="0.3">
      <c r="A146" s="19">
        <v>43668</v>
      </c>
      <c r="B146" s="20">
        <v>173.23</v>
      </c>
      <c r="C146" s="20">
        <v>714.15</v>
      </c>
      <c r="D146" s="20">
        <v>124.21</v>
      </c>
      <c r="E146" s="20">
        <v>239.5</v>
      </c>
      <c r="F146" s="20">
        <v>48875.64</v>
      </c>
    </row>
    <row r="147" spans="1:6" ht="13.5" customHeight="1" x14ac:dyDescent="0.3">
      <c r="A147" s="21">
        <v>43669</v>
      </c>
      <c r="B147" s="22">
        <v>171.81</v>
      </c>
      <c r="C147" s="22">
        <v>743.85</v>
      </c>
      <c r="D147" s="22">
        <v>121.91</v>
      </c>
      <c r="E147" s="22">
        <v>239.71</v>
      </c>
      <c r="F147" s="22">
        <v>48186.69</v>
      </c>
    </row>
    <row r="148" spans="1:6" ht="13.5" customHeight="1" x14ac:dyDescent="0.3">
      <c r="A148" s="19">
        <v>43670</v>
      </c>
      <c r="B148" s="20">
        <v>172.63</v>
      </c>
      <c r="C148" s="20">
        <v>743.29</v>
      </c>
      <c r="D148" s="20">
        <v>121.15</v>
      </c>
      <c r="E148" s="20">
        <v>243.94</v>
      </c>
      <c r="F148" s="20">
        <v>48866.83</v>
      </c>
    </row>
    <row r="149" spans="1:6" ht="13.5" customHeight="1" x14ac:dyDescent="0.3">
      <c r="A149" s="21">
        <v>43671</v>
      </c>
      <c r="B149" s="22">
        <v>168.93</v>
      </c>
      <c r="C149" s="22">
        <v>737.4</v>
      </c>
      <c r="D149" s="22">
        <v>121.34</v>
      </c>
      <c r="E149" s="22">
        <v>247.87</v>
      </c>
      <c r="F149" s="22">
        <v>49880.61</v>
      </c>
    </row>
    <row r="150" spans="1:6" ht="13.5" customHeight="1" x14ac:dyDescent="0.3">
      <c r="A150" s="19">
        <v>43672</v>
      </c>
      <c r="B150" s="20">
        <v>168.06</v>
      </c>
      <c r="C150" s="20">
        <v>742.78</v>
      </c>
      <c r="D150" s="20">
        <v>121.52</v>
      </c>
      <c r="E150" s="20">
        <v>251.65</v>
      </c>
      <c r="F150" s="20">
        <v>50750.23</v>
      </c>
    </row>
    <row r="151" spans="1:6" ht="13.5" customHeight="1" x14ac:dyDescent="0.3">
      <c r="A151" s="21">
        <v>43675</v>
      </c>
      <c r="B151" s="22">
        <v>168.72</v>
      </c>
      <c r="C151" s="22">
        <v>730.51</v>
      </c>
      <c r="D151" s="22">
        <v>119.62</v>
      </c>
      <c r="E151" s="22">
        <v>254.32</v>
      </c>
      <c r="F151" s="22">
        <v>50623.71</v>
      </c>
    </row>
    <row r="152" spans="1:6" ht="13.5" customHeight="1" x14ac:dyDescent="0.3">
      <c r="A152" s="19">
        <v>43676</v>
      </c>
      <c r="B152" s="20">
        <v>170.7</v>
      </c>
      <c r="C152" s="20">
        <v>733.64</v>
      </c>
      <c r="D152" s="20">
        <v>118.33</v>
      </c>
      <c r="E152" s="20">
        <v>254.86</v>
      </c>
      <c r="F152" s="20">
        <v>51041.99</v>
      </c>
    </row>
    <row r="153" spans="1:6" ht="13.5" customHeight="1" x14ac:dyDescent="0.3">
      <c r="A153" s="21">
        <v>43677</v>
      </c>
      <c r="B153" s="22">
        <v>174.18</v>
      </c>
      <c r="C153" s="22">
        <v>707.36</v>
      </c>
      <c r="D153" s="22">
        <v>119.88</v>
      </c>
      <c r="E153" s="22">
        <v>249</v>
      </c>
      <c r="F153" s="22">
        <v>51371.01</v>
      </c>
    </row>
    <row r="154" spans="1:6" ht="13.5" customHeight="1" x14ac:dyDescent="0.3">
      <c r="A154" s="19">
        <v>43678</v>
      </c>
      <c r="B154" s="20">
        <v>174.13</v>
      </c>
      <c r="C154" s="20">
        <v>716.22</v>
      </c>
      <c r="D154" s="20">
        <v>119.4</v>
      </c>
      <c r="E154" s="20">
        <v>250.67</v>
      </c>
      <c r="F154" s="20">
        <v>50591.83</v>
      </c>
    </row>
    <row r="155" spans="1:6" ht="13.5" customHeight="1" x14ac:dyDescent="0.3">
      <c r="A155" s="21">
        <v>43679</v>
      </c>
      <c r="B155" s="22">
        <v>171.49</v>
      </c>
      <c r="C155" s="22">
        <v>717.49</v>
      </c>
      <c r="D155" s="22">
        <v>119.4</v>
      </c>
      <c r="E155" s="22">
        <v>258.76</v>
      </c>
      <c r="F155" s="22">
        <v>52079.99</v>
      </c>
    </row>
    <row r="156" spans="1:6" ht="13.5" customHeight="1" x14ac:dyDescent="0.3">
      <c r="A156" s="19">
        <v>43682</v>
      </c>
      <c r="B156" s="20">
        <v>172.63</v>
      </c>
      <c r="C156" s="20">
        <v>720.58</v>
      </c>
      <c r="D156" s="20">
        <v>115.38</v>
      </c>
      <c r="E156" s="20">
        <v>256.76</v>
      </c>
      <c r="F156" s="20">
        <v>51512.160000000003</v>
      </c>
    </row>
    <row r="157" spans="1:6" ht="13.5" customHeight="1" x14ac:dyDescent="0.3">
      <c r="A157" s="21">
        <v>43683</v>
      </c>
      <c r="B157" s="22">
        <v>173.92</v>
      </c>
      <c r="C157" s="22">
        <v>722.98</v>
      </c>
      <c r="D157" s="22">
        <v>114.39</v>
      </c>
      <c r="E157" s="22">
        <v>253.6</v>
      </c>
      <c r="F157" s="22">
        <v>52737.18</v>
      </c>
    </row>
    <row r="158" spans="1:6" ht="13.5" customHeight="1" x14ac:dyDescent="0.3">
      <c r="A158" s="19">
        <v>43684</v>
      </c>
      <c r="B158" s="20">
        <v>175.16</v>
      </c>
      <c r="C158" s="20">
        <v>707.17</v>
      </c>
      <c r="D158" s="20">
        <v>115.98</v>
      </c>
      <c r="E158" s="20">
        <v>256.68</v>
      </c>
      <c r="F158" s="20">
        <v>52738.13</v>
      </c>
    </row>
    <row r="159" spans="1:6" ht="13.5" customHeight="1" x14ac:dyDescent="0.3">
      <c r="A159" s="21">
        <v>43685</v>
      </c>
      <c r="B159" s="22">
        <v>173.52</v>
      </c>
      <c r="C159" s="22">
        <v>696.38</v>
      </c>
      <c r="D159" s="22">
        <v>114.69</v>
      </c>
      <c r="E159" s="22">
        <v>264.92</v>
      </c>
      <c r="F159" s="22">
        <v>52915.73</v>
      </c>
    </row>
    <row r="160" spans="1:6" ht="13.5" customHeight="1" x14ac:dyDescent="0.3">
      <c r="A160" s="19">
        <v>43686</v>
      </c>
      <c r="B160" s="20">
        <v>176.3</v>
      </c>
      <c r="C160" s="20">
        <v>716.03</v>
      </c>
      <c r="D160" s="20">
        <v>113.02</v>
      </c>
      <c r="E160" s="20">
        <v>259.83999999999997</v>
      </c>
      <c r="F160" s="20">
        <v>52781.97</v>
      </c>
    </row>
    <row r="161" spans="1:6" ht="13.5" customHeight="1" x14ac:dyDescent="0.3">
      <c r="A161" s="21">
        <v>43689</v>
      </c>
      <c r="B161" s="22">
        <v>176.57</v>
      </c>
      <c r="C161" s="22">
        <v>722.7</v>
      </c>
      <c r="D161" s="22">
        <v>113.73</v>
      </c>
      <c r="E161" s="22">
        <v>248.1</v>
      </c>
      <c r="F161" s="22">
        <v>53637.75</v>
      </c>
    </row>
    <row r="162" spans="1:6" ht="13.5" customHeight="1" x14ac:dyDescent="0.3">
      <c r="A162" s="19">
        <v>43690</v>
      </c>
      <c r="B162" s="20">
        <v>178.34</v>
      </c>
      <c r="C162" s="20">
        <v>715.52</v>
      </c>
      <c r="D162" s="20">
        <v>114.85</v>
      </c>
      <c r="E162" s="20">
        <v>245.33</v>
      </c>
      <c r="F162" s="20">
        <v>54745.32</v>
      </c>
    </row>
    <row r="163" spans="1:6" ht="13.5" customHeight="1" x14ac:dyDescent="0.3">
      <c r="A163" s="21">
        <v>43691</v>
      </c>
      <c r="B163" s="22">
        <v>181.55</v>
      </c>
      <c r="C163" s="22">
        <v>721.26</v>
      </c>
      <c r="D163" s="22">
        <v>115.5</v>
      </c>
      <c r="E163" s="22">
        <v>245.91</v>
      </c>
      <c r="F163" s="22">
        <v>54877.61</v>
      </c>
    </row>
    <row r="164" spans="1:6" ht="13.5" customHeight="1" x14ac:dyDescent="0.3">
      <c r="A164" s="19">
        <v>43692</v>
      </c>
      <c r="B164" s="20">
        <v>183.14</v>
      </c>
      <c r="C164" s="20">
        <v>726.88</v>
      </c>
      <c r="D164" s="20">
        <v>114.51</v>
      </c>
      <c r="E164" s="20">
        <v>245.37</v>
      </c>
      <c r="F164" s="20">
        <v>54507.31</v>
      </c>
    </row>
    <row r="165" spans="1:6" ht="13.5" customHeight="1" x14ac:dyDescent="0.3">
      <c r="A165" s="21">
        <v>43693</v>
      </c>
      <c r="B165" s="22">
        <v>183.92</v>
      </c>
      <c r="C165" s="22">
        <v>752.37</v>
      </c>
      <c r="D165" s="22">
        <v>115.91</v>
      </c>
      <c r="E165" s="22">
        <v>244.28</v>
      </c>
      <c r="F165" s="22">
        <v>54095.18</v>
      </c>
    </row>
    <row r="166" spans="1:6" ht="13.5" customHeight="1" x14ac:dyDescent="0.3">
      <c r="A166" s="19">
        <v>43696</v>
      </c>
      <c r="B166" s="20">
        <v>189.47</v>
      </c>
      <c r="C166" s="20">
        <v>767.55</v>
      </c>
      <c r="D166" s="20">
        <v>118.93</v>
      </c>
      <c r="E166" s="20">
        <v>242.07</v>
      </c>
      <c r="F166" s="20">
        <v>54525.97</v>
      </c>
    </row>
    <row r="167" spans="1:6" ht="13.5" customHeight="1" x14ac:dyDescent="0.3">
      <c r="A167" s="21">
        <v>43697</v>
      </c>
      <c r="B167" s="22">
        <v>190.17</v>
      </c>
      <c r="C167" s="22">
        <v>773.58</v>
      </c>
      <c r="D167" s="22">
        <v>121.17</v>
      </c>
      <c r="E167" s="22">
        <v>239.23</v>
      </c>
      <c r="F167" s="22">
        <v>53168.88</v>
      </c>
    </row>
    <row r="168" spans="1:6" ht="13.5" customHeight="1" x14ac:dyDescent="0.3">
      <c r="A168" s="19">
        <v>43698</v>
      </c>
      <c r="B168" s="20">
        <v>189.45</v>
      </c>
      <c r="C168" s="20">
        <v>767.91</v>
      </c>
      <c r="D168" s="20">
        <v>118.23</v>
      </c>
      <c r="E168" s="20">
        <v>235.6</v>
      </c>
      <c r="F168" s="20">
        <v>52218.43</v>
      </c>
    </row>
    <row r="169" spans="1:6" ht="13.5" customHeight="1" x14ac:dyDescent="0.3">
      <c r="A169" s="21">
        <v>43699</v>
      </c>
      <c r="B169" s="22">
        <v>189.8</v>
      </c>
      <c r="C169" s="22">
        <v>792.52</v>
      </c>
      <c r="D169" s="22">
        <v>123.73</v>
      </c>
      <c r="E169" s="22">
        <v>237.32</v>
      </c>
      <c r="F169" s="22">
        <v>52243.32</v>
      </c>
    </row>
    <row r="170" spans="1:6" ht="13.5" customHeight="1" x14ac:dyDescent="0.3">
      <c r="A170" s="19">
        <v>43700</v>
      </c>
      <c r="B170" s="20">
        <v>193.76</v>
      </c>
      <c r="C170" s="20">
        <v>791.58</v>
      </c>
      <c r="D170" s="20">
        <v>121.2</v>
      </c>
      <c r="E170" s="20">
        <v>240</v>
      </c>
      <c r="F170" s="20">
        <v>52444.06</v>
      </c>
    </row>
    <row r="171" spans="1:6" ht="13.5" customHeight="1" x14ac:dyDescent="0.3">
      <c r="A171" s="21">
        <v>43703</v>
      </c>
      <c r="B171" s="22">
        <v>194.14</v>
      </c>
      <c r="C171" s="22">
        <v>779.89</v>
      </c>
      <c r="D171" s="22">
        <v>118.91</v>
      </c>
      <c r="E171" s="22">
        <v>232.92</v>
      </c>
      <c r="F171" s="22">
        <v>52175.63</v>
      </c>
    </row>
    <row r="172" spans="1:6" ht="13.5" customHeight="1" x14ac:dyDescent="0.3">
      <c r="A172" s="19">
        <v>43704</v>
      </c>
      <c r="B172" s="20">
        <v>195.6</v>
      </c>
      <c r="C172" s="20">
        <v>763.57</v>
      </c>
      <c r="D172" s="20">
        <v>119.52</v>
      </c>
      <c r="E172" s="20">
        <v>240</v>
      </c>
      <c r="F172" s="20">
        <v>51939.09</v>
      </c>
    </row>
    <row r="173" spans="1:6" ht="13.5" customHeight="1" x14ac:dyDescent="0.3">
      <c r="A173" s="21">
        <v>43705</v>
      </c>
      <c r="B173" s="22">
        <v>198.91</v>
      </c>
      <c r="C173" s="22">
        <v>752.41</v>
      </c>
      <c r="D173" s="22">
        <v>119.39</v>
      </c>
      <c r="E173" s="22">
        <v>242.11</v>
      </c>
      <c r="F173" s="22">
        <v>50943.53</v>
      </c>
    </row>
    <row r="174" spans="1:6" ht="13.5" customHeight="1" x14ac:dyDescent="0.3">
      <c r="A174" s="19">
        <v>43706</v>
      </c>
      <c r="B174" s="20">
        <v>197.55</v>
      </c>
      <c r="C174" s="20">
        <v>748.03</v>
      </c>
      <c r="D174" s="20">
        <v>120.12</v>
      </c>
      <c r="E174" s="20">
        <v>244.76</v>
      </c>
      <c r="F174" s="20">
        <v>50736.31</v>
      </c>
    </row>
    <row r="175" spans="1:6" ht="13.5" customHeight="1" x14ac:dyDescent="0.3">
      <c r="A175" s="21">
        <v>43707</v>
      </c>
      <c r="B175" s="22">
        <v>192.89</v>
      </c>
      <c r="C175" s="22">
        <v>758.57</v>
      </c>
      <c r="D175" s="22">
        <v>122.65</v>
      </c>
      <c r="E175" s="22">
        <v>243.57</v>
      </c>
      <c r="F175" s="22">
        <v>50665.18</v>
      </c>
    </row>
    <row r="176" spans="1:6" ht="13.5" customHeight="1" x14ac:dyDescent="0.3">
      <c r="A176" s="19">
        <v>43710</v>
      </c>
      <c r="B176" s="20">
        <v>193.75</v>
      </c>
      <c r="C176" s="20">
        <v>771.24</v>
      </c>
      <c r="D176" s="20">
        <v>124.5</v>
      </c>
      <c r="E176" s="20">
        <v>244.86</v>
      </c>
      <c r="F176" s="20">
        <v>50851.15</v>
      </c>
    </row>
    <row r="177" spans="1:6" ht="13.5" customHeight="1" x14ac:dyDescent="0.3">
      <c r="A177" s="21">
        <v>43711</v>
      </c>
      <c r="B177" s="22">
        <v>194.43</v>
      </c>
      <c r="C177" s="22">
        <v>787.36</v>
      </c>
      <c r="D177" s="22">
        <v>122.79</v>
      </c>
      <c r="E177" s="22">
        <v>239.78</v>
      </c>
      <c r="F177" s="22">
        <v>51200.34</v>
      </c>
    </row>
    <row r="178" spans="1:6" ht="13.5" customHeight="1" x14ac:dyDescent="0.3">
      <c r="A178" s="19">
        <v>43712</v>
      </c>
      <c r="B178" s="20">
        <v>192.85</v>
      </c>
      <c r="C178" s="20">
        <v>789.95</v>
      </c>
      <c r="D178" s="20">
        <v>122.98</v>
      </c>
      <c r="E178" s="20">
        <v>247.07</v>
      </c>
      <c r="F178" s="20">
        <v>50087.63</v>
      </c>
    </row>
    <row r="179" spans="1:6" ht="13.5" customHeight="1" x14ac:dyDescent="0.3">
      <c r="A179" s="21">
        <v>43713</v>
      </c>
      <c r="B179" s="22">
        <v>195.24</v>
      </c>
      <c r="C179" s="22">
        <v>802.01</v>
      </c>
      <c r="D179" s="22">
        <v>124.99</v>
      </c>
      <c r="E179" s="22">
        <v>253.79</v>
      </c>
      <c r="F179" s="22">
        <v>50994.29</v>
      </c>
    </row>
    <row r="180" spans="1:6" ht="13.5" customHeight="1" x14ac:dyDescent="0.3">
      <c r="A180" s="19">
        <v>43714</v>
      </c>
      <c r="B180" s="20">
        <v>196.95</v>
      </c>
      <c r="C180" s="20">
        <v>834.44</v>
      </c>
      <c r="D180" s="20">
        <v>127.11</v>
      </c>
      <c r="E180" s="20">
        <v>252.76</v>
      </c>
      <c r="F180" s="20">
        <v>49791.48</v>
      </c>
    </row>
    <row r="181" spans="1:6" ht="13.5" customHeight="1" x14ac:dyDescent="0.3">
      <c r="A181" s="21">
        <v>43717</v>
      </c>
      <c r="B181" s="22">
        <v>194.3</v>
      </c>
      <c r="C181" s="22">
        <v>848.34</v>
      </c>
      <c r="D181" s="22">
        <v>129.41</v>
      </c>
      <c r="E181" s="22">
        <v>246.58</v>
      </c>
      <c r="F181" s="22">
        <v>50100.79</v>
      </c>
    </row>
    <row r="182" spans="1:6" ht="13.5" customHeight="1" x14ac:dyDescent="0.3">
      <c r="A182" s="19">
        <v>43718</v>
      </c>
      <c r="B182" s="20">
        <v>195.75</v>
      </c>
      <c r="C182" s="20">
        <v>872.83</v>
      </c>
      <c r="D182" s="20">
        <v>131.13</v>
      </c>
      <c r="E182" s="20">
        <v>245.28</v>
      </c>
      <c r="F182" s="20">
        <v>49862.79</v>
      </c>
    </row>
    <row r="183" spans="1:6" ht="13.5" customHeight="1" x14ac:dyDescent="0.3">
      <c r="A183" s="21">
        <v>43719</v>
      </c>
      <c r="B183" s="22">
        <v>195.28</v>
      </c>
      <c r="C183" s="22">
        <v>850.09</v>
      </c>
      <c r="D183" s="22">
        <v>132.63999999999999</v>
      </c>
      <c r="E183" s="22">
        <v>248.13</v>
      </c>
      <c r="F183" s="22">
        <v>50436.71</v>
      </c>
    </row>
    <row r="184" spans="1:6" ht="13.5" customHeight="1" x14ac:dyDescent="0.3">
      <c r="A184" s="19">
        <v>43720</v>
      </c>
      <c r="B184" s="20">
        <v>191.33</v>
      </c>
      <c r="C184" s="20">
        <v>839.47</v>
      </c>
      <c r="D184" s="20">
        <v>131.62</v>
      </c>
      <c r="E184" s="20">
        <v>246.4</v>
      </c>
      <c r="F184" s="20">
        <v>50770.48</v>
      </c>
    </row>
    <row r="185" spans="1:6" ht="13.5" customHeight="1" x14ac:dyDescent="0.3">
      <c r="A185" s="21">
        <v>43721</v>
      </c>
      <c r="B185" s="22">
        <v>192.59</v>
      </c>
      <c r="C185" s="22">
        <v>828.85</v>
      </c>
      <c r="D185" s="22">
        <v>128.94</v>
      </c>
      <c r="E185" s="22">
        <v>242.82</v>
      </c>
      <c r="F185" s="22">
        <v>50679.57</v>
      </c>
    </row>
    <row r="186" spans="1:6" ht="13.5" customHeight="1" x14ac:dyDescent="0.3">
      <c r="A186" s="19">
        <v>43724</v>
      </c>
      <c r="B186" s="20">
        <v>192.53</v>
      </c>
      <c r="C186" s="20">
        <v>790.21</v>
      </c>
      <c r="D186" s="20">
        <v>129.85</v>
      </c>
      <c r="E186" s="20">
        <v>243.67</v>
      </c>
      <c r="F186" s="20">
        <v>50517.53</v>
      </c>
    </row>
    <row r="187" spans="1:6" ht="13.5" customHeight="1" x14ac:dyDescent="0.3">
      <c r="A187" s="21">
        <v>43725</v>
      </c>
      <c r="B187" s="22">
        <v>190.61</v>
      </c>
      <c r="C187" s="22">
        <v>791.71</v>
      </c>
      <c r="D187" s="22">
        <v>128.97999999999999</v>
      </c>
      <c r="E187" s="22">
        <v>239.76</v>
      </c>
      <c r="F187" s="22">
        <v>49581.37</v>
      </c>
    </row>
    <row r="188" spans="1:6" ht="13.5" customHeight="1" x14ac:dyDescent="0.3">
      <c r="A188" s="19">
        <v>43726</v>
      </c>
      <c r="B188" s="20">
        <v>192.05</v>
      </c>
      <c r="C188" s="20">
        <v>811.62</v>
      </c>
      <c r="D188" s="20">
        <v>131.55000000000001</v>
      </c>
      <c r="E188" s="20">
        <v>245.93</v>
      </c>
      <c r="F188" s="20">
        <v>49548.34</v>
      </c>
    </row>
    <row r="189" spans="1:6" ht="13.5" customHeight="1" x14ac:dyDescent="0.3">
      <c r="A189" s="21">
        <v>43727</v>
      </c>
      <c r="B189" s="22">
        <v>193.41</v>
      </c>
      <c r="C189" s="22">
        <v>804.44</v>
      </c>
      <c r="D189" s="22">
        <v>129.80000000000001</v>
      </c>
      <c r="E189" s="22">
        <v>250.44</v>
      </c>
      <c r="F189" s="22">
        <v>49155.46</v>
      </c>
    </row>
    <row r="190" spans="1:6" ht="13.5" customHeight="1" x14ac:dyDescent="0.3">
      <c r="A190" s="19">
        <v>43728</v>
      </c>
      <c r="B190" s="20">
        <v>191.92</v>
      </c>
      <c r="C190" s="20">
        <v>807.69</v>
      </c>
      <c r="D190" s="20">
        <v>129.07</v>
      </c>
      <c r="E190" s="20">
        <v>253.7</v>
      </c>
      <c r="F190" s="20">
        <v>48647.43</v>
      </c>
    </row>
    <row r="191" spans="1:6" ht="13.5" customHeight="1" x14ac:dyDescent="0.3">
      <c r="A191" s="21">
        <v>43731</v>
      </c>
      <c r="B191" s="22">
        <v>193.05</v>
      </c>
      <c r="C191" s="22">
        <v>796.01</v>
      </c>
      <c r="D191" s="22">
        <v>128.25</v>
      </c>
      <c r="E191" s="22">
        <v>250.43</v>
      </c>
      <c r="F191" s="22">
        <v>48048.54</v>
      </c>
    </row>
    <row r="192" spans="1:6" ht="13.5" customHeight="1" x14ac:dyDescent="0.3">
      <c r="A192" s="19">
        <v>43732</v>
      </c>
      <c r="B192" s="20">
        <v>195.82</v>
      </c>
      <c r="C192" s="20">
        <v>789.58</v>
      </c>
      <c r="D192" s="20">
        <v>130.26</v>
      </c>
      <c r="E192" s="20">
        <v>251.53</v>
      </c>
      <c r="F192" s="20">
        <v>48071.1</v>
      </c>
    </row>
    <row r="193" spans="1:6" ht="13.5" customHeight="1" x14ac:dyDescent="0.3">
      <c r="A193" s="21">
        <v>43733</v>
      </c>
      <c r="B193" s="22">
        <v>193.95</v>
      </c>
      <c r="C193" s="22">
        <v>794.02</v>
      </c>
      <c r="D193" s="22">
        <v>131.85</v>
      </c>
      <c r="E193" s="22">
        <v>256.92</v>
      </c>
      <c r="F193" s="22">
        <v>47858.23</v>
      </c>
    </row>
    <row r="194" spans="1:6" ht="13.5" customHeight="1" x14ac:dyDescent="0.3">
      <c r="A194" s="19">
        <v>43734</v>
      </c>
      <c r="B194" s="20">
        <v>195.04</v>
      </c>
      <c r="C194" s="20">
        <v>777.75</v>
      </c>
      <c r="D194" s="20">
        <v>131.94999999999999</v>
      </c>
      <c r="E194" s="20">
        <v>246.88</v>
      </c>
      <c r="F194" s="20">
        <v>48347.88</v>
      </c>
    </row>
    <row r="195" spans="1:6" ht="13.5" customHeight="1" x14ac:dyDescent="0.3">
      <c r="A195" s="21">
        <v>43735</v>
      </c>
      <c r="B195" s="22">
        <v>195.11</v>
      </c>
      <c r="C195" s="22">
        <v>794.31</v>
      </c>
      <c r="D195" s="22">
        <v>132.61000000000001</v>
      </c>
      <c r="E195" s="22">
        <v>247.96</v>
      </c>
      <c r="F195" s="22">
        <v>48068.13</v>
      </c>
    </row>
    <row r="196" spans="1:6" ht="13.5" customHeight="1" x14ac:dyDescent="0.3">
      <c r="A196" s="19">
        <v>43738</v>
      </c>
      <c r="B196" s="20">
        <v>201.3</v>
      </c>
      <c r="C196" s="20">
        <v>767.9</v>
      </c>
      <c r="D196" s="20">
        <v>136.03</v>
      </c>
      <c r="E196" s="20">
        <v>254.66</v>
      </c>
      <c r="F196" s="20">
        <v>47272.92</v>
      </c>
    </row>
    <row r="197" spans="1:6" ht="13.5" customHeight="1" x14ac:dyDescent="0.3">
      <c r="A197" s="21">
        <v>43739</v>
      </c>
      <c r="B197" s="22">
        <v>196.16</v>
      </c>
      <c r="C197" s="22">
        <v>772.73</v>
      </c>
      <c r="D197" s="22">
        <v>132.31</v>
      </c>
      <c r="E197" s="22">
        <v>263.5</v>
      </c>
      <c r="F197" s="22">
        <v>46866.31</v>
      </c>
    </row>
    <row r="198" spans="1:6" ht="13.5" customHeight="1" x14ac:dyDescent="0.3">
      <c r="A198" s="19">
        <v>43740</v>
      </c>
      <c r="B198" s="20">
        <v>198.12</v>
      </c>
      <c r="C198" s="20">
        <v>766.49</v>
      </c>
      <c r="D198" s="20">
        <v>133.91999999999999</v>
      </c>
      <c r="E198" s="20">
        <v>258.89</v>
      </c>
      <c r="F198" s="20">
        <v>46896.79</v>
      </c>
    </row>
    <row r="199" spans="1:6" ht="13.5" customHeight="1" x14ac:dyDescent="0.3">
      <c r="A199" s="21">
        <v>43741</v>
      </c>
      <c r="B199" s="22">
        <v>197.34</v>
      </c>
      <c r="C199" s="22">
        <v>787.08</v>
      </c>
      <c r="D199" s="22">
        <v>136.25</v>
      </c>
      <c r="E199" s="22">
        <v>260.37</v>
      </c>
      <c r="F199" s="22">
        <v>45939.62</v>
      </c>
    </row>
    <row r="200" spans="1:6" ht="13.5" customHeight="1" x14ac:dyDescent="0.3">
      <c r="A200" s="19">
        <v>43742</v>
      </c>
      <c r="B200" s="20">
        <v>197.13</v>
      </c>
      <c r="C200" s="20">
        <v>798.12</v>
      </c>
      <c r="D200" s="20">
        <v>138.91</v>
      </c>
      <c r="E200" s="20">
        <v>265.63</v>
      </c>
      <c r="F200" s="20">
        <v>46640.55</v>
      </c>
    </row>
    <row r="201" spans="1:6" ht="13.5" customHeight="1" x14ac:dyDescent="0.3">
      <c r="A201" s="21">
        <v>43745</v>
      </c>
      <c r="B201" s="22">
        <v>202.39</v>
      </c>
      <c r="C201" s="22">
        <v>769.26</v>
      </c>
      <c r="D201" s="22">
        <v>140.72</v>
      </c>
      <c r="E201" s="22">
        <v>271.81</v>
      </c>
      <c r="F201" s="22">
        <v>46532.42</v>
      </c>
    </row>
    <row r="202" spans="1:6" ht="13.5" customHeight="1" x14ac:dyDescent="0.3">
      <c r="A202" s="19">
        <v>43746</v>
      </c>
      <c r="B202" s="20">
        <v>202.43</v>
      </c>
      <c r="C202" s="20">
        <v>736.85</v>
      </c>
      <c r="D202" s="20">
        <v>139.06</v>
      </c>
      <c r="E202" s="20">
        <v>262.49</v>
      </c>
      <c r="F202" s="20">
        <v>46476.49</v>
      </c>
    </row>
    <row r="203" spans="1:6" ht="13.5" customHeight="1" x14ac:dyDescent="0.3">
      <c r="A203" s="21">
        <v>43747</v>
      </c>
      <c r="B203" s="22">
        <v>208.78</v>
      </c>
      <c r="C203" s="22">
        <v>724.27</v>
      </c>
      <c r="D203" s="22">
        <v>137.94</v>
      </c>
      <c r="E203" s="22">
        <v>252.65</v>
      </c>
      <c r="F203" s="22">
        <v>46560.639999999999</v>
      </c>
    </row>
    <row r="204" spans="1:6" ht="13.5" customHeight="1" x14ac:dyDescent="0.3">
      <c r="A204" s="19">
        <v>43748</v>
      </c>
      <c r="B204" s="20">
        <v>207.56</v>
      </c>
      <c r="C204" s="20">
        <v>718.29</v>
      </c>
      <c r="D204" s="20">
        <v>139.43</v>
      </c>
      <c r="E204" s="20">
        <v>253.5</v>
      </c>
      <c r="F204" s="20">
        <v>46926.43</v>
      </c>
    </row>
    <row r="205" spans="1:6" ht="13.5" customHeight="1" x14ac:dyDescent="0.3">
      <c r="A205" s="21">
        <v>43749</v>
      </c>
      <c r="B205" s="22">
        <v>208.64</v>
      </c>
      <c r="C205" s="22">
        <v>716.32</v>
      </c>
      <c r="D205" s="22">
        <v>138.19</v>
      </c>
      <c r="E205" s="22">
        <v>256.01</v>
      </c>
      <c r="F205" s="22">
        <v>47291.839999999997</v>
      </c>
    </row>
    <row r="206" spans="1:6" ht="13.5" customHeight="1" x14ac:dyDescent="0.3">
      <c r="A206" s="19">
        <v>43752</v>
      </c>
      <c r="B206" s="20">
        <v>207.28</v>
      </c>
      <c r="C206" s="20">
        <v>717.13</v>
      </c>
      <c r="D206" s="20">
        <v>137.82</v>
      </c>
      <c r="E206" s="20">
        <v>255.53</v>
      </c>
      <c r="F206" s="20">
        <v>46900.81</v>
      </c>
    </row>
    <row r="207" spans="1:6" ht="13.5" customHeight="1" x14ac:dyDescent="0.3">
      <c r="A207" s="21">
        <v>43753</v>
      </c>
      <c r="B207" s="22">
        <v>205.37</v>
      </c>
      <c r="C207" s="22">
        <v>726.07</v>
      </c>
      <c r="D207" s="22">
        <v>134.6</v>
      </c>
      <c r="E207" s="22">
        <v>254.07</v>
      </c>
      <c r="F207" s="22">
        <v>46533.49</v>
      </c>
    </row>
    <row r="208" spans="1:6" ht="13.5" customHeight="1" x14ac:dyDescent="0.3">
      <c r="A208" s="19">
        <v>43754</v>
      </c>
      <c r="B208" s="20">
        <v>205.61</v>
      </c>
      <c r="C208" s="20">
        <v>709.01</v>
      </c>
      <c r="D208" s="20">
        <v>132.13</v>
      </c>
      <c r="E208" s="20">
        <v>260.33</v>
      </c>
      <c r="F208" s="20">
        <v>47588.05</v>
      </c>
    </row>
    <row r="209" spans="1:6" ht="13.5" customHeight="1" x14ac:dyDescent="0.3">
      <c r="A209" s="21">
        <v>43755</v>
      </c>
      <c r="B209" s="22">
        <v>204.87</v>
      </c>
      <c r="C209" s="22">
        <v>686.92</v>
      </c>
      <c r="D209" s="22">
        <v>132.9</v>
      </c>
      <c r="E209" s="22">
        <v>267.72000000000003</v>
      </c>
      <c r="F209" s="22">
        <v>46466.55</v>
      </c>
    </row>
    <row r="210" spans="1:6" ht="13.5" customHeight="1" x14ac:dyDescent="0.3">
      <c r="A210" s="19">
        <v>43756</v>
      </c>
      <c r="B210" s="20">
        <v>205.51</v>
      </c>
      <c r="C210" s="20">
        <v>690.39</v>
      </c>
      <c r="D210" s="20">
        <v>132.07</v>
      </c>
      <c r="E210" s="20">
        <v>264.85000000000002</v>
      </c>
      <c r="F210" s="20">
        <v>45948.3</v>
      </c>
    </row>
    <row r="211" spans="1:6" ht="13.5" customHeight="1" x14ac:dyDescent="0.3">
      <c r="A211" s="21">
        <v>43759</v>
      </c>
      <c r="B211" s="22">
        <v>199.58</v>
      </c>
      <c r="C211" s="22">
        <v>686.4</v>
      </c>
      <c r="D211" s="22">
        <v>130.54</v>
      </c>
      <c r="E211" s="22">
        <v>265.77</v>
      </c>
      <c r="F211" s="22">
        <v>45501.41</v>
      </c>
    </row>
    <row r="212" spans="1:6" ht="13.5" customHeight="1" x14ac:dyDescent="0.3">
      <c r="A212" s="19">
        <v>43760</v>
      </c>
      <c r="B212" s="20">
        <v>205.18</v>
      </c>
      <c r="C212" s="20">
        <v>685.56</v>
      </c>
      <c r="D212" s="20">
        <v>130.21</v>
      </c>
      <c r="E212" s="20">
        <v>260.08</v>
      </c>
      <c r="F212" s="20">
        <v>45981.63</v>
      </c>
    </row>
    <row r="213" spans="1:6" ht="13.5" customHeight="1" x14ac:dyDescent="0.3">
      <c r="A213" s="21">
        <v>43761</v>
      </c>
      <c r="B213" s="22">
        <v>204.77</v>
      </c>
      <c r="C213" s="22">
        <v>678.2</v>
      </c>
      <c r="D213" s="22">
        <v>130.87</v>
      </c>
      <c r="E213" s="22">
        <v>268.74</v>
      </c>
      <c r="F213" s="22">
        <v>46143.199999999997</v>
      </c>
    </row>
    <row r="214" spans="1:6" ht="13.5" customHeight="1" x14ac:dyDescent="0.3">
      <c r="A214" s="19">
        <v>43762</v>
      </c>
      <c r="B214" s="20">
        <v>209.78</v>
      </c>
      <c r="C214" s="20">
        <v>676.54</v>
      </c>
      <c r="D214" s="20">
        <v>130.38999999999999</v>
      </c>
      <c r="E214" s="20">
        <v>261.73</v>
      </c>
      <c r="F214" s="20">
        <v>46323.5</v>
      </c>
    </row>
    <row r="215" spans="1:6" ht="13.5" customHeight="1" x14ac:dyDescent="0.3">
      <c r="A215" s="21">
        <v>43763</v>
      </c>
      <c r="B215" s="22">
        <v>206.92</v>
      </c>
      <c r="C215" s="22">
        <v>694.68</v>
      </c>
      <c r="D215" s="22">
        <v>130.79</v>
      </c>
      <c r="E215" s="22">
        <v>256.56</v>
      </c>
      <c r="F215" s="22">
        <v>45880.55</v>
      </c>
    </row>
    <row r="216" spans="1:6" ht="13.5" customHeight="1" x14ac:dyDescent="0.3">
      <c r="A216" s="19">
        <v>43766</v>
      </c>
      <c r="B216" s="20">
        <v>207.83</v>
      </c>
      <c r="C216" s="20">
        <v>675.2</v>
      </c>
      <c r="D216" s="20">
        <v>131.03</v>
      </c>
      <c r="E216" s="20">
        <v>252.37</v>
      </c>
      <c r="F216" s="20">
        <v>46062.38</v>
      </c>
    </row>
    <row r="217" spans="1:6" ht="13.5" customHeight="1" x14ac:dyDescent="0.3">
      <c r="A217" s="21">
        <v>43767</v>
      </c>
      <c r="B217" s="22">
        <v>217.01</v>
      </c>
      <c r="C217" s="22">
        <v>661.01</v>
      </c>
      <c r="D217" s="22">
        <v>130.56</v>
      </c>
      <c r="E217" s="22">
        <v>247.49</v>
      </c>
      <c r="F217" s="22">
        <v>45573.89</v>
      </c>
    </row>
    <row r="218" spans="1:6" ht="13.5" customHeight="1" x14ac:dyDescent="0.3">
      <c r="A218" s="19">
        <v>43768</v>
      </c>
      <c r="B218" s="20">
        <v>214.46</v>
      </c>
      <c r="C218" s="20">
        <v>668.88</v>
      </c>
      <c r="D218" s="20">
        <v>130.59</v>
      </c>
      <c r="E218" s="20">
        <v>253.59</v>
      </c>
      <c r="F218" s="20">
        <v>45299.09</v>
      </c>
    </row>
    <row r="219" spans="1:6" ht="13.5" customHeight="1" x14ac:dyDescent="0.3">
      <c r="A219" s="21">
        <v>43769</v>
      </c>
      <c r="B219" s="22">
        <v>210.08</v>
      </c>
      <c r="C219" s="22">
        <v>687.77</v>
      </c>
      <c r="D219" s="22">
        <v>128.82</v>
      </c>
      <c r="E219" s="22">
        <v>264.83</v>
      </c>
      <c r="F219" s="22">
        <v>44923.31</v>
      </c>
    </row>
    <row r="220" spans="1:6" ht="13.5" customHeight="1" x14ac:dyDescent="0.3">
      <c r="A220" s="19">
        <v>43770</v>
      </c>
      <c r="B220" s="20">
        <v>208.56</v>
      </c>
      <c r="C220" s="20">
        <v>685.69</v>
      </c>
      <c r="D220" s="20">
        <v>127.85</v>
      </c>
      <c r="E220" s="20">
        <v>266.26</v>
      </c>
      <c r="F220" s="20">
        <v>44569.120000000003</v>
      </c>
    </row>
    <row r="221" spans="1:6" ht="13.5" customHeight="1" x14ac:dyDescent="0.3">
      <c r="A221" s="21">
        <v>43773</v>
      </c>
      <c r="B221" s="22">
        <v>209.99</v>
      </c>
      <c r="C221" s="22">
        <v>670.82</v>
      </c>
      <c r="D221" s="22">
        <v>124.2</v>
      </c>
      <c r="E221" s="22">
        <v>264.7</v>
      </c>
      <c r="F221" s="22">
        <v>44077.5</v>
      </c>
    </row>
    <row r="222" spans="1:6" ht="13.5" customHeight="1" x14ac:dyDescent="0.3">
      <c r="A222" s="19">
        <v>43774</v>
      </c>
      <c r="B222" s="20">
        <v>212.08</v>
      </c>
      <c r="C222" s="20">
        <v>647.54</v>
      </c>
      <c r="D222" s="20">
        <v>121.97</v>
      </c>
      <c r="E222" s="20">
        <v>268.44</v>
      </c>
      <c r="F222" s="20">
        <v>44197.02</v>
      </c>
    </row>
    <row r="223" spans="1:6" ht="13.5" customHeight="1" x14ac:dyDescent="0.3">
      <c r="A223" s="21">
        <v>43775</v>
      </c>
      <c r="B223" s="22">
        <v>215.94</v>
      </c>
      <c r="C223" s="22">
        <v>650.91</v>
      </c>
      <c r="D223" s="22">
        <v>119.74</v>
      </c>
      <c r="E223" s="22">
        <v>263.95999999999998</v>
      </c>
      <c r="F223" s="22">
        <v>44359.76</v>
      </c>
    </row>
    <row r="224" spans="1:6" ht="13.5" customHeight="1" x14ac:dyDescent="0.3">
      <c r="A224" s="19">
        <v>43776</v>
      </c>
      <c r="B224" s="20">
        <v>215.24</v>
      </c>
      <c r="C224" s="20">
        <v>636.95000000000005</v>
      </c>
      <c r="D224" s="20">
        <v>119.03</v>
      </c>
      <c r="E224" s="20">
        <v>270.76</v>
      </c>
      <c r="F224" s="20">
        <v>43961.87</v>
      </c>
    </row>
    <row r="225" spans="1:6" ht="13.5" customHeight="1" x14ac:dyDescent="0.3">
      <c r="A225" s="21">
        <v>43777</v>
      </c>
      <c r="B225" s="22">
        <v>210.52</v>
      </c>
      <c r="C225" s="22">
        <v>661.77</v>
      </c>
      <c r="D225" s="22">
        <v>121.2</v>
      </c>
      <c r="E225" s="22">
        <v>270.7</v>
      </c>
      <c r="F225" s="22">
        <v>43745.77</v>
      </c>
    </row>
    <row r="226" spans="1:6" ht="13.5" customHeight="1" x14ac:dyDescent="0.3">
      <c r="A226" s="19">
        <v>43780</v>
      </c>
      <c r="B226" s="20">
        <v>209.32</v>
      </c>
      <c r="C226" s="20">
        <v>689.5</v>
      </c>
      <c r="D226" s="20">
        <v>121.23</v>
      </c>
      <c r="E226" s="20">
        <v>272.98</v>
      </c>
      <c r="F226" s="20">
        <v>43971.62</v>
      </c>
    </row>
    <row r="227" spans="1:6" ht="13.5" customHeight="1" x14ac:dyDescent="0.3">
      <c r="A227" s="21">
        <v>43781</v>
      </c>
      <c r="B227" s="22">
        <v>212.99</v>
      </c>
      <c r="C227" s="22">
        <v>692.66</v>
      </c>
      <c r="D227" s="22">
        <v>121.57</v>
      </c>
      <c r="E227" s="22">
        <v>269.55</v>
      </c>
      <c r="F227" s="22">
        <v>44060.32</v>
      </c>
    </row>
    <row r="228" spans="1:6" ht="13.5" customHeight="1" x14ac:dyDescent="0.3">
      <c r="A228" s="19">
        <v>43782</v>
      </c>
      <c r="B228" s="20">
        <v>214.43</v>
      </c>
      <c r="C228" s="20">
        <v>699</v>
      </c>
      <c r="D228" s="20">
        <v>119.81</v>
      </c>
      <c r="E228" s="20">
        <v>268.63</v>
      </c>
      <c r="F228" s="20">
        <v>44791.69</v>
      </c>
    </row>
    <row r="229" spans="1:6" ht="13.5" customHeight="1" x14ac:dyDescent="0.3">
      <c r="A229" s="21">
        <v>43783</v>
      </c>
      <c r="B229" s="22">
        <v>208.68</v>
      </c>
      <c r="C229" s="22">
        <v>697.97</v>
      </c>
      <c r="D229" s="22">
        <v>120.4</v>
      </c>
      <c r="E229" s="22">
        <v>260.54000000000002</v>
      </c>
      <c r="F229" s="22">
        <v>44674.34</v>
      </c>
    </row>
    <row r="230" spans="1:6" ht="13.5" customHeight="1" x14ac:dyDescent="0.3">
      <c r="A230" s="19">
        <v>43784</v>
      </c>
      <c r="B230" s="20">
        <v>208.65</v>
      </c>
      <c r="C230" s="20">
        <v>712.44</v>
      </c>
      <c r="D230" s="20">
        <v>123.66</v>
      </c>
      <c r="E230" s="20">
        <v>260.76</v>
      </c>
      <c r="F230" s="20">
        <v>44852.94</v>
      </c>
    </row>
    <row r="231" spans="1:6" ht="13.5" customHeight="1" x14ac:dyDescent="0.3">
      <c r="A231" s="21">
        <v>43787</v>
      </c>
      <c r="B231" s="22">
        <v>212.76</v>
      </c>
      <c r="C231" s="22">
        <v>712.82</v>
      </c>
      <c r="D231" s="22">
        <v>123.54</v>
      </c>
      <c r="E231" s="22">
        <v>265.27</v>
      </c>
      <c r="F231" s="22">
        <v>45204.14</v>
      </c>
    </row>
    <row r="232" spans="1:6" ht="13.5" customHeight="1" x14ac:dyDescent="0.3">
      <c r="A232" s="19">
        <v>43788</v>
      </c>
      <c r="B232" s="20">
        <v>219.09</v>
      </c>
      <c r="C232" s="20">
        <v>714.04</v>
      </c>
      <c r="D232" s="20">
        <v>121.99</v>
      </c>
      <c r="E232" s="20">
        <v>256.11</v>
      </c>
      <c r="F232" s="20">
        <v>44706.75</v>
      </c>
    </row>
    <row r="233" spans="1:6" ht="13.5" customHeight="1" x14ac:dyDescent="0.3">
      <c r="A233" s="21">
        <v>43789</v>
      </c>
      <c r="B233" s="22">
        <v>220.87</v>
      </c>
      <c r="C233" s="22">
        <v>731.6</v>
      </c>
      <c r="D233" s="22">
        <v>119.79</v>
      </c>
      <c r="E233" s="22">
        <v>251.35</v>
      </c>
      <c r="F233" s="22">
        <v>44171.31</v>
      </c>
    </row>
    <row r="234" spans="1:6" ht="13.5" customHeight="1" x14ac:dyDescent="0.3">
      <c r="A234" s="19">
        <v>43790</v>
      </c>
      <c r="B234" s="20">
        <v>221.88</v>
      </c>
      <c r="C234" s="20">
        <v>740.12</v>
      </c>
      <c r="D234" s="20">
        <v>120.34</v>
      </c>
      <c r="E234" s="20">
        <v>249.2</v>
      </c>
      <c r="F234" s="20">
        <v>43496.85</v>
      </c>
    </row>
    <row r="235" spans="1:6" ht="13.5" customHeight="1" x14ac:dyDescent="0.3">
      <c r="A235" s="21">
        <v>43791</v>
      </c>
      <c r="B235" s="22">
        <v>218.14</v>
      </c>
      <c r="C235" s="22">
        <v>768.38</v>
      </c>
      <c r="D235" s="22">
        <v>118.6</v>
      </c>
      <c r="E235" s="22">
        <v>247.86</v>
      </c>
      <c r="F235" s="22">
        <v>43713.43</v>
      </c>
    </row>
    <row r="236" spans="1:6" ht="13.5" customHeight="1" x14ac:dyDescent="0.3">
      <c r="A236" s="19">
        <v>43794</v>
      </c>
      <c r="B236" s="20">
        <v>215.66</v>
      </c>
      <c r="C236" s="20">
        <v>746.65</v>
      </c>
      <c r="D236" s="20">
        <v>119.98</v>
      </c>
      <c r="E236" s="20">
        <v>247.56</v>
      </c>
      <c r="F236" s="20">
        <v>43628.65</v>
      </c>
    </row>
    <row r="237" spans="1:6" ht="13.5" customHeight="1" x14ac:dyDescent="0.3">
      <c r="A237" s="21">
        <v>43795</v>
      </c>
      <c r="B237" s="22">
        <v>215.87</v>
      </c>
      <c r="C237" s="22">
        <v>739.78</v>
      </c>
      <c r="D237" s="22">
        <v>118.12</v>
      </c>
      <c r="E237" s="22">
        <v>247.47</v>
      </c>
      <c r="F237" s="22">
        <v>43768.800000000003</v>
      </c>
    </row>
    <row r="238" spans="1:6" ht="13.5" customHeight="1" x14ac:dyDescent="0.3">
      <c r="A238" s="19">
        <v>43796</v>
      </c>
      <c r="B238" s="20">
        <v>217.44</v>
      </c>
      <c r="C238" s="20">
        <v>728.42</v>
      </c>
      <c r="D238" s="20">
        <v>115.08</v>
      </c>
      <c r="E238" s="20">
        <v>248.91</v>
      </c>
      <c r="F238" s="20">
        <v>43844.53</v>
      </c>
    </row>
    <row r="239" spans="1:6" ht="13.5" customHeight="1" x14ac:dyDescent="0.3">
      <c r="A239" s="21">
        <v>43797</v>
      </c>
      <c r="B239" s="22">
        <v>219.26</v>
      </c>
      <c r="C239" s="22">
        <v>739.67</v>
      </c>
      <c r="D239" s="22">
        <v>116</v>
      </c>
      <c r="E239" s="22">
        <v>248.86</v>
      </c>
      <c r="F239" s="22">
        <v>43961.25</v>
      </c>
    </row>
    <row r="240" spans="1:6" ht="13.5" customHeight="1" x14ac:dyDescent="0.3">
      <c r="A240" s="19">
        <v>43798</v>
      </c>
      <c r="B240" s="20">
        <v>217.88</v>
      </c>
      <c r="C240" s="20">
        <v>733.67</v>
      </c>
      <c r="D240" s="20">
        <v>113.68</v>
      </c>
      <c r="E240" s="20">
        <v>241.07</v>
      </c>
      <c r="F240" s="20">
        <v>44290.87</v>
      </c>
    </row>
    <row r="241" spans="1:6" ht="13.5" customHeight="1" x14ac:dyDescent="0.3">
      <c r="A241" s="21">
        <v>43801</v>
      </c>
      <c r="B241" s="22">
        <v>214.47</v>
      </c>
      <c r="C241" s="22">
        <v>741.91</v>
      </c>
      <c r="D241" s="22">
        <v>114.81</v>
      </c>
      <c r="E241" s="22">
        <v>242.62</v>
      </c>
      <c r="F241" s="22">
        <v>44103.02</v>
      </c>
    </row>
    <row r="242" spans="1:6" ht="13.5" customHeight="1" x14ac:dyDescent="0.3">
      <c r="A242" s="19">
        <v>43802</v>
      </c>
      <c r="B242" s="20">
        <v>212.23</v>
      </c>
      <c r="C242" s="20">
        <v>727.05</v>
      </c>
      <c r="D242" s="20">
        <v>116.73</v>
      </c>
      <c r="E242" s="20">
        <v>248.25</v>
      </c>
      <c r="F242" s="20">
        <v>44491.87</v>
      </c>
    </row>
    <row r="243" spans="1:6" ht="13.5" customHeight="1" x14ac:dyDescent="0.3">
      <c r="A243" s="21">
        <v>43803</v>
      </c>
      <c r="B243" s="22">
        <v>208.89</v>
      </c>
      <c r="C243" s="22">
        <v>726.27</v>
      </c>
      <c r="D243" s="22">
        <v>115.69</v>
      </c>
      <c r="E243" s="22">
        <v>249.58</v>
      </c>
      <c r="F243" s="22">
        <v>44814.19</v>
      </c>
    </row>
    <row r="244" spans="1:6" ht="13.5" customHeight="1" x14ac:dyDescent="0.3">
      <c r="A244" s="19">
        <v>43804</v>
      </c>
      <c r="B244" s="20">
        <v>210.82</v>
      </c>
      <c r="C244" s="20">
        <v>756.13</v>
      </c>
      <c r="D244" s="20">
        <v>116.11</v>
      </c>
      <c r="E244" s="20">
        <v>241.33</v>
      </c>
      <c r="F244" s="20">
        <v>44123.85</v>
      </c>
    </row>
    <row r="245" spans="1:6" ht="13.5" customHeight="1" x14ac:dyDescent="0.3">
      <c r="A245" s="21">
        <v>43805</v>
      </c>
      <c r="B245" s="22">
        <v>204.13</v>
      </c>
      <c r="C245" s="22">
        <v>778.43</v>
      </c>
      <c r="D245" s="22">
        <v>118.71</v>
      </c>
      <c r="E245" s="22">
        <v>242.51</v>
      </c>
      <c r="F245" s="22">
        <v>44019.81</v>
      </c>
    </row>
    <row r="246" spans="1:6" ht="13.5" customHeight="1" x14ac:dyDescent="0.3">
      <c r="A246" s="19">
        <v>43808</v>
      </c>
      <c r="B246" s="20">
        <v>203.25</v>
      </c>
      <c r="C246" s="20">
        <v>753.1</v>
      </c>
      <c r="D246" s="20">
        <v>117.88</v>
      </c>
      <c r="E246" s="20">
        <v>244.8</v>
      </c>
      <c r="F246" s="20">
        <v>44806.95</v>
      </c>
    </row>
    <row r="247" spans="1:6" ht="13.5" customHeight="1" x14ac:dyDescent="0.3">
      <c r="A247" s="21">
        <v>43809</v>
      </c>
      <c r="B247" s="22">
        <v>204.58</v>
      </c>
      <c r="C247" s="22">
        <v>758.39</v>
      </c>
      <c r="D247" s="22">
        <v>120.9</v>
      </c>
      <c r="E247" s="22">
        <v>240.34</v>
      </c>
      <c r="F247" s="22">
        <v>46646.31</v>
      </c>
    </row>
    <row r="248" spans="1:6" ht="13.5" customHeight="1" x14ac:dyDescent="0.3">
      <c r="A248" s="19">
        <v>43810</v>
      </c>
      <c r="B248" s="20">
        <v>208.96</v>
      </c>
      <c r="C248" s="20">
        <v>769.9</v>
      </c>
      <c r="D248" s="20">
        <v>120.32</v>
      </c>
      <c r="E248" s="20">
        <v>240.8</v>
      </c>
      <c r="F248" s="20">
        <v>46639.06</v>
      </c>
    </row>
    <row r="249" spans="1:6" ht="13.5" customHeight="1" x14ac:dyDescent="0.3">
      <c r="A249" s="21">
        <v>43811</v>
      </c>
      <c r="B249" s="22">
        <v>209.24</v>
      </c>
      <c r="C249" s="22">
        <v>763.66</v>
      </c>
      <c r="D249" s="22">
        <v>118.59</v>
      </c>
      <c r="E249" s="22">
        <v>246.72</v>
      </c>
      <c r="F249" s="22">
        <v>46668.72</v>
      </c>
    </row>
    <row r="250" spans="1:6" ht="13.5" customHeight="1" x14ac:dyDescent="0.3">
      <c r="A250" s="19">
        <v>43812</v>
      </c>
      <c r="B250" s="20">
        <v>212.21</v>
      </c>
      <c r="C250" s="20">
        <v>749.26</v>
      </c>
      <c r="D250" s="20">
        <v>118.82</v>
      </c>
      <c r="E250" s="20">
        <v>254.38</v>
      </c>
      <c r="F250" s="20">
        <v>45817.120000000003</v>
      </c>
    </row>
    <row r="251" spans="1:6" ht="13.5" customHeight="1" x14ac:dyDescent="0.3">
      <c r="A251" s="21">
        <v>43815</v>
      </c>
      <c r="B251" s="22">
        <v>211.1</v>
      </c>
      <c r="C251" s="22">
        <v>758.46</v>
      </c>
      <c r="D251" s="22">
        <v>119.29</v>
      </c>
      <c r="E251" s="22">
        <v>255.11</v>
      </c>
      <c r="F251" s="22">
        <v>45891.46</v>
      </c>
    </row>
    <row r="252" spans="1:6" ht="13.5" customHeight="1" x14ac:dyDescent="0.3">
      <c r="A252" s="19">
        <v>43816</v>
      </c>
      <c r="B252" s="20">
        <v>208.99</v>
      </c>
      <c r="C252" s="20">
        <v>760.26</v>
      </c>
      <c r="D252" s="20">
        <v>121.47</v>
      </c>
      <c r="E252" s="20">
        <v>257.68</v>
      </c>
      <c r="F252" s="20">
        <v>45872.21</v>
      </c>
    </row>
    <row r="253" spans="1:6" ht="13.5" customHeight="1" x14ac:dyDescent="0.3">
      <c r="A253" s="21">
        <v>43817</v>
      </c>
      <c r="B253" s="22">
        <v>207.1</v>
      </c>
      <c r="C253" s="22">
        <v>768.12</v>
      </c>
      <c r="D253" s="22">
        <v>123.21</v>
      </c>
      <c r="E253" s="22">
        <v>257</v>
      </c>
      <c r="F253" s="22">
        <v>45592.85</v>
      </c>
    </row>
    <row r="254" spans="1:6" ht="13.5" customHeight="1" x14ac:dyDescent="0.3">
      <c r="A254" s="19">
        <v>43818</v>
      </c>
      <c r="B254" s="20">
        <v>211.55</v>
      </c>
      <c r="C254" s="20">
        <v>766.43</v>
      </c>
      <c r="D254" s="20">
        <v>123.98</v>
      </c>
      <c r="E254" s="20">
        <v>255.13</v>
      </c>
      <c r="F254" s="20">
        <v>46524.06</v>
      </c>
    </row>
    <row r="255" spans="1:6" ht="13.5" customHeight="1" x14ac:dyDescent="0.3">
      <c r="A255" s="21">
        <v>43819</v>
      </c>
      <c r="B255" s="22">
        <v>214.53</v>
      </c>
      <c r="C255" s="22">
        <v>798.41</v>
      </c>
      <c r="D255" s="22">
        <v>125.31</v>
      </c>
      <c r="E255" s="22">
        <v>261.93</v>
      </c>
      <c r="F255" s="22">
        <v>46651.55</v>
      </c>
    </row>
    <row r="256" spans="1:6" ht="13.5" customHeight="1" x14ac:dyDescent="0.3">
      <c r="A256" s="19">
        <v>43822</v>
      </c>
      <c r="B256" s="20">
        <v>216.05</v>
      </c>
      <c r="C256" s="20">
        <v>786.01</v>
      </c>
      <c r="D256" s="20">
        <v>125.72</v>
      </c>
      <c r="E256" s="20">
        <v>266.82</v>
      </c>
      <c r="F256" s="20">
        <v>46141.83</v>
      </c>
    </row>
    <row r="257" spans="1:6" ht="13.5" customHeight="1" x14ac:dyDescent="0.3">
      <c r="A257" s="21">
        <v>43823</v>
      </c>
      <c r="B257" s="22">
        <v>226.09</v>
      </c>
      <c r="C257" s="22">
        <v>779.6</v>
      </c>
      <c r="D257" s="22">
        <v>127.33</v>
      </c>
      <c r="E257" s="22">
        <v>270.06</v>
      </c>
      <c r="F257" s="22">
        <v>45586.52</v>
      </c>
    </row>
    <row r="258" spans="1:6" ht="13.5" customHeight="1" x14ac:dyDescent="0.3">
      <c r="A258" s="19">
        <v>43824</v>
      </c>
      <c r="B258" s="20">
        <v>226.06</v>
      </c>
      <c r="C258" s="20">
        <v>787.15</v>
      </c>
      <c r="D258" s="20">
        <v>126.34</v>
      </c>
      <c r="E258" s="20">
        <v>267.5</v>
      </c>
      <c r="F258" s="20">
        <v>45982.79</v>
      </c>
    </row>
    <row r="259" spans="1:6" ht="13.5" customHeight="1" x14ac:dyDescent="0.3">
      <c r="A259" s="21">
        <v>43825</v>
      </c>
      <c r="B259" s="22">
        <v>228.08</v>
      </c>
      <c r="C259" s="22">
        <v>797.77</v>
      </c>
      <c r="D259" s="22">
        <v>124.24</v>
      </c>
      <c r="E259" s="22">
        <v>275.04000000000002</v>
      </c>
      <c r="F259" s="22">
        <v>45668.93</v>
      </c>
    </row>
    <row r="260" spans="1:6" ht="13.5" customHeight="1" x14ac:dyDescent="0.3">
      <c r="A260" s="19">
        <v>43826</v>
      </c>
      <c r="B260" s="20">
        <v>229.12</v>
      </c>
      <c r="C260" s="20">
        <v>778.85</v>
      </c>
      <c r="D260" s="20">
        <v>124.7</v>
      </c>
      <c r="E260" s="20">
        <v>280.58</v>
      </c>
      <c r="F260" s="20">
        <v>45200.55</v>
      </c>
    </row>
    <row r="261" spans="1:6" ht="13.5" customHeight="1" x14ac:dyDescent="0.3">
      <c r="A261" s="21">
        <v>43829</v>
      </c>
      <c r="B261" s="22">
        <v>228.49</v>
      </c>
      <c r="C261" s="22">
        <v>797.13</v>
      </c>
      <c r="D261" s="22">
        <v>130.03</v>
      </c>
      <c r="E261" s="22">
        <v>273.87</v>
      </c>
      <c r="F261" s="22">
        <v>44352.08</v>
      </c>
    </row>
    <row r="262" spans="1:6" ht="13.5" customHeight="1" x14ac:dyDescent="0.3">
      <c r="A262" s="19">
        <v>43830</v>
      </c>
      <c r="B262" s="20">
        <v>235.9</v>
      </c>
      <c r="C262" s="20">
        <v>777.11</v>
      </c>
      <c r="D262" s="20">
        <v>131.74</v>
      </c>
      <c r="E262" s="20">
        <v>279.63</v>
      </c>
      <c r="F262" s="20">
        <v>44300.36</v>
      </c>
    </row>
    <row r="263" spans="1:6" ht="13.5" customHeight="1" x14ac:dyDescent="0.3">
      <c r="A263" s="21">
        <v>43831</v>
      </c>
      <c r="B263" s="22">
        <v>240.9</v>
      </c>
      <c r="C263" s="22">
        <v>777.66</v>
      </c>
      <c r="D263" s="22">
        <v>130.34</v>
      </c>
      <c r="E263" s="22">
        <v>280.64999999999998</v>
      </c>
      <c r="F263" s="22">
        <v>44615.24</v>
      </c>
    </row>
    <row r="264" spans="1:6" ht="13.5" customHeight="1" x14ac:dyDescent="0.3">
      <c r="A264" s="19">
        <v>43832</v>
      </c>
      <c r="B264" s="20">
        <v>236.3</v>
      </c>
      <c r="C264" s="20">
        <v>773.91</v>
      </c>
      <c r="D264" s="20">
        <v>133.25</v>
      </c>
      <c r="E264" s="20">
        <v>282.26</v>
      </c>
      <c r="F264" s="20">
        <v>45041.82</v>
      </c>
    </row>
    <row r="265" spans="1:6" ht="13.5" customHeight="1" x14ac:dyDescent="0.3">
      <c r="A265" s="21">
        <v>43833</v>
      </c>
      <c r="B265" s="22">
        <v>235.07</v>
      </c>
      <c r="C265" s="22">
        <v>764.71</v>
      </c>
      <c r="D265" s="22">
        <v>129.38999999999999</v>
      </c>
      <c r="E265" s="22">
        <v>271.64</v>
      </c>
      <c r="F265" s="22">
        <v>45180.61</v>
      </c>
    </row>
    <row r="266" spans="1:6" ht="13.5" customHeight="1" x14ac:dyDescent="0.3">
      <c r="A266" s="19">
        <v>43836</v>
      </c>
      <c r="B266" s="20">
        <v>236.54</v>
      </c>
      <c r="C266" s="20">
        <v>780.45</v>
      </c>
      <c r="D266" s="20">
        <v>128.93</v>
      </c>
      <c r="E266" s="20">
        <v>264.26</v>
      </c>
      <c r="F266" s="20">
        <v>46039.78</v>
      </c>
    </row>
    <row r="267" spans="1:6" ht="13.5" customHeight="1" x14ac:dyDescent="0.3">
      <c r="A267" s="21">
        <v>43837</v>
      </c>
      <c r="B267" s="22">
        <v>239.18</v>
      </c>
      <c r="C267" s="22">
        <v>748.61</v>
      </c>
      <c r="D267" s="22">
        <v>129.79</v>
      </c>
      <c r="E267" s="22">
        <v>269.32</v>
      </c>
      <c r="F267" s="22">
        <v>45435.56</v>
      </c>
    </row>
    <row r="268" spans="1:6" ht="13.5" customHeight="1" x14ac:dyDescent="0.3">
      <c r="A268" s="19">
        <v>43838</v>
      </c>
      <c r="B268" s="20">
        <v>234.79</v>
      </c>
      <c r="C268" s="20">
        <v>739.4</v>
      </c>
      <c r="D268" s="20">
        <v>128.46</v>
      </c>
      <c r="E268" s="20">
        <v>265.55</v>
      </c>
      <c r="F268" s="20">
        <v>45551.02</v>
      </c>
    </row>
    <row r="269" spans="1:6" ht="13.5" customHeight="1" x14ac:dyDescent="0.3">
      <c r="A269" s="21">
        <v>43839</v>
      </c>
      <c r="B269" s="22">
        <v>227.52</v>
      </c>
      <c r="C269" s="22">
        <v>728.07</v>
      </c>
      <c r="D269" s="22">
        <v>127.31</v>
      </c>
      <c r="E269" s="22">
        <v>269.75</v>
      </c>
      <c r="F269" s="22">
        <v>45762.18</v>
      </c>
    </row>
    <row r="270" spans="1:6" ht="13.5" customHeight="1" x14ac:dyDescent="0.3">
      <c r="A270" s="19">
        <v>43840</v>
      </c>
      <c r="B270" s="20">
        <v>221.58</v>
      </c>
      <c r="C270" s="20">
        <v>739.74</v>
      </c>
      <c r="D270" s="20">
        <v>127.02</v>
      </c>
      <c r="E270" s="20">
        <v>263.12</v>
      </c>
      <c r="F270" s="20">
        <v>44927.13</v>
      </c>
    </row>
    <row r="271" spans="1:6" ht="13.5" customHeight="1" x14ac:dyDescent="0.3">
      <c r="A271" s="21">
        <v>43843</v>
      </c>
      <c r="B271" s="22">
        <v>221.43</v>
      </c>
      <c r="C271" s="22">
        <v>760.41</v>
      </c>
      <c r="D271" s="22">
        <v>125.98</v>
      </c>
      <c r="E271" s="22">
        <v>255.91</v>
      </c>
      <c r="F271" s="22">
        <v>44845.78</v>
      </c>
    </row>
    <row r="272" spans="1:6" ht="13.5" customHeight="1" x14ac:dyDescent="0.3">
      <c r="A272" s="19">
        <v>43844</v>
      </c>
      <c r="B272" s="20">
        <v>221.19</v>
      </c>
      <c r="C272" s="20">
        <v>771.26</v>
      </c>
      <c r="D272" s="20">
        <v>124.48</v>
      </c>
      <c r="E272" s="20">
        <v>265.27</v>
      </c>
      <c r="F272" s="20">
        <v>44304.52</v>
      </c>
    </row>
    <row r="273" spans="1:6" ht="13.5" customHeight="1" x14ac:dyDescent="0.3">
      <c r="A273" s="21">
        <v>43845</v>
      </c>
      <c r="B273" s="22">
        <v>222.32</v>
      </c>
      <c r="C273" s="22">
        <v>790.7</v>
      </c>
      <c r="D273" s="22">
        <v>122.4</v>
      </c>
      <c r="E273" s="22">
        <v>269.95</v>
      </c>
      <c r="F273" s="22">
        <v>44433.68</v>
      </c>
    </row>
    <row r="274" spans="1:6" ht="13.5" customHeight="1" x14ac:dyDescent="0.3">
      <c r="A274" s="19">
        <v>43846</v>
      </c>
      <c r="B274" s="20">
        <v>220.02</v>
      </c>
      <c r="C274" s="20">
        <v>760.15</v>
      </c>
      <c r="D274" s="20">
        <v>119.44</v>
      </c>
      <c r="E274" s="20">
        <v>269.43</v>
      </c>
      <c r="F274" s="20">
        <v>44027.97</v>
      </c>
    </row>
    <row r="275" spans="1:6" ht="13.5" customHeight="1" x14ac:dyDescent="0.3">
      <c r="A275" s="21">
        <v>43847</v>
      </c>
      <c r="B275" s="22">
        <v>216.35</v>
      </c>
      <c r="C275" s="22">
        <v>762.79</v>
      </c>
      <c r="D275" s="22">
        <v>117.67</v>
      </c>
      <c r="E275" s="22">
        <v>270.69</v>
      </c>
      <c r="F275" s="22">
        <v>44369.57</v>
      </c>
    </row>
    <row r="276" spans="1:6" ht="13.5" customHeight="1" x14ac:dyDescent="0.3">
      <c r="A276" s="19">
        <v>43850</v>
      </c>
      <c r="B276" s="20">
        <v>210.36</v>
      </c>
      <c r="C276" s="20">
        <v>744.64</v>
      </c>
      <c r="D276" s="20">
        <v>117.53</v>
      </c>
      <c r="E276" s="20">
        <v>267.2</v>
      </c>
      <c r="F276" s="20">
        <v>45183.18</v>
      </c>
    </row>
    <row r="277" spans="1:6" ht="13.5" customHeight="1" x14ac:dyDescent="0.3">
      <c r="A277" s="21">
        <v>43851</v>
      </c>
      <c r="B277" s="22">
        <v>211.38</v>
      </c>
      <c r="C277" s="22">
        <v>740.16</v>
      </c>
      <c r="D277" s="22">
        <v>119.44</v>
      </c>
      <c r="E277" s="22">
        <v>269.12</v>
      </c>
      <c r="F277" s="22">
        <v>45086.42</v>
      </c>
    </row>
    <row r="278" spans="1:6" ht="13.5" customHeight="1" x14ac:dyDescent="0.3">
      <c r="A278" s="19">
        <v>43852</v>
      </c>
      <c r="B278" s="20">
        <v>212.53</v>
      </c>
      <c r="C278" s="20">
        <v>743.79</v>
      </c>
      <c r="D278" s="20">
        <v>118.24</v>
      </c>
      <c r="E278" s="20">
        <v>275.25</v>
      </c>
      <c r="F278" s="20">
        <v>44770.49</v>
      </c>
    </row>
    <row r="279" spans="1:6" ht="13.5" customHeight="1" x14ac:dyDescent="0.3">
      <c r="A279" s="21">
        <v>43853</v>
      </c>
      <c r="B279" s="22">
        <v>215.53</v>
      </c>
      <c r="C279" s="22">
        <v>745.48</v>
      </c>
      <c r="D279" s="22">
        <v>116.03</v>
      </c>
      <c r="E279" s="22">
        <v>273.22000000000003</v>
      </c>
      <c r="F279" s="22">
        <v>44169.18</v>
      </c>
    </row>
    <row r="280" spans="1:6" ht="13.5" customHeight="1" x14ac:dyDescent="0.3">
      <c r="A280" s="19">
        <v>43854</v>
      </c>
      <c r="B280" s="20">
        <v>217.96</v>
      </c>
      <c r="C280" s="20">
        <v>764.01</v>
      </c>
      <c r="D280" s="20">
        <v>119.01</v>
      </c>
      <c r="E280" s="20">
        <v>275.86</v>
      </c>
      <c r="F280" s="20">
        <v>44382.95</v>
      </c>
    </row>
    <row r="281" spans="1:6" ht="13.5" customHeight="1" x14ac:dyDescent="0.3">
      <c r="A281" s="21">
        <v>43857</v>
      </c>
      <c r="B281" s="22">
        <v>217.45</v>
      </c>
      <c r="C281" s="22">
        <v>737.8</v>
      </c>
      <c r="D281" s="22">
        <v>116.92</v>
      </c>
      <c r="E281" s="22">
        <v>267.17</v>
      </c>
      <c r="F281" s="22">
        <v>43932.55</v>
      </c>
    </row>
    <row r="282" spans="1:6" ht="13.5" customHeight="1" x14ac:dyDescent="0.3">
      <c r="A282" s="19">
        <v>43858</v>
      </c>
      <c r="B282" s="20">
        <v>221.58</v>
      </c>
      <c r="C282" s="20">
        <v>727.36</v>
      </c>
      <c r="D282" s="20">
        <v>117.14</v>
      </c>
      <c r="E282" s="20">
        <v>276.39</v>
      </c>
      <c r="F282" s="20">
        <v>44411.5</v>
      </c>
    </row>
    <row r="283" spans="1:6" ht="13.5" customHeight="1" x14ac:dyDescent="0.3">
      <c r="A283" s="21">
        <v>43859</v>
      </c>
      <c r="B283" s="22">
        <v>221.24</v>
      </c>
      <c r="C283" s="22">
        <v>708.8</v>
      </c>
      <c r="D283" s="22">
        <v>115.46</v>
      </c>
      <c r="E283" s="22">
        <v>281.77</v>
      </c>
      <c r="F283" s="22">
        <v>45262.5</v>
      </c>
    </row>
    <row r="284" spans="1:6" ht="13.5" customHeight="1" x14ac:dyDescent="0.3">
      <c r="A284" s="19">
        <v>43860</v>
      </c>
      <c r="B284" s="20">
        <v>219.28</v>
      </c>
      <c r="C284" s="20">
        <v>688.74</v>
      </c>
      <c r="D284" s="20">
        <v>114.19</v>
      </c>
      <c r="E284" s="20">
        <v>281.74</v>
      </c>
      <c r="F284" s="20">
        <v>46166.35</v>
      </c>
    </row>
    <row r="285" spans="1:6" ht="13.5" customHeight="1" x14ac:dyDescent="0.3">
      <c r="A285" s="21">
        <v>43861</v>
      </c>
      <c r="B285" s="22">
        <v>217.77</v>
      </c>
      <c r="C285" s="22">
        <v>701.36</v>
      </c>
      <c r="D285" s="22">
        <v>114.93</v>
      </c>
      <c r="E285" s="22">
        <v>280.10000000000002</v>
      </c>
      <c r="F285" s="22">
        <v>47135.71</v>
      </c>
    </row>
    <row r="286" spans="1:6" ht="13.5" customHeight="1" x14ac:dyDescent="0.3">
      <c r="A286" s="19">
        <v>43864</v>
      </c>
      <c r="B286" s="20">
        <v>216.07</v>
      </c>
      <c r="C286" s="20">
        <v>704.04</v>
      </c>
      <c r="D286" s="20">
        <v>115.81</v>
      </c>
      <c r="E286" s="20">
        <v>287.7</v>
      </c>
      <c r="F286" s="20">
        <v>47211.8</v>
      </c>
    </row>
    <row r="287" spans="1:6" ht="13.5" customHeight="1" x14ac:dyDescent="0.3">
      <c r="A287" s="21">
        <v>43865</v>
      </c>
      <c r="B287" s="22">
        <v>209.65</v>
      </c>
      <c r="C287" s="22">
        <v>723.79</v>
      </c>
      <c r="D287" s="22">
        <v>118.18</v>
      </c>
      <c r="E287" s="22">
        <v>285.08999999999997</v>
      </c>
      <c r="F287" s="22">
        <v>47475.15</v>
      </c>
    </row>
    <row r="288" spans="1:6" ht="13.5" customHeight="1" x14ac:dyDescent="0.3">
      <c r="A288" s="19">
        <v>43866</v>
      </c>
      <c r="B288" s="20">
        <v>210.18</v>
      </c>
      <c r="C288" s="20">
        <v>739.35</v>
      </c>
      <c r="D288" s="20">
        <v>119.47</v>
      </c>
      <c r="E288" s="20">
        <v>287.22000000000003</v>
      </c>
      <c r="F288" s="20">
        <v>47068.75</v>
      </c>
    </row>
    <row r="289" spans="1:6" ht="13.5" customHeight="1" x14ac:dyDescent="0.3">
      <c r="A289" s="21">
        <v>43867</v>
      </c>
      <c r="B289" s="22">
        <v>210.97</v>
      </c>
      <c r="C289" s="22">
        <v>740.68</v>
      </c>
      <c r="D289" s="22">
        <v>119.81</v>
      </c>
      <c r="E289" s="22">
        <v>285.64999999999998</v>
      </c>
      <c r="F289" s="22">
        <v>46376.03</v>
      </c>
    </row>
    <row r="290" spans="1:6" ht="13.5" customHeight="1" x14ac:dyDescent="0.3">
      <c r="A290" s="19">
        <v>43868</v>
      </c>
      <c r="B290" s="20">
        <v>209.98</v>
      </c>
      <c r="C290" s="20">
        <v>728.45</v>
      </c>
      <c r="D290" s="20">
        <v>121.03</v>
      </c>
      <c r="E290" s="20">
        <v>280.81</v>
      </c>
      <c r="F290" s="20">
        <v>46781.81</v>
      </c>
    </row>
    <row r="291" spans="1:6" ht="13.5" customHeight="1" x14ac:dyDescent="0.3">
      <c r="A291" s="21">
        <v>43871</v>
      </c>
      <c r="B291" s="22">
        <v>207.97</v>
      </c>
      <c r="C291" s="22">
        <v>741.63</v>
      </c>
      <c r="D291" s="22">
        <v>119.12</v>
      </c>
      <c r="E291" s="22">
        <v>286.45</v>
      </c>
      <c r="F291" s="22">
        <v>46041.94</v>
      </c>
    </row>
    <row r="292" spans="1:6" ht="13.5" customHeight="1" x14ac:dyDescent="0.3">
      <c r="A292" s="19">
        <v>43872</v>
      </c>
      <c r="B292" s="20">
        <v>209.1</v>
      </c>
      <c r="C292" s="20">
        <v>733.02</v>
      </c>
      <c r="D292" s="20">
        <v>121.44</v>
      </c>
      <c r="E292" s="20">
        <v>284.36</v>
      </c>
      <c r="F292" s="20">
        <v>46575.66</v>
      </c>
    </row>
    <row r="293" spans="1:6" ht="13.5" customHeight="1" x14ac:dyDescent="0.3">
      <c r="A293" s="21">
        <v>43873</v>
      </c>
      <c r="B293" s="22">
        <v>214.15</v>
      </c>
      <c r="C293" s="22">
        <v>717.95</v>
      </c>
      <c r="D293" s="22">
        <v>122.5</v>
      </c>
      <c r="E293" s="22">
        <v>286.99</v>
      </c>
      <c r="F293" s="22">
        <v>46136.14</v>
      </c>
    </row>
    <row r="294" spans="1:6" ht="13.5" customHeight="1" x14ac:dyDescent="0.3">
      <c r="A294" s="19">
        <v>43874</v>
      </c>
      <c r="B294" s="20">
        <v>214.33</v>
      </c>
      <c r="C294" s="20">
        <v>703.81</v>
      </c>
      <c r="D294" s="20">
        <v>123.5</v>
      </c>
      <c r="E294" s="20">
        <v>285.24</v>
      </c>
      <c r="F294" s="20">
        <v>46043.82</v>
      </c>
    </row>
    <row r="295" spans="1:6" ht="13.5" customHeight="1" x14ac:dyDescent="0.3">
      <c r="A295" s="21">
        <v>43875</v>
      </c>
      <c r="B295" s="22">
        <v>212.89</v>
      </c>
      <c r="C295" s="22">
        <v>705.74</v>
      </c>
      <c r="D295" s="22">
        <v>124.71</v>
      </c>
      <c r="E295" s="22">
        <v>284.64999999999998</v>
      </c>
      <c r="F295" s="22">
        <v>46966.42</v>
      </c>
    </row>
    <row r="296" spans="1:6" ht="13.5" customHeight="1" x14ac:dyDescent="0.3">
      <c r="A296" s="19">
        <v>43878</v>
      </c>
      <c r="B296" s="20">
        <v>211.21</v>
      </c>
      <c r="C296" s="20">
        <v>721.92</v>
      </c>
      <c r="D296" s="20">
        <v>121.85</v>
      </c>
      <c r="E296" s="20">
        <v>283.87</v>
      </c>
      <c r="F296" s="20">
        <v>47119.13</v>
      </c>
    </row>
    <row r="297" spans="1:6" ht="13.5" customHeight="1" x14ac:dyDescent="0.3">
      <c r="A297" s="21">
        <v>43879</v>
      </c>
      <c r="B297" s="22">
        <v>211.07</v>
      </c>
      <c r="C297" s="22">
        <v>723.02</v>
      </c>
      <c r="D297" s="22">
        <v>119.73</v>
      </c>
      <c r="E297" s="22">
        <v>280.49</v>
      </c>
      <c r="F297" s="22">
        <v>47408.41</v>
      </c>
    </row>
    <row r="298" spans="1:6" ht="13.5" customHeight="1" x14ac:dyDescent="0.3">
      <c r="A298" s="19">
        <v>43880</v>
      </c>
      <c r="B298" s="20">
        <v>207.44</v>
      </c>
      <c r="C298" s="20">
        <v>739.06</v>
      </c>
      <c r="D298" s="20">
        <v>120.02</v>
      </c>
      <c r="E298" s="20">
        <v>284.51</v>
      </c>
      <c r="F298" s="20">
        <v>47279.42</v>
      </c>
    </row>
    <row r="299" spans="1:6" ht="13.5" customHeight="1" x14ac:dyDescent="0.3">
      <c r="A299" s="21">
        <v>43881</v>
      </c>
      <c r="B299" s="22">
        <v>207.15</v>
      </c>
      <c r="C299" s="22">
        <v>740.69</v>
      </c>
      <c r="D299" s="22">
        <v>120.34</v>
      </c>
      <c r="E299" s="22">
        <v>284.18</v>
      </c>
      <c r="F299" s="22">
        <v>47755.21</v>
      </c>
    </row>
    <row r="300" spans="1:6" ht="13.5" customHeight="1" x14ac:dyDescent="0.3">
      <c r="A300" s="19">
        <v>43882</v>
      </c>
      <c r="B300" s="20">
        <v>207.39</v>
      </c>
      <c r="C300" s="20">
        <v>735.56</v>
      </c>
      <c r="D300" s="20">
        <v>121.48</v>
      </c>
      <c r="E300" s="20">
        <v>288.95</v>
      </c>
      <c r="F300" s="20">
        <v>47630.11</v>
      </c>
    </row>
    <row r="301" spans="1:6" ht="13.5" customHeight="1" x14ac:dyDescent="0.3">
      <c r="A301" s="21">
        <v>43885</v>
      </c>
      <c r="B301" s="22">
        <v>212.76</v>
      </c>
      <c r="C301" s="22">
        <v>771.3</v>
      </c>
      <c r="D301" s="22">
        <v>121.73</v>
      </c>
      <c r="E301" s="22">
        <v>293.16000000000003</v>
      </c>
      <c r="F301" s="22">
        <v>47144.04</v>
      </c>
    </row>
    <row r="302" spans="1:6" ht="13.5" customHeight="1" x14ac:dyDescent="0.3">
      <c r="A302" s="19">
        <v>43886</v>
      </c>
      <c r="B302" s="20">
        <v>215.61</v>
      </c>
      <c r="C302" s="20">
        <v>796.54</v>
      </c>
      <c r="D302" s="20">
        <v>121.43</v>
      </c>
      <c r="E302" s="20">
        <v>300.08</v>
      </c>
      <c r="F302" s="20">
        <v>46631.7</v>
      </c>
    </row>
    <row r="303" spans="1:6" ht="13.5" customHeight="1" x14ac:dyDescent="0.3">
      <c r="A303" s="21">
        <v>43887</v>
      </c>
      <c r="B303" s="22">
        <v>218.76</v>
      </c>
      <c r="C303" s="22">
        <v>799.78</v>
      </c>
      <c r="D303" s="22">
        <v>123.88</v>
      </c>
      <c r="E303" s="22">
        <v>297.43</v>
      </c>
      <c r="F303" s="22">
        <v>45820.95</v>
      </c>
    </row>
    <row r="304" spans="1:6" ht="13.5" customHeight="1" x14ac:dyDescent="0.3">
      <c r="A304" s="19">
        <v>43888</v>
      </c>
      <c r="B304" s="20">
        <v>216.67</v>
      </c>
      <c r="C304" s="20">
        <v>788.51</v>
      </c>
      <c r="D304" s="20">
        <v>124.61</v>
      </c>
      <c r="E304" s="20">
        <v>301.3</v>
      </c>
      <c r="F304" s="20">
        <v>45183.13</v>
      </c>
    </row>
    <row r="305" spans="1:6" ht="13.5" customHeight="1" x14ac:dyDescent="0.3">
      <c r="A305" s="21">
        <v>43889</v>
      </c>
      <c r="B305" s="22">
        <v>218.75</v>
      </c>
      <c r="C305" s="22">
        <v>766.6</v>
      </c>
      <c r="D305" s="22">
        <v>126.13</v>
      </c>
      <c r="E305" s="22">
        <v>300.45</v>
      </c>
      <c r="F305" s="22">
        <v>45542.86</v>
      </c>
    </row>
    <row r="306" spans="1:6" ht="13.5" customHeight="1" x14ac:dyDescent="0.3">
      <c r="A306" s="19">
        <v>43892</v>
      </c>
      <c r="B306" s="20">
        <v>215.37</v>
      </c>
      <c r="C306" s="20">
        <v>772.49</v>
      </c>
      <c r="D306" s="20">
        <v>128.55000000000001</v>
      </c>
      <c r="E306" s="20">
        <v>300.47000000000003</v>
      </c>
      <c r="F306" s="20">
        <v>45515.76</v>
      </c>
    </row>
    <row r="307" spans="1:6" ht="13.5" customHeight="1" x14ac:dyDescent="0.3">
      <c r="A307" s="21">
        <v>43893</v>
      </c>
      <c r="B307" s="22">
        <v>216.37</v>
      </c>
      <c r="C307" s="22">
        <v>769.47</v>
      </c>
      <c r="D307" s="22">
        <v>131.16</v>
      </c>
      <c r="E307" s="22">
        <v>296.56</v>
      </c>
      <c r="F307" s="22">
        <v>45038.63</v>
      </c>
    </row>
    <row r="308" spans="1:6" ht="13.5" customHeight="1" x14ac:dyDescent="0.3">
      <c r="A308" s="19">
        <v>43894</v>
      </c>
      <c r="B308" s="20">
        <v>217.69</v>
      </c>
      <c r="C308" s="20">
        <v>776.26</v>
      </c>
      <c r="D308" s="20">
        <v>131.87</v>
      </c>
      <c r="E308" s="20">
        <v>294.04000000000002</v>
      </c>
      <c r="F308" s="20">
        <v>45455.32</v>
      </c>
    </row>
    <row r="309" spans="1:6" ht="13.5" customHeight="1" x14ac:dyDescent="0.3">
      <c r="A309" s="21">
        <v>43895</v>
      </c>
      <c r="B309" s="22">
        <v>215.45</v>
      </c>
      <c r="C309" s="22">
        <v>781.15</v>
      </c>
      <c r="D309" s="22">
        <v>133.43</v>
      </c>
      <c r="E309" s="22">
        <v>297.68</v>
      </c>
      <c r="F309" s="22">
        <v>45564.95</v>
      </c>
    </row>
    <row r="310" spans="1:6" ht="13.5" customHeight="1" x14ac:dyDescent="0.3">
      <c r="A310" s="19">
        <v>43896</v>
      </c>
      <c r="B310" s="20">
        <v>221.49</v>
      </c>
      <c r="C310" s="20">
        <v>787.62</v>
      </c>
      <c r="D310" s="20">
        <v>134.04</v>
      </c>
      <c r="E310" s="20">
        <v>295.89999999999998</v>
      </c>
      <c r="F310" s="20">
        <v>45810.64</v>
      </c>
    </row>
    <row r="311" spans="1:6" ht="13.5" customHeight="1" x14ac:dyDescent="0.3">
      <c r="A311" s="21">
        <v>43899</v>
      </c>
      <c r="B311" s="22">
        <v>223.3</v>
      </c>
      <c r="C311" s="22">
        <v>803.96</v>
      </c>
      <c r="D311" s="22">
        <v>136.36000000000001</v>
      </c>
      <c r="E311" s="22">
        <v>291.95999999999998</v>
      </c>
      <c r="F311" s="22">
        <v>45311.13</v>
      </c>
    </row>
    <row r="312" spans="1:6" ht="13.5" customHeight="1" x14ac:dyDescent="0.3">
      <c r="A312" s="19">
        <v>43900</v>
      </c>
      <c r="B312" s="20">
        <v>217.48</v>
      </c>
      <c r="C312" s="20">
        <v>808.89</v>
      </c>
      <c r="D312" s="20">
        <v>141.31</v>
      </c>
      <c r="E312" s="20">
        <v>296.77999999999997</v>
      </c>
      <c r="F312" s="20">
        <v>45089.1</v>
      </c>
    </row>
    <row r="313" spans="1:6" ht="13.5" customHeight="1" x14ac:dyDescent="0.3">
      <c r="A313" s="21">
        <v>43901</v>
      </c>
      <c r="B313" s="22">
        <v>219.22</v>
      </c>
      <c r="C313" s="22">
        <v>799.05</v>
      </c>
      <c r="D313" s="22">
        <v>139.04</v>
      </c>
      <c r="E313" s="22">
        <v>298.92</v>
      </c>
      <c r="F313" s="22">
        <v>45283.72</v>
      </c>
    </row>
    <row r="314" spans="1:6" ht="13.5" customHeight="1" x14ac:dyDescent="0.3">
      <c r="A314" s="19">
        <v>43902</v>
      </c>
      <c r="B314" s="20">
        <v>218.05</v>
      </c>
      <c r="C314" s="20">
        <v>788.67</v>
      </c>
      <c r="D314" s="20">
        <v>137.44999999999999</v>
      </c>
      <c r="E314" s="20">
        <v>292.18</v>
      </c>
      <c r="F314" s="20">
        <v>45160.36</v>
      </c>
    </row>
    <row r="315" spans="1:6" ht="13.5" customHeight="1" x14ac:dyDescent="0.3">
      <c r="A315" s="21">
        <v>43903</v>
      </c>
      <c r="B315" s="22">
        <v>218.12</v>
      </c>
      <c r="C315" s="22">
        <v>797.25</v>
      </c>
      <c r="D315" s="22">
        <v>140.93</v>
      </c>
      <c r="E315" s="22">
        <v>292.89999999999998</v>
      </c>
      <c r="F315" s="22">
        <v>45691.6</v>
      </c>
    </row>
    <row r="316" spans="1:6" ht="13.5" customHeight="1" x14ac:dyDescent="0.3">
      <c r="A316" s="19">
        <v>43906</v>
      </c>
      <c r="B316" s="20">
        <v>219.6</v>
      </c>
      <c r="C316" s="20">
        <v>782.65</v>
      </c>
      <c r="D316" s="20">
        <v>141.4</v>
      </c>
      <c r="E316" s="20">
        <v>299.29000000000002</v>
      </c>
      <c r="F316" s="20">
        <v>46108.59</v>
      </c>
    </row>
    <row r="317" spans="1:6" ht="13.5" customHeight="1" x14ac:dyDescent="0.3">
      <c r="A317" s="21">
        <v>43907</v>
      </c>
      <c r="B317" s="22">
        <v>220.86</v>
      </c>
      <c r="C317" s="22">
        <v>793.04</v>
      </c>
      <c r="D317" s="22">
        <v>140.5</v>
      </c>
      <c r="E317" s="22">
        <v>305.63</v>
      </c>
      <c r="F317" s="22">
        <v>46907.99</v>
      </c>
    </row>
    <row r="318" spans="1:6" ht="13.5" customHeight="1" x14ac:dyDescent="0.3">
      <c r="A318" s="19">
        <v>43908</v>
      </c>
      <c r="B318" s="20">
        <v>214.69</v>
      </c>
      <c r="C318" s="20">
        <v>803.5</v>
      </c>
      <c r="D318" s="20">
        <v>139.02000000000001</v>
      </c>
      <c r="E318" s="20">
        <v>302.67</v>
      </c>
      <c r="F318" s="20">
        <v>47087.39</v>
      </c>
    </row>
    <row r="319" spans="1:6" ht="13.5" customHeight="1" x14ac:dyDescent="0.3">
      <c r="A319" s="21">
        <v>43909</v>
      </c>
      <c r="B319" s="22">
        <v>211.31</v>
      </c>
      <c r="C319" s="22">
        <v>803.35</v>
      </c>
      <c r="D319" s="22">
        <v>141.13</v>
      </c>
      <c r="E319" s="22">
        <v>296.45999999999998</v>
      </c>
      <c r="F319" s="22">
        <v>46761.84</v>
      </c>
    </row>
    <row r="320" spans="1:6" ht="13.5" customHeight="1" x14ac:dyDescent="0.3">
      <c r="A320" s="19">
        <v>43910</v>
      </c>
      <c r="B320" s="20">
        <v>213.64</v>
      </c>
      <c r="C320" s="20">
        <v>792.76</v>
      </c>
      <c r="D320" s="20">
        <v>142.43</v>
      </c>
      <c r="E320" s="20">
        <v>294.56</v>
      </c>
      <c r="F320" s="20">
        <v>46802.91</v>
      </c>
    </row>
    <row r="321" spans="1:6" ht="13.5" customHeight="1" x14ac:dyDescent="0.3">
      <c r="A321" s="21">
        <v>43913</v>
      </c>
      <c r="B321" s="22">
        <v>217.56</v>
      </c>
      <c r="C321" s="22">
        <v>768.39</v>
      </c>
      <c r="D321" s="22">
        <v>146.99</v>
      </c>
      <c r="E321" s="22">
        <v>302.18</v>
      </c>
      <c r="F321" s="22">
        <v>48054.48</v>
      </c>
    </row>
    <row r="322" spans="1:6" ht="13.5" customHeight="1" x14ac:dyDescent="0.3">
      <c r="A322" s="19">
        <v>43914</v>
      </c>
      <c r="B322" s="20">
        <v>223.36</v>
      </c>
      <c r="C322" s="20">
        <v>753.62</v>
      </c>
      <c r="D322" s="20">
        <v>146.83000000000001</v>
      </c>
      <c r="E322" s="20">
        <v>306.57</v>
      </c>
      <c r="F322" s="20">
        <v>48663.32</v>
      </c>
    </row>
    <row r="323" spans="1:6" ht="13.5" customHeight="1" x14ac:dyDescent="0.3">
      <c r="A323" s="21">
        <v>43915</v>
      </c>
      <c r="B323" s="22">
        <v>229.02</v>
      </c>
      <c r="C323" s="22">
        <v>732.45</v>
      </c>
      <c r="D323" s="22">
        <v>148.97999999999999</v>
      </c>
      <c r="E323" s="22">
        <v>293.43</v>
      </c>
      <c r="F323" s="22">
        <v>48595.93</v>
      </c>
    </row>
    <row r="324" spans="1:6" ht="13.5" customHeight="1" x14ac:dyDescent="0.3">
      <c r="A324" s="19">
        <v>43916</v>
      </c>
      <c r="B324" s="20">
        <v>222.57</v>
      </c>
      <c r="C324" s="20">
        <v>733.23</v>
      </c>
      <c r="D324" s="20">
        <v>152.91999999999999</v>
      </c>
      <c r="E324" s="20">
        <v>298.33</v>
      </c>
      <c r="F324" s="20">
        <v>49005.65</v>
      </c>
    </row>
    <row r="325" spans="1:6" ht="13.5" customHeight="1" x14ac:dyDescent="0.3">
      <c r="A325" s="21">
        <v>43917</v>
      </c>
      <c r="B325" s="22">
        <v>225.01</v>
      </c>
      <c r="C325" s="22">
        <v>727.95</v>
      </c>
      <c r="D325" s="22">
        <v>149.52000000000001</v>
      </c>
      <c r="E325" s="22">
        <v>285.97000000000003</v>
      </c>
      <c r="F325" s="22">
        <v>48909.26</v>
      </c>
    </row>
    <row r="326" spans="1:6" ht="13.5" customHeight="1" x14ac:dyDescent="0.3">
      <c r="A326" s="19">
        <v>43920</v>
      </c>
      <c r="B326" s="20">
        <v>219.11</v>
      </c>
      <c r="C326" s="20">
        <v>716.56</v>
      </c>
      <c r="D326" s="20">
        <v>147.1</v>
      </c>
      <c r="E326" s="20">
        <v>296.55</v>
      </c>
      <c r="F326" s="20">
        <v>48748.67</v>
      </c>
    </row>
    <row r="327" spans="1:6" ht="13.5" customHeight="1" x14ac:dyDescent="0.3">
      <c r="A327" s="21">
        <v>43921</v>
      </c>
      <c r="B327" s="22">
        <v>224.07</v>
      </c>
      <c r="C327" s="22">
        <v>728.02</v>
      </c>
      <c r="D327" s="22">
        <v>147.79</v>
      </c>
      <c r="E327" s="22">
        <v>301.43</v>
      </c>
      <c r="F327" s="22">
        <v>49391.32</v>
      </c>
    </row>
    <row r="328" spans="1:6" ht="13.5" customHeight="1" x14ac:dyDescent="0.3">
      <c r="A328" s="19">
        <v>43922</v>
      </c>
      <c r="B328" s="20">
        <v>224.93</v>
      </c>
      <c r="C328" s="20">
        <v>730.11</v>
      </c>
      <c r="D328" s="20">
        <v>146.52000000000001</v>
      </c>
      <c r="E328" s="20">
        <v>299.32</v>
      </c>
      <c r="F328" s="20">
        <v>49648.12</v>
      </c>
    </row>
    <row r="329" spans="1:6" ht="13.5" customHeight="1" x14ac:dyDescent="0.3">
      <c r="A329" s="21">
        <v>43923</v>
      </c>
      <c r="B329" s="22">
        <v>221.45</v>
      </c>
      <c r="C329" s="22">
        <v>731.16</v>
      </c>
      <c r="D329" s="22">
        <v>145.6</v>
      </c>
      <c r="E329" s="22">
        <v>300.07</v>
      </c>
      <c r="F329" s="22">
        <v>50192.12</v>
      </c>
    </row>
    <row r="330" spans="1:6" ht="13.5" customHeight="1" x14ac:dyDescent="0.3">
      <c r="A330" s="19">
        <v>43924</v>
      </c>
      <c r="B330" s="20">
        <v>227.69</v>
      </c>
      <c r="C330" s="20">
        <v>738.79</v>
      </c>
      <c r="D330" s="20">
        <v>144.13999999999999</v>
      </c>
      <c r="E330" s="20">
        <v>303.95999999999998</v>
      </c>
      <c r="F330" s="20">
        <v>51204.65</v>
      </c>
    </row>
    <row r="331" spans="1:6" ht="13.5" customHeight="1" x14ac:dyDescent="0.3">
      <c r="A331" s="21">
        <v>43927</v>
      </c>
      <c r="B331" s="22">
        <v>229.79</v>
      </c>
      <c r="C331" s="22">
        <v>752.74</v>
      </c>
      <c r="D331" s="22">
        <v>143.87</v>
      </c>
      <c r="E331" s="22">
        <v>301.27</v>
      </c>
      <c r="F331" s="22">
        <v>50935.42</v>
      </c>
    </row>
    <row r="332" spans="1:6" ht="13.5" customHeight="1" x14ac:dyDescent="0.3">
      <c r="A332" s="19">
        <v>43928</v>
      </c>
      <c r="B332" s="20">
        <v>223.84</v>
      </c>
      <c r="C332" s="20">
        <v>731.91</v>
      </c>
      <c r="D332" s="20">
        <v>141.87</v>
      </c>
      <c r="E332" s="20">
        <v>304.05</v>
      </c>
      <c r="F332" s="20">
        <v>51132.95</v>
      </c>
    </row>
    <row r="333" spans="1:6" ht="13.5" customHeight="1" x14ac:dyDescent="0.3">
      <c r="A333" s="21">
        <v>43929</v>
      </c>
      <c r="B333" s="22">
        <v>224.82</v>
      </c>
      <c r="C333" s="22">
        <v>741.46</v>
      </c>
      <c r="D333" s="22">
        <v>139.07</v>
      </c>
      <c r="E333" s="22">
        <v>303.45</v>
      </c>
      <c r="F333" s="22">
        <v>51703.040000000001</v>
      </c>
    </row>
    <row r="334" spans="1:6" ht="13.5" customHeight="1" x14ac:dyDescent="0.3">
      <c r="A334" s="19">
        <v>43930</v>
      </c>
      <c r="B334" s="20">
        <v>222.61</v>
      </c>
      <c r="C334" s="20">
        <v>718.25</v>
      </c>
      <c r="D334" s="20">
        <v>139.97</v>
      </c>
      <c r="E334" s="20">
        <v>302.16000000000003</v>
      </c>
      <c r="F334" s="20">
        <v>52187.519999999997</v>
      </c>
    </row>
    <row r="335" spans="1:6" ht="13.5" customHeight="1" x14ac:dyDescent="0.3">
      <c r="A335" s="21">
        <v>43931</v>
      </c>
      <c r="B335" s="22">
        <v>223.03</v>
      </c>
      <c r="C335" s="22">
        <v>708.61</v>
      </c>
      <c r="D335" s="22">
        <v>140.30000000000001</v>
      </c>
      <c r="E335" s="22">
        <v>311.01</v>
      </c>
      <c r="F335" s="22">
        <v>51984.87</v>
      </c>
    </row>
    <row r="336" spans="1:6" ht="13.5" customHeight="1" x14ac:dyDescent="0.3">
      <c r="A336" s="19">
        <v>43934</v>
      </c>
      <c r="B336" s="20">
        <v>221.66</v>
      </c>
      <c r="C336" s="20">
        <v>721.68</v>
      </c>
      <c r="D336" s="20">
        <v>142.52000000000001</v>
      </c>
      <c r="E336" s="20">
        <v>299.18</v>
      </c>
      <c r="F336" s="20">
        <v>52033.75</v>
      </c>
    </row>
    <row r="337" spans="1:6" ht="13.5" customHeight="1" x14ac:dyDescent="0.3">
      <c r="A337" s="21">
        <v>43935</v>
      </c>
      <c r="B337" s="22">
        <v>225.95</v>
      </c>
      <c r="C337" s="22">
        <v>730.91</v>
      </c>
      <c r="D337" s="22">
        <v>143.75</v>
      </c>
      <c r="E337" s="22">
        <v>299.58999999999997</v>
      </c>
      <c r="F337" s="22">
        <v>53187.86</v>
      </c>
    </row>
    <row r="338" spans="1:6" ht="13.5" customHeight="1" x14ac:dyDescent="0.3">
      <c r="A338" s="19">
        <v>43936</v>
      </c>
      <c r="B338" s="20">
        <v>221.57</v>
      </c>
      <c r="C338" s="20">
        <v>739.92</v>
      </c>
      <c r="D338" s="20">
        <v>144.76</v>
      </c>
      <c r="E338" s="20">
        <v>291.83999999999997</v>
      </c>
      <c r="F338" s="20">
        <v>52870.400000000001</v>
      </c>
    </row>
    <row r="339" spans="1:6" ht="13.5" customHeight="1" x14ac:dyDescent="0.3">
      <c r="A339" s="21">
        <v>43937</v>
      </c>
      <c r="B339" s="22">
        <v>222.61</v>
      </c>
      <c r="C339" s="22">
        <v>742.73</v>
      </c>
      <c r="D339" s="22">
        <v>146.54</v>
      </c>
      <c r="E339" s="22">
        <v>290.98</v>
      </c>
      <c r="F339" s="22">
        <v>53167.91</v>
      </c>
    </row>
    <row r="340" spans="1:6" ht="13.5" customHeight="1" x14ac:dyDescent="0.3">
      <c r="A340" s="19">
        <v>43938</v>
      </c>
      <c r="B340" s="20">
        <v>228.28</v>
      </c>
      <c r="C340" s="20">
        <v>761.69</v>
      </c>
      <c r="D340" s="20">
        <v>144.47999999999999</v>
      </c>
      <c r="E340" s="20">
        <v>287.22000000000003</v>
      </c>
      <c r="F340" s="20">
        <v>53485.01</v>
      </c>
    </row>
    <row r="341" spans="1:6" ht="13.5" customHeight="1" x14ac:dyDescent="0.3">
      <c r="A341" s="21">
        <v>43941</v>
      </c>
      <c r="B341" s="22">
        <v>225.74</v>
      </c>
      <c r="C341" s="22">
        <v>741.44</v>
      </c>
      <c r="D341" s="22">
        <v>143.41</v>
      </c>
      <c r="E341" s="22">
        <v>301.18</v>
      </c>
      <c r="F341" s="22">
        <v>52635.55</v>
      </c>
    </row>
    <row r="342" spans="1:6" ht="13.5" customHeight="1" x14ac:dyDescent="0.3">
      <c r="A342" s="19">
        <v>43942</v>
      </c>
      <c r="B342" s="20">
        <v>226.47</v>
      </c>
      <c r="C342" s="20">
        <v>737.89</v>
      </c>
      <c r="D342" s="20">
        <v>144.09</v>
      </c>
      <c r="E342" s="20">
        <v>298.39999999999998</v>
      </c>
      <c r="F342" s="20">
        <v>53042.23</v>
      </c>
    </row>
    <row r="343" spans="1:6" ht="13.5" customHeight="1" x14ac:dyDescent="0.3">
      <c r="A343" s="21">
        <v>43943</v>
      </c>
      <c r="B343" s="22">
        <v>227.17</v>
      </c>
      <c r="C343" s="22">
        <v>738.95</v>
      </c>
      <c r="D343" s="22">
        <v>146.26</v>
      </c>
      <c r="E343" s="22">
        <v>297.77</v>
      </c>
      <c r="F343" s="22">
        <v>52253.11</v>
      </c>
    </row>
    <row r="344" spans="1:6" ht="13.5" customHeight="1" x14ac:dyDescent="0.3">
      <c r="A344" s="19">
        <v>43944</v>
      </c>
      <c r="B344" s="20">
        <v>225.07</v>
      </c>
      <c r="C344" s="20">
        <v>765.91</v>
      </c>
      <c r="D344" s="20">
        <v>147.81</v>
      </c>
      <c r="E344" s="20">
        <v>294.43</v>
      </c>
      <c r="F344" s="20">
        <v>52398.98</v>
      </c>
    </row>
    <row r="345" spans="1:6" ht="13.5" customHeight="1" x14ac:dyDescent="0.3">
      <c r="A345" s="21">
        <v>43945</v>
      </c>
      <c r="B345" s="22">
        <v>227.16</v>
      </c>
      <c r="C345" s="22">
        <v>780.24</v>
      </c>
      <c r="D345" s="22">
        <v>147.38</v>
      </c>
      <c r="E345" s="22">
        <v>299.52</v>
      </c>
      <c r="F345" s="22">
        <v>53151.3</v>
      </c>
    </row>
    <row r="346" spans="1:6" ht="13.5" customHeight="1" x14ac:dyDescent="0.3">
      <c r="A346" s="19">
        <v>43948</v>
      </c>
      <c r="B346" s="20">
        <v>227.54</v>
      </c>
      <c r="C346" s="20">
        <v>794.99</v>
      </c>
      <c r="D346" s="20">
        <v>147</v>
      </c>
      <c r="E346" s="20">
        <v>296.77</v>
      </c>
      <c r="F346" s="20">
        <v>52871.07</v>
      </c>
    </row>
    <row r="347" spans="1:6" ht="13.5" customHeight="1" x14ac:dyDescent="0.3">
      <c r="A347" s="21">
        <v>43949</v>
      </c>
      <c r="B347" s="22">
        <v>224.64</v>
      </c>
      <c r="C347" s="22">
        <v>784.79</v>
      </c>
      <c r="D347" s="22">
        <v>147.63999999999999</v>
      </c>
      <c r="E347" s="22">
        <v>293.24</v>
      </c>
      <c r="F347" s="22">
        <v>51979.03</v>
      </c>
    </row>
    <row r="348" spans="1:6" ht="13.5" customHeight="1" x14ac:dyDescent="0.3">
      <c r="A348" s="19">
        <v>43950</v>
      </c>
      <c r="B348" s="20">
        <v>230.2</v>
      </c>
      <c r="C348" s="20">
        <v>816.4</v>
      </c>
      <c r="D348" s="20">
        <v>145.01</v>
      </c>
      <c r="E348" s="20">
        <v>303.74</v>
      </c>
      <c r="F348" s="20">
        <v>51983.67</v>
      </c>
    </row>
    <row r="349" spans="1:6" ht="13.5" customHeight="1" x14ac:dyDescent="0.3">
      <c r="A349" s="21">
        <v>43951</v>
      </c>
      <c r="B349" s="22">
        <v>232.79</v>
      </c>
      <c r="C349" s="22">
        <v>823.68</v>
      </c>
      <c r="D349" s="22">
        <v>147</v>
      </c>
      <c r="E349" s="22">
        <v>308.37</v>
      </c>
      <c r="F349" s="22">
        <v>51990.77</v>
      </c>
    </row>
    <row r="350" spans="1:6" ht="13.5" customHeight="1" x14ac:dyDescent="0.3">
      <c r="A350" s="19">
        <v>43952</v>
      </c>
      <c r="B350" s="20">
        <v>232.33</v>
      </c>
      <c r="C350" s="20">
        <v>809.55</v>
      </c>
      <c r="D350" s="20">
        <v>148.85</v>
      </c>
      <c r="E350" s="20">
        <v>310.08999999999997</v>
      </c>
      <c r="F350" s="20">
        <v>52080.480000000003</v>
      </c>
    </row>
    <row r="351" spans="1:6" ht="13.5" customHeight="1" x14ac:dyDescent="0.3">
      <c r="A351" s="21">
        <v>43955</v>
      </c>
      <c r="B351" s="22">
        <v>230.35</v>
      </c>
      <c r="C351" s="22">
        <v>843.52</v>
      </c>
      <c r="D351" s="22">
        <v>151.09</v>
      </c>
      <c r="E351" s="22">
        <v>324.37</v>
      </c>
      <c r="F351" s="22">
        <v>52233.13</v>
      </c>
    </row>
    <row r="352" spans="1:6" ht="13.5" customHeight="1" x14ac:dyDescent="0.3">
      <c r="A352" s="19">
        <v>43956</v>
      </c>
      <c r="B352" s="20">
        <v>227.92</v>
      </c>
      <c r="C352" s="20">
        <v>822.8</v>
      </c>
      <c r="D352" s="20">
        <v>153.51</v>
      </c>
      <c r="E352" s="20">
        <v>320.64</v>
      </c>
      <c r="F352" s="20">
        <v>52420.02</v>
      </c>
    </row>
    <row r="353" spans="1:6" ht="13.5" customHeight="1" x14ac:dyDescent="0.3">
      <c r="A353" s="21">
        <v>43957</v>
      </c>
      <c r="B353" s="22">
        <v>231.88</v>
      </c>
      <c r="C353" s="22">
        <v>810.68</v>
      </c>
      <c r="D353" s="22">
        <v>155.99</v>
      </c>
      <c r="E353" s="22">
        <v>315.87</v>
      </c>
      <c r="F353" s="22">
        <v>51568.78</v>
      </c>
    </row>
    <row r="354" spans="1:6" ht="13.5" customHeight="1" x14ac:dyDescent="0.3">
      <c r="A354" s="19">
        <v>43958</v>
      </c>
      <c r="B354" s="20">
        <v>231.49</v>
      </c>
      <c r="C354" s="20">
        <v>807.82</v>
      </c>
      <c r="D354" s="20">
        <v>151.41999999999999</v>
      </c>
      <c r="E354" s="20">
        <v>311.29000000000002</v>
      </c>
      <c r="F354" s="20">
        <v>52215.29</v>
      </c>
    </row>
    <row r="355" spans="1:6" ht="13.5" customHeight="1" x14ac:dyDescent="0.3">
      <c r="A355" s="21">
        <v>43959</v>
      </c>
      <c r="B355" s="22">
        <v>233.03</v>
      </c>
      <c r="C355" s="22">
        <v>794.33</v>
      </c>
      <c r="D355" s="22">
        <v>152.02000000000001</v>
      </c>
      <c r="E355" s="22">
        <v>318.51</v>
      </c>
      <c r="F355" s="22">
        <v>50950.85</v>
      </c>
    </row>
    <row r="356" spans="1:6" ht="13.5" customHeight="1" x14ac:dyDescent="0.3">
      <c r="A356" s="19">
        <v>43962</v>
      </c>
      <c r="B356" s="20">
        <v>232.51</v>
      </c>
      <c r="C356" s="20">
        <v>802.19</v>
      </c>
      <c r="D356" s="20">
        <v>148.65</v>
      </c>
      <c r="E356" s="20">
        <v>314.94</v>
      </c>
      <c r="F356" s="20">
        <v>50763.839999999997</v>
      </c>
    </row>
    <row r="357" spans="1:6" ht="13.5" customHeight="1" x14ac:dyDescent="0.3">
      <c r="A357" s="21">
        <v>43963</v>
      </c>
      <c r="B357" s="22">
        <v>234.57</v>
      </c>
      <c r="C357" s="22">
        <v>806.58</v>
      </c>
      <c r="D357" s="22">
        <v>146.47999999999999</v>
      </c>
      <c r="E357" s="22">
        <v>322.17</v>
      </c>
      <c r="F357" s="22">
        <v>51245.82</v>
      </c>
    </row>
    <row r="358" spans="1:6" ht="13.5" customHeight="1" x14ac:dyDescent="0.3">
      <c r="A358" s="19">
        <v>43964</v>
      </c>
      <c r="B358" s="20">
        <v>234.27</v>
      </c>
      <c r="C358" s="20">
        <v>808.68</v>
      </c>
      <c r="D358" s="20">
        <v>146.22999999999999</v>
      </c>
      <c r="E358" s="20">
        <v>318.49</v>
      </c>
      <c r="F358" s="20">
        <v>50820.17</v>
      </c>
    </row>
    <row r="359" spans="1:6" ht="13.5" customHeight="1" x14ac:dyDescent="0.3">
      <c r="A359" s="21">
        <v>43965</v>
      </c>
      <c r="B359" s="22">
        <v>236.82</v>
      </c>
      <c r="C359" s="22">
        <v>836.17</v>
      </c>
      <c r="D359" s="22">
        <v>149.02000000000001</v>
      </c>
      <c r="E359" s="22">
        <v>307.72000000000003</v>
      </c>
      <c r="F359" s="22">
        <v>50001.88</v>
      </c>
    </row>
    <row r="360" spans="1:6" ht="13.5" customHeight="1" x14ac:dyDescent="0.3">
      <c r="A360" s="19">
        <v>43966</v>
      </c>
      <c r="B360" s="20">
        <v>236.3</v>
      </c>
      <c r="C360" s="20">
        <v>812.57</v>
      </c>
      <c r="D360" s="20">
        <v>149.85</v>
      </c>
      <c r="E360" s="20">
        <v>303.20999999999998</v>
      </c>
      <c r="F360" s="20">
        <v>49593.01</v>
      </c>
    </row>
    <row r="361" spans="1:6" ht="13.5" customHeight="1" x14ac:dyDescent="0.3">
      <c r="A361" s="21">
        <v>43969</v>
      </c>
      <c r="B361" s="22">
        <v>239.09</v>
      </c>
      <c r="C361" s="22">
        <v>832.64</v>
      </c>
      <c r="D361" s="22">
        <v>150.46</v>
      </c>
      <c r="E361" s="22">
        <v>305</v>
      </c>
      <c r="F361" s="22">
        <v>49336.95</v>
      </c>
    </row>
    <row r="362" spans="1:6" ht="13.5" customHeight="1" x14ac:dyDescent="0.3">
      <c r="A362" s="19">
        <v>43970</v>
      </c>
      <c r="B362" s="20">
        <v>241.39</v>
      </c>
      <c r="C362" s="20">
        <v>821.02</v>
      </c>
      <c r="D362" s="20">
        <v>154.75</v>
      </c>
      <c r="E362" s="20">
        <v>312.02</v>
      </c>
      <c r="F362" s="20">
        <v>50476.24</v>
      </c>
    </row>
    <row r="363" spans="1:6" ht="13.5" customHeight="1" x14ac:dyDescent="0.3">
      <c r="A363" s="21">
        <v>43971</v>
      </c>
      <c r="B363" s="22">
        <v>241.08</v>
      </c>
      <c r="C363" s="22">
        <v>842.68</v>
      </c>
      <c r="D363" s="22">
        <v>155.4</v>
      </c>
      <c r="E363" s="22">
        <v>319.83999999999997</v>
      </c>
      <c r="F363" s="22">
        <v>49639.01</v>
      </c>
    </row>
    <row r="364" spans="1:6" ht="13.5" customHeight="1" x14ac:dyDescent="0.3">
      <c r="A364" s="19">
        <v>43972</v>
      </c>
      <c r="B364" s="20">
        <v>238.28</v>
      </c>
      <c r="C364" s="20">
        <v>871.5</v>
      </c>
      <c r="D364" s="20">
        <v>153.13999999999999</v>
      </c>
      <c r="E364" s="20">
        <v>322.20999999999998</v>
      </c>
      <c r="F364" s="20">
        <v>49893.62</v>
      </c>
    </row>
    <row r="365" spans="1:6" ht="13.5" customHeight="1" x14ac:dyDescent="0.3">
      <c r="A365" s="21">
        <v>43973</v>
      </c>
      <c r="B365" s="22">
        <v>235.25</v>
      </c>
      <c r="C365" s="22">
        <v>907.4</v>
      </c>
      <c r="D365" s="22">
        <v>149.83000000000001</v>
      </c>
      <c r="E365" s="22">
        <v>326.52</v>
      </c>
      <c r="F365" s="22">
        <v>49797.99</v>
      </c>
    </row>
    <row r="366" spans="1:6" ht="13.5" customHeight="1" x14ac:dyDescent="0.3">
      <c r="A366" s="19">
        <v>43976</v>
      </c>
      <c r="B366" s="20">
        <v>232.91</v>
      </c>
      <c r="C366" s="20">
        <v>904.89</v>
      </c>
      <c r="D366" s="20">
        <v>147.83000000000001</v>
      </c>
      <c r="E366" s="20">
        <v>310.36</v>
      </c>
      <c r="F366" s="20">
        <v>49355.02</v>
      </c>
    </row>
    <row r="367" spans="1:6" ht="13.5" customHeight="1" x14ac:dyDescent="0.3">
      <c r="A367" s="21">
        <v>43977</v>
      </c>
      <c r="B367" s="22">
        <v>229.81</v>
      </c>
      <c r="C367" s="22">
        <v>886.86</v>
      </c>
      <c r="D367" s="22">
        <v>148.15</v>
      </c>
      <c r="E367" s="22">
        <v>312.05</v>
      </c>
      <c r="F367" s="22">
        <v>48599.3</v>
      </c>
    </row>
    <row r="368" spans="1:6" ht="13.5" customHeight="1" x14ac:dyDescent="0.3">
      <c r="A368" s="19">
        <v>43978</v>
      </c>
      <c r="B368" s="20">
        <v>232.64</v>
      </c>
      <c r="C368" s="20">
        <v>892.52</v>
      </c>
      <c r="D368" s="20">
        <v>144.62</v>
      </c>
      <c r="E368" s="20">
        <v>312.43</v>
      </c>
      <c r="F368" s="20">
        <v>47961.9</v>
      </c>
    </row>
    <row r="369" spans="1:6" ht="13.5" customHeight="1" x14ac:dyDescent="0.3">
      <c r="A369" s="21">
        <v>43979</v>
      </c>
      <c r="B369" s="22">
        <v>232.56</v>
      </c>
      <c r="C369" s="22">
        <v>892.21</v>
      </c>
      <c r="D369" s="22">
        <v>145.66999999999999</v>
      </c>
      <c r="E369" s="22">
        <v>310.75</v>
      </c>
      <c r="F369" s="22">
        <v>48165.64</v>
      </c>
    </row>
    <row r="370" spans="1:6" ht="13.5" customHeight="1" x14ac:dyDescent="0.3">
      <c r="A370" s="19">
        <v>43980</v>
      </c>
      <c r="B370" s="20">
        <v>237.7</v>
      </c>
      <c r="C370" s="20">
        <v>865</v>
      </c>
      <c r="D370" s="20">
        <v>146.44</v>
      </c>
      <c r="E370" s="20">
        <v>306.99</v>
      </c>
      <c r="F370" s="20">
        <v>48551.37</v>
      </c>
    </row>
    <row r="371" spans="1:6" ht="13.5" customHeight="1" x14ac:dyDescent="0.3">
      <c r="A371" s="21">
        <v>43983</v>
      </c>
      <c r="B371" s="22">
        <v>245.28</v>
      </c>
      <c r="C371" s="22">
        <v>876.74</v>
      </c>
      <c r="D371" s="22">
        <v>144.84</v>
      </c>
      <c r="E371" s="22">
        <v>312.24</v>
      </c>
      <c r="F371" s="22">
        <v>49292.639999999999</v>
      </c>
    </row>
    <row r="372" spans="1:6" ht="13.5" customHeight="1" x14ac:dyDescent="0.3">
      <c r="A372" s="19">
        <v>43984</v>
      </c>
      <c r="B372" s="20">
        <v>245.44</v>
      </c>
      <c r="C372" s="20">
        <v>862.99</v>
      </c>
      <c r="D372" s="20">
        <v>145.13</v>
      </c>
      <c r="E372" s="20">
        <v>319.11</v>
      </c>
      <c r="F372" s="20">
        <v>48776</v>
      </c>
    </row>
    <row r="373" spans="1:6" ht="13.5" customHeight="1" x14ac:dyDescent="0.3">
      <c r="A373" s="21">
        <v>43985</v>
      </c>
      <c r="B373" s="22">
        <v>240.25</v>
      </c>
      <c r="C373" s="22">
        <v>885.46</v>
      </c>
      <c r="D373" s="22">
        <v>146.37</v>
      </c>
      <c r="E373" s="22">
        <v>331.11</v>
      </c>
      <c r="F373" s="22">
        <v>47619.8</v>
      </c>
    </row>
    <row r="374" spans="1:6" ht="13.5" customHeight="1" x14ac:dyDescent="0.3">
      <c r="A374" s="19">
        <v>43986</v>
      </c>
      <c r="B374" s="20">
        <v>239.06</v>
      </c>
      <c r="C374" s="20">
        <v>901.06</v>
      </c>
      <c r="D374" s="20">
        <v>144.97</v>
      </c>
      <c r="E374" s="20">
        <v>330.05</v>
      </c>
      <c r="F374" s="20">
        <v>47947.73</v>
      </c>
    </row>
    <row r="375" spans="1:6" ht="13.5" customHeight="1" x14ac:dyDescent="0.3">
      <c r="A375" s="21">
        <v>43987</v>
      </c>
      <c r="B375" s="22">
        <v>238.89</v>
      </c>
      <c r="C375" s="22">
        <v>897.12</v>
      </c>
      <c r="D375" s="22">
        <v>146.69999999999999</v>
      </c>
      <c r="E375" s="22">
        <v>325.24</v>
      </c>
      <c r="F375" s="22">
        <v>48251.15</v>
      </c>
    </row>
    <row r="376" spans="1:6" ht="13.5" customHeight="1" x14ac:dyDescent="0.3">
      <c r="A376" s="19">
        <v>43990</v>
      </c>
      <c r="B376" s="20">
        <v>234.03</v>
      </c>
      <c r="C376" s="20">
        <v>898.23</v>
      </c>
      <c r="D376" s="20">
        <v>145.1</v>
      </c>
      <c r="E376" s="20">
        <v>336.98</v>
      </c>
      <c r="F376" s="20">
        <v>48916.71</v>
      </c>
    </row>
    <row r="377" spans="1:6" ht="13.5" customHeight="1" x14ac:dyDescent="0.3">
      <c r="A377" s="21">
        <v>43991</v>
      </c>
      <c r="B377" s="22">
        <v>233.3</v>
      </c>
      <c r="C377" s="22">
        <v>894.92</v>
      </c>
      <c r="D377" s="22">
        <v>146.5</v>
      </c>
      <c r="E377" s="22">
        <v>335.1</v>
      </c>
      <c r="F377" s="22">
        <v>47883.839999999997</v>
      </c>
    </row>
    <row r="378" spans="1:6" ht="13.5" customHeight="1" x14ac:dyDescent="0.3">
      <c r="A378" s="19">
        <v>43992</v>
      </c>
      <c r="B378" s="20">
        <v>234.3</v>
      </c>
      <c r="C378" s="20">
        <v>888.23</v>
      </c>
      <c r="D378" s="20">
        <v>149.93</v>
      </c>
      <c r="E378" s="20">
        <v>331.96</v>
      </c>
      <c r="F378" s="20">
        <v>48713.56</v>
      </c>
    </row>
    <row r="379" spans="1:6" ht="13.5" customHeight="1" x14ac:dyDescent="0.3">
      <c r="A379" s="21">
        <v>43993</v>
      </c>
      <c r="B379" s="22">
        <v>232.88</v>
      </c>
      <c r="C379" s="22">
        <v>937.3</v>
      </c>
      <c r="D379" s="22">
        <v>150.75</v>
      </c>
      <c r="E379" s="22">
        <v>323.42</v>
      </c>
      <c r="F379" s="22">
        <v>48803.23</v>
      </c>
    </row>
    <row r="380" spans="1:6" ht="13.5" customHeight="1" x14ac:dyDescent="0.3">
      <c r="A380" s="19">
        <v>43994</v>
      </c>
      <c r="B380" s="20">
        <v>230.47</v>
      </c>
      <c r="C380" s="20">
        <v>922.38</v>
      </c>
      <c r="D380" s="20">
        <v>147.78</v>
      </c>
      <c r="E380" s="20">
        <v>326.14</v>
      </c>
      <c r="F380" s="20">
        <v>49937.279999999999</v>
      </c>
    </row>
    <row r="381" spans="1:6" ht="13.5" customHeight="1" x14ac:dyDescent="0.3">
      <c r="A381" s="21">
        <v>43997</v>
      </c>
      <c r="B381" s="22">
        <v>228.12</v>
      </c>
      <c r="C381" s="22">
        <v>923.83</v>
      </c>
      <c r="D381" s="22">
        <v>148.05000000000001</v>
      </c>
      <c r="E381" s="22">
        <v>330.03</v>
      </c>
      <c r="F381" s="22">
        <v>49836.58</v>
      </c>
    </row>
    <row r="382" spans="1:6" ht="13.5" customHeight="1" x14ac:dyDescent="0.3">
      <c r="A382" s="19">
        <v>43998</v>
      </c>
      <c r="B382" s="20">
        <v>233.85</v>
      </c>
      <c r="C382" s="20">
        <v>940.54</v>
      </c>
      <c r="D382" s="20">
        <v>148.29</v>
      </c>
      <c r="E382" s="20">
        <v>335.45</v>
      </c>
      <c r="F382" s="20">
        <v>50640.31</v>
      </c>
    </row>
    <row r="383" spans="1:6" ht="13.5" customHeight="1" x14ac:dyDescent="0.3">
      <c r="A383" s="21">
        <v>43999</v>
      </c>
      <c r="B383" s="22">
        <v>233.4</v>
      </c>
      <c r="C383" s="22">
        <v>934.72</v>
      </c>
      <c r="D383" s="22">
        <v>146.34</v>
      </c>
      <c r="E383" s="22">
        <v>337.02</v>
      </c>
      <c r="F383" s="22">
        <v>50325.66</v>
      </c>
    </row>
    <row r="384" spans="1:6" ht="13.5" customHeight="1" x14ac:dyDescent="0.3">
      <c r="A384" s="19">
        <v>44000</v>
      </c>
      <c r="B384" s="20">
        <v>230.79</v>
      </c>
      <c r="C384" s="20">
        <v>924.91</v>
      </c>
      <c r="D384" s="20">
        <v>143.5</v>
      </c>
      <c r="E384" s="20">
        <v>340.65</v>
      </c>
      <c r="F384" s="20">
        <v>51570.85</v>
      </c>
    </row>
    <row r="385" spans="1:6" ht="13.5" customHeight="1" x14ac:dyDescent="0.3">
      <c r="A385" s="21">
        <v>44001</v>
      </c>
      <c r="B385" s="22">
        <v>229.67</v>
      </c>
      <c r="C385" s="22">
        <v>903.78</v>
      </c>
      <c r="D385" s="22">
        <v>142.69</v>
      </c>
      <c r="E385" s="22">
        <v>344.38</v>
      </c>
      <c r="F385" s="22">
        <v>51289.05</v>
      </c>
    </row>
    <row r="386" spans="1:6" ht="13.5" customHeight="1" x14ac:dyDescent="0.3">
      <c r="A386" s="19">
        <v>44004</v>
      </c>
      <c r="B386" s="20">
        <v>232.78</v>
      </c>
      <c r="C386" s="20">
        <v>923.32</v>
      </c>
      <c r="D386" s="20">
        <v>144.69999999999999</v>
      </c>
      <c r="E386" s="20">
        <v>347.89</v>
      </c>
      <c r="F386" s="20">
        <v>50425.46</v>
      </c>
    </row>
    <row r="387" spans="1:6" ht="13.5" customHeight="1" x14ac:dyDescent="0.3">
      <c r="A387" s="21">
        <v>44005</v>
      </c>
      <c r="B387" s="22">
        <v>230.65</v>
      </c>
      <c r="C387" s="22">
        <v>935.47</v>
      </c>
      <c r="D387" s="22">
        <v>146.62</v>
      </c>
      <c r="E387" s="22">
        <v>355.8</v>
      </c>
      <c r="F387" s="22">
        <v>50579.71</v>
      </c>
    </row>
    <row r="388" spans="1:6" ht="13.5" customHeight="1" x14ac:dyDescent="0.3">
      <c r="A388" s="19">
        <v>44006</v>
      </c>
      <c r="B388" s="20">
        <v>232.26</v>
      </c>
      <c r="C388" s="20">
        <v>943.78</v>
      </c>
      <c r="D388" s="20">
        <v>149.44999999999999</v>
      </c>
      <c r="E388" s="20">
        <v>361.71</v>
      </c>
      <c r="F388" s="20">
        <v>51252.6</v>
      </c>
    </row>
    <row r="389" spans="1:6" ht="13.5" customHeight="1" x14ac:dyDescent="0.3">
      <c r="A389" s="21">
        <v>44007</v>
      </c>
      <c r="B389" s="22">
        <v>234.68</v>
      </c>
      <c r="C389" s="22">
        <v>919.22</v>
      </c>
      <c r="D389" s="22">
        <v>149.4</v>
      </c>
      <c r="E389" s="22">
        <v>363.17</v>
      </c>
      <c r="F389" s="22">
        <v>52007.37</v>
      </c>
    </row>
    <row r="390" spans="1:6" ht="13.5" customHeight="1" x14ac:dyDescent="0.3">
      <c r="A390" s="19">
        <v>44008</v>
      </c>
      <c r="B390" s="20">
        <v>237.19</v>
      </c>
      <c r="C390" s="20">
        <v>927.94</v>
      </c>
      <c r="D390" s="20">
        <v>154.09</v>
      </c>
      <c r="E390" s="20">
        <v>359.65</v>
      </c>
      <c r="F390" s="20">
        <v>51990.18</v>
      </c>
    </row>
    <row r="391" spans="1:6" ht="13.5" customHeight="1" x14ac:dyDescent="0.3">
      <c r="A391" s="21">
        <v>44011</v>
      </c>
      <c r="B391" s="22">
        <v>241.87</v>
      </c>
      <c r="C391" s="22">
        <v>933.16</v>
      </c>
      <c r="D391" s="22">
        <v>152.09</v>
      </c>
      <c r="E391" s="22">
        <v>365.28</v>
      </c>
      <c r="F391" s="22">
        <v>52243.89</v>
      </c>
    </row>
    <row r="392" spans="1:6" ht="13.5" customHeight="1" x14ac:dyDescent="0.3">
      <c r="A392" s="19">
        <v>44012</v>
      </c>
      <c r="B392" s="20">
        <v>240.1</v>
      </c>
      <c r="C392" s="20">
        <v>928.15</v>
      </c>
      <c r="D392" s="20">
        <v>153.21</v>
      </c>
      <c r="E392" s="20">
        <v>361.47</v>
      </c>
      <c r="F392" s="20">
        <v>52255.59</v>
      </c>
    </row>
    <row r="393" spans="1:6" ht="13.5" customHeight="1" x14ac:dyDescent="0.3">
      <c r="A393" s="21">
        <v>44013</v>
      </c>
      <c r="B393" s="22">
        <v>243.94</v>
      </c>
      <c r="C393" s="22">
        <v>906.16</v>
      </c>
      <c r="D393" s="22">
        <v>152.69</v>
      </c>
      <c r="E393" s="22">
        <v>360.64</v>
      </c>
      <c r="F393" s="22">
        <v>53071.97</v>
      </c>
    </row>
    <row r="394" spans="1:6" ht="13.5" customHeight="1" x14ac:dyDescent="0.3">
      <c r="A394" s="19">
        <v>44014</v>
      </c>
      <c r="B394" s="20">
        <v>241.34</v>
      </c>
      <c r="C394" s="20">
        <v>905.8</v>
      </c>
      <c r="D394" s="20">
        <v>156.33000000000001</v>
      </c>
      <c r="E394" s="20">
        <v>355.93</v>
      </c>
      <c r="F394" s="20">
        <v>53721.2</v>
      </c>
    </row>
    <row r="395" spans="1:6" ht="13.5" customHeight="1" x14ac:dyDescent="0.3">
      <c r="A395" s="21">
        <v>44015</v>
      </c>
      <c r="B395" s="22">
        <v>240.09</v>
      </c>
      <c r="C395" s="22">
        <v>892.42</v>
      </c>
      <c r="D395" s="22">
        <v>156.47999999999999</v>
      </c>
      <c r="E395" s="22">
        <v>370.44</v>
      </c>
      <c r="F395" s="22">
        <v>53433.79</v>
      </c>
    </row>
    <row r="396" spans="1:6" ht="13.5" customHeight="1" x14ac:dyDescent="0.3">
      <c r="A396" s="19">
        <v>44018</v>
      </c>
      <c r="B396" s="20">
        <v>244.15</v>
      </c>
      <c r="C396" s="20">
        <v>894.21</v>
      </c>
      <c r="D396" s="20">
        <v>153.99</v>
      </c>
      <c r="E396" s="20">
        <v>363.82</v>
      </c>
      <c r="F396" s="20">
        <v>54042.09</v>
      </c>
    </row>
    <row r="397" spans="1:6" ht="13.5" customHeight="1" x14ac:dyDescent="0.3">
      <c r="A397" s="21">
        <v>44019</v>
      </c>
      <c r="B397" s="22">
        <v>247.01</v>
      </c>
      <c r="C397" s="22">
        <v>895.74</v>
      </c>
      <c r="D397" s="22">
        <v>154.63999999999999</v>
      </c>
      <c r="E397" s="22">
        <v>368.56</v>
      </c>
      <c r="F397" s="22">
        <v>54048.74</v>
      </c>
    </row>
    <row r="398" spans="1:6" ht="13.5" customHeight="1" x14ac:dyDescent="0.3">
      <c r="A398" s="19">
        <v>44020</v>
      </c>
      <c r="B398" s="20">
        <v>247.09</v>
      </c>
      <c r="C398" s="20">
        <v>890.93</v>
      </c>
      <c r="D398" s="20">
        <v>151.97</v>
      </c>
      <c r="E398" s="20">
        <v>373.44</v>
      </c>
      <c r="F398" s="20">
        <v>54795.83</v>
      </c>
    </row>
    <row r="399" spans="1:6" ht="13.5" customHeight="1" x14ac:dyDescent="0.3">
      <c r="A399" s="21">
        <v>44021</v>
      </c>
      <c r="B399" s="22">
        <v>243.09</v>
      </c>
      <c r="C399" s="22">
        <v>905.33</v>
      </c>
      <c r="D399" s="22">
        <v>149.94</v>
      </c>
      <c r="E399" s="22">
        <v>379.81</v>
      </c>
      <c r="F399" s="22">
        <v>54579.96</v>
      </c>
    </row>
    <row r="400" spans="1:6" ht="13.5" customHeight="1" x14ac:dyDescent="0.3">
      <c r="A400" s="19">
        <v>44022</v>
      </c>
      <c r="B400" s="20">
        <v>245.06</v>
      </c>
      <c r="C400" s="20">
        <v>904.81</v>
      </c>
      <c r="D400" s="20">
        <v>152.19</v>
      </c>
      <c r="E400" s="20">
        <v>379.7</v>
      </c>
      <c r="F400" s="20">
        <v>54656.27</v>
      </c>
    </row>
    <row r="401" spans="1:6" ht="13.5" customHeight="1" x14ac:dyDescent="0.3">
      <c r="A401" s="21">
        <v>44025</v>
      </c>
      <c r="B401" s="22">
        <v>243</v>
      </c>
      <c r="C401" s="22">
        <v>913.79</v>
      </c>
      <c r="D401" s="22">
        <v>152.19999999999999</v>
      </c>
      <c r="E401" s="22">
        <v>380.49</v>
      </c>
      <c r="F401" s="22">
        <v>54323.23</v>
      </c>
    </row>
    <row r="402" spans="1:6" ht="13.5" customHeight="1" x14ac:dyDescent="0.3">
      <c r="A402" s="19">
        <v>44026</v>
      </c>
      <c r="B402" s="20">
        <v>239.96</v>
      </c>
      <c r="C402" s="20">
        <v>921.08</v>
      </c>
      <c r="D402" s="20">
        <v>154.31</v>
      </c>
      <c r="E402" s="20">
        <v>379.25</v>
      </c>
      <c r="F402" s="20">
        <v>53379.11</v>
      </c>
    </row>
    <row r="403" spans="1:6" ht="13.5" customHeight="1" x14ac:dyDescent="0.3">
      <c r="A403" s="21">
        <v>44027</v>
      </c>
      <c r="B403" s="22">
        <v>237.88</v>
      </c>
      <c r="C403" s="22">
        <v>938.01</v>
      </c>
      <c r="D403" s="22">
        <v>152.25</v>
      </c>
      <c r="E403" s="22">
        <v>359.95</v>
      </c>
      <c r="F403" s="22">
        <v>52662.8</v>
      </c>
    </row>
    <row r="404" spans="1:6" ht="13.5" customHeight="1" x14ac:dyDescent="0.3">
      <c r="A404" s="19">
        <v>44028</v>
      </c>
      <c r="B404" s="20">
        <v>238.77</v>
      </c>
      <c r="C404" s="20">
        <v>922.62</v>
      </c>
      <c r="D404" s="20">
        <v>155.41999999999999</v>
      </c>
      <c r="E404" s="20">
        <v>354.92</v>
      </c>
      <c r="F404" s="20">
        <v>53353.06</v>
      </c>
    </row>
    <row r="405" spans="1:6" ht="13.5" customHeight="1" x14ac:dyDescent="0.3">
      <c r="A405" s="21">
        <v>44029</v>
      </c>
      <c r="B405" s="22">
        <v>231.83</v>
      </c>
      <c r="C405" s="22">
        <v>917.55</v>
      </c>
      <c r="D405" s="22">
        <v>155.05000000000001</v>
      </c>
      <c r="E405" s="22">
        <v>364.24</v>
      </c>
      <c r="F405" s="22">
        <v>53747.19</v>
      </c>
    </row>
    <row r="406" spans="1:6" ht="13.5" customHeight="1" x14ac:dyDescent="0.3">
      <c r="A406" s="19">
        <v>44032</v>
      </c>
      <c r="B406" s="20">
        <v>233.06</v>
      </c>
      <c r="C406" s="20">
        <v>933.01</v>
      </c>
      <c r="D406" s="20">
        <v>150.34</v>
      </c>
      <c r="E406" s="20">
        <v>358.8</v>
      </c>
      <c r="F406" s="20">
        <v>53284.12</v>
      </c>
    </row>
    <row r="407" spans="1:6" ht="13.5" customHeight="1" x14ac:dyDescent="0.3">
      <c r="A407" s="21">
        <v>44033</v>
      </c>
      <c r="B407" s="22">
        <v>233.7</v>
      </c>
      <c r="C407" s="22">
        <v>936.1</v>
      </c>
      <c r="D407" s="22">
        <v>148.28</v>
      </c>
      <c r="E407" s="22">
        <v>359.88</v>
      </c>
      <c r="F407" s="22">
        <v>53600.69</v>
      </c>
    </row>
    <row r="408" spans="1:6" ht="13.5" customHeight="1" x14ac:dyDescent="0.3">
      <c r="A408" s="19">
        <v>44034</v>
      </c>
      <c r="B408" s="20">
        <v>231.88</v>
      </c>
      <c r="C408" s="20">
        <v>955.24</v>
      </c>
      <c r="D408" s="20">
        <v>145.07</v>
      </c>
      <c r="E408" s="20">
        <v>377.99</v>
      </c>
      <c r="F408" s="20">
        <v>53640.05</v>
      </c>
    </row>
    <row r="409" spans="1:6" ht="13.5" customHeight="1" x14ac:dyDescent="0.3">
      <c r="A409" s="21">
        <v>44035</v>
      </c>
      <c r="B409" s="22">
        <v>235.28</v>
      </c>
      <c r="C409" s="22">
        <v>968.37</v>
      </c>
      <c r="D409" s="22">
        <v>141.78</v>
      </c>
      <c r="E409" s="22">
        <v>371.26</v>
      </c>
      <c r="F409" s="22">
        <v>54128.88</v>
      </c>
    </row>
    <row r="410" spans="1:6" ht="13.5" customHeight="1" x14ac:dyDescent="0.3">
      <c r="A410" s="19">
        <v>44036</v>
      </c>
      <c r="B410" s="20">
        <v>237.35</v>
      </c>
      <c r="C410" s="20">
        <v>961.35</v>
      </c>
      <c r="D410" s="20">
        <v>142.97999999999999</v>
      </c>
      <c r="E410" s="20">
        <v>367.89</v>
      </c>
      <c r="F410" s="20">
        <v>53876.44</v>
      </c>
    </row>
    <row r="411" spans="1:6" ht="13.5" customHeight="1" x14ac:dyDescent="0.3">
      <c r="A411" s="21">
        <v>44039</v>
      </c>
      <c r="B411" s="22">
        <v>235.43</v>
      </c>
      <c r="C411" s="22">
        <v>976.85</v>
      </c>
      <c r="D411" s="22">
        <v>143.86000000000001</v>
      </c>
      <c r="E411" s="22">
        <v>366.32</v>
      </c>
      <c r="F411" s="22">
        <v>53889.83</v>
      </c>
    </row>
    <row r="412" spans="1:6" ht="13.5" customHeight="1" x14ac:dyDescent="0.3">
      <c r="A412" s="19">
        <v>44040</v>
      </c>
      <c r="B412" s="20">
        <v>233.32</v>
      </c>
      <c r="C412" s="20">
        <v>972.99</v>
      </c>
      <c r="D412" s="20">
        <v>145.26</v>
      </c>
      <c r="E412" s="20">
        <v>352.66</v>
      </c>
      <c r="F412" s="20">
        <v>53205.4</v>
      </c>
    </row>
    <row r="413" spans="1:6" ht="13.5" customHeight="1" x14ac:dyDescent="0.3">
      <c r="A413" s="21">
        <v>44041</v>
      </c>
      <c r="B413" s="22">
        <v>235.64</v>
      </c>
      <c r="C413" s="22">
        <v>989.99</v>
      </c>
      <c r="D413" s="22">
        <v>143.63</v>
      </c>
      <c r="E413" s="22">
        <v>347.04</v>
      </c>
      <c r="F413" s="22">
        <v>53916.27</v>
      </c>
    </row>
    <row r="414" spans="1:6" ht="13.5" customHeight="1" x14ac:dyDescent="0.3">
      <c r="A414" s="19">
        <v>44042</v>
      </c>
      <c r="B414" s="20">
        <v>230.77</v>
      </c>
      <c r="C414" s="20">
        <v>1022.95</v>
      </c>
      <c r="D414" s="20">
        <v>144.88999999999999</v>
      </c>
      <c r="E414" s="20">
        <v>337.83</v>
      </c>
      <c r="F414" s="20">
        <v>54256.02</v>
      </c>
    </row>
    <row r="415" spans="1:6" ht="13.5" customHeight="1" x14ac:dyDescent="0.3">
      <c r="A415" s="21">
        <v>44043</v>
      </c>
      <c r="B415" s="22">
        <v>229.78</v>
      </c>
      <c r="C415" s="22">
        <v>1043.26</v>
      </c>
      <c r="D415" s="22">
        <v>141.59</v>
      </c>
      <c r="E415" s="22">
        <v>341.47</v>
      </c>
      <c r="F415" s="22">
        <v>54348.28</v>
      </c>
    </row>
    <row r="416" spans="1:6" ht="13.5" customHeight="1" x14ac:dyDescent="0.3">
      <c r="A416" s="19">
        <v>44046</v>
      </c>
      <c r="B416" s="20">
        <v>227.84</v>
      </c>
      <c r="C416" s="20">
        <v>1086.01</v>
      </c>
      <c r="D416" s="20">
        <v>140.57</v>
      </c>
      <c r="E416" s="20">
        <v>340.03</v>
      </c>
      <c r="F416" s="20">
        <v>55874.45</v>
      </c>
    </row>
    <row r="417" spans="1:6" ht="13.5" customHeight="1" x14ac:dyDescent="0.3">
      <c r="A417" s="21">
        <v>44047</v>
      </c>
      <c r="B417" s="22">
        <v>228.13</v>
      </c>
      <c r="C417" s="22">
        <v>1056.93</v>
      </c>
      <c r="D417" s="22">
        <v>140.28</v>
      </c>
      <c r="E417" s="22">
        <v>326.49</v>
      </c>
      <c r="F417" s="22">
        <v>56641.35</v>
      </c>
    </row>
    <row r="418" spans="1:6" ht="13.5" customHeight="1" x14ac:dyDescent="0.3">
      <c r="A418" s="19">
        <v>44048</v>
      </c>
      <c r="B418" s="20">
        <v>228.87</v>
      </c>
      <c r="C418" s="20">
        <v>1047.3399999999999</v>
      </c>
      <c r="D418" s="20">
        <v>139.07</v>
      </c>
      <c r="E418" s="20">
        <v>331.65</v>
      </c>
      <c r="F418" s="20">
        <v>57579.88</v>
      </c>
    </row>
    <row r="419" spans="1:6" ht="13.5" customHeight="1" x14ac:dyDescent="0.3">
      <c r="A419" s="21">
        <v>44049</v>
      </c>
      <c r="B419" s="22">
        <v>229.06</v>
      </c>
      <c r="C419" s="22">
        <v>1043.04</v>
      </c>
      <c r="D419" s="22">
        <v>139.35</v>
      </c>
      <c r="E419" s="22">
        <v>337.9</v>
      </c>
      <c r="F419" s="22">
        <v>57817.71</v>
      </c>
    </row>
    <row r="420" spans="1:6" ht="13.5" customHeight="1" x14ac:dyDescent="0.3">
      <c r="A420" s="19">
        <v>44050</v>
      </c>
      <c r="B420" s="20">
        <v>232.74</v>
      </c>
      <c r="C420" s="20">
        <v>1036.3</v>
      </c>
      <c r="D420" s="20">
        <v>139.35</v>
      </c>
      <c r="E420" s="20">
        <v>335.75</v>
      </c>
      <c r="F420" s="20">
        <v>57501.93</v>
      </c>
    </row>
    <row r="421" spans="1:6" ht="13.5" customHeight="1" x14ac:dyDescent="0.3">
      <c r="A421" s="21">
        <v>44053</v>
      </c>
      <c r="B421" s="22">
        <v>233.55</v>
      </c>
      <c r="C421" s="22">
        <v>1043.72</v>
      </c>
      <c r="D421" s="22">
        <v>140.44</v>
      </c>
      <c r="E421" s="22">
        <v>341.92</v>
      </c>
      <c r="F421" s="22">
        <v>57820.65</v>
      </c>
    </row>
    <row r="422" spans="1:6" ht="13.5" customHeight="1" x14ac:dyDescent="0.3">
      <c r="A422" s="19">
        <v>44054</v>
      </c>
      <c r="B422" s="20">
        <v>232.6</v>
      </c>
      <c r="C422" s="20">
        <v>1037.57</v>
      </c>
      <c r="D422" s="20">
        <v>141.16999999999999</v>
      </c>
      <c r="E422" s="20">
        <v>345.87</v>
      </c>
      <c r="F422" s="20">
        <v>57875.48</v>
      </c>
    </row>
    <row r="423" spans="1:6" ht="13.5" customHeight="1" x14ac:dyDescent="0.3">
      <c r="A423" s="21">
        <v>44055</v>
      </c>
      <c r="B423" s="22">
        <v>228.77</v>
      </c>
      <c r="C423" s="22">
        <v>1058.43</v>
      </c>
      <c r="D423" s="22">
        <v>143.35</v>
      </c>
      <c r="E423" s="22">
        <v>340.06</v>
      </c>
      <c r="F423" s="22">
        <v>57673.89</v>
      </c>
    </row>
    <row r="424" spans="1:6" ht="13.5" customHeight="1" x14ac:dyDescent="0.3">
      <c r="A424" s="19">
        <v>44056</v>
      </c>
      <c r="B424" s="20">
        <v>231.13</v>
      </c>
      <c r="C424" s="20">
        <v>1077.44</v>
      </c>
      <c r="D424" s="20">
        <v>142.32</v>
      </c>
      <c r="E424" s="20">
        <v>342.03</v>
      </c>
      <c r="F424" s="20">
        <v>58472.46</v>
      </c>
    </row>
    <row r="425" spans="1:6" ht="13.5" customHeight="1" x14ac:dyDescent="0.3">
      <c r="A425" s="21">
        <v>44057</v>
      </c>
      <c r="B425" s="22">
        <v>232.9</v>
      </c>
      <c r="C425" s="22">
        <v>1085.94</v>
      </c>
      <c r="D425" s="22">
        <v>143.84</v>
      </c>
      <c r="E425" s="22">
        <v>343.39</v>
      </c>
      <c r="F425" s="22">
        <v>58287.12</v>
      </c>
    </row>
    <row r="426" spans="1:6" ht="13.5" customHeight="1" x14ac:dyDescent="0.3">
      <c r="A426" s="19">
        <v>44060</v>
      </c>
      <c r="B426" s="20">
        <v>237.66</v>
      </c>
      <c r="C426" s="20">
        <v>1067.2</v>
      </c>
      <c r="D426" s="20">
        <v>144.53</v>
      </c>
      <c r="E426" s="20">
        <v>338.13</v>
      </c>
      <c r="F426" s="20">
        <v>58476.160000000003</v>
      </c>
    </row>
    <row r="427" spans="1:6" ht="13.5" customHeight="1" x14ac:dyDescent="0.3">
      <c r="A427" s="21">
        <v>44061</v>
      </c>
      <c r="B427" s="22">
        <v>235.27</v>
      </c>
      <c r="C427" s="22">
        <v>1078.1400000000001</v>
      </c>
      <c r="D427" s="22">
        <v>145.13999999999999</v>
      </c>
      <c r="E427" s="22">
        <v>331.73</v>
      </c>
      <c r="F427" s="22">
        <v>58582.09</v>
      </c>
    </row>
    <row r="428" spans="1:6" ht="13.5" customHeight="1" x14ac:dyDescent="0.3">
      <c r="A428" s="19">
        <v>44062</v>
      </c>
      <c r="B428" s="20">
        <v>235.43</v>
      </c>
      <c r="C428" s="20">
        <v>1091.5999999999999</v>
      </c>
      <c r="D428" s="20">
        <v>145.5</v>
      </c>
      <c r="E428" s="20">
        <v>334.45</v>
      </c>
      <c r="F428" s="20">
        <v>57607.49</v>
      </c>
    </row>
    <row r="429" spans="1:6" ht="13.5" customHeight="1" x14ac:dyDescent="0.3">
      <c r="A429" s="21">
        <v>44063</v>
      </c>
      <c r="B429" s="22">
        <v>235.31</v>
      </c>
      <c r="C429" s="22">
        <v>1099.07</v>
      </c>
      <c r="D429" s="22">
        <v>140.62</v>
      </c>
      <c r="E429" s="22">
        <v>349.19</v>
      </c>
      <c r="F429" s="22">
        <v>57978.57</v>
      </c>
    </row>
    <row r="430" spans="1:6" ht="13.5" customHeight="1" x14ac:dyDescent="0.3">
      <c r="A430" s="19">
        <v>44064</v>
      </c>
      <c r="B430" s="20">
        <v>235.1</v>
      </c>
      <c r="C430" s="20">
        <v>1100.3</v>
      </c>
      <c r="D430" s="20">
        <v>144.91999999999999</v>
      </c>
      <c r="E430" s="20">
        <v>349.11</v>
      </c>
      <c r="F430" s="20">
        <v>58507.94</v>
      </c>
    </row>
    <row r="431" spans="1:6" ht="13.5" customHeight="1" x14ac:dyDescent="0.3">
      <c r="A431" s="21">
        <v>44067</v>
      </c>
      <c r="B431" s="22">
        <v>235.21</v>
      </c>
      <c r="C431" s="22">
        <v>1128.1300000000001</v>
      </c>
      <c r="D431" s="22">
        <v>142.88999999999999</v>
      </c>
      <c r="E431" s="22">
        <v>350.66</v>
      </c>
      <c r="F431" s="22">
        <v>58565.35</v>
      </c>
    </row>
    <row r="432" spans="1:6" ht="13.5" customHeight="1" x14ac:dyDescent="0.3">
      <c r="A432" s="19">
        <v>44068</v>
      </c>
      <c r="B432" s="20">
        <v>229.7</v>
      </c>
      <c r="C432" s="20">
        <v>1117.8900000000001</v>
      </c>
      <c r="D432" s="20">
        <v>141.15</v>
      </c>
      <c r="E432" s="20">
        <v>343.84</v>
      </c>
      <c r="F432" s="20">
        <v>58758.25</v>
      </c>
    </row>
    <row r="433" spans="1:6" ht="13.5" customHeight="1" x14ac:dyDescent="0.3">
      <c r="A433" s="21">
        <v>44069</v>
      </c>
      <c r="B433" s="22">
        <v>232.4</v>
      </c>
      <c r="C433" s="22">
        <v>1111.33</v>
      </c>
      <c r="D433" s="22">
        <v>140.49</v>
      </c>
      <c r="E433" s="22">
        <v>342.32</v>
      </c>
      <c r="F433" s="22">
        <v>58568.25</v>
      </c>
    </row>
    <row r="434" spans="1:6" ht="13.5" customHeight="1" x14ac:dyDescent="0.3">
      <c r="A434" s="19">
        <v>44070</v>
      </c>
      <c r="B434" s="20">
        <v>234.57</v>
      </c>
      <c r="C434" s="20">
        <v>1125.06</v>
      </c>
      <c r="D434" s="20">
        <v>137.65</v>
      </c>
      <c r="E434" s="20">
        <v>341.17</v>
      </c>
      <c r="F434" s="20">
        <v>58176.12</v>
      </c>
    </row>
    <row r="435" spans="1:6" ht="13.5" customHeight="1" x14ac:dyDescent="0.3">
      <c r="A435" s="21">
        <v>44071</v>
      </c>
      <c r="B435" s="22">
        <v>238.32</v>
      </c>
      <c r="C435" s="22">
        <v>1136.27</v>
      </c>
      <c r="D435" s="22">
        <v>141.49</v>
      </c>
      <c r="E435" s="22">
        <v>338.9</v>
      </c>
      <c r="F435" s="22">
        <v>57784.6</v>
      </c>
    </row>
    <row r="436" spans="1:6" ht="13.5" customHeight="1" x14ac:dyDescent="0.3">
      <c r="A436" s="19">
        <v>44074</v>
      </c>
      <c r="B436" s="20">
        <v>245.83</v>
      </c>
      <c r="C436" s="20">
        <v>1154.03</v>
      </c>
      <c r="D436" s="20">
        <v>140.16</v>
      </c>
      <c r="E436" s="20">
        <v>334.87</v>
      </c>
      <c r="F436" s="20">
        <v>56627.44</v>
      </c>
    </row>
    <row r="437" spans="1:6" ht="13.5" customHeight="1" x14ac:dyDescent="0.3">
      <c r="A437" s="21">
        <v>44075</v>
      </c>
      <c r="B437" s="22">
        <v>244.82</v>
      </c>
      <c r="C437" s="22">
        <v>1148.94</v>
      </c>
      <c r="D437" s="22">
        <v>138.71</v>
      </c>
      <c r="E437" s="22">
        <v>334.72</v>
      </c>
      <c r="F437" s="22">
        <v>56994.11</v>
      </c>
    </row>
    <row r="438" spans="1:6" ht="13.5" customHeight="1" x14ac:dyDescent="0.3">
      <c r="A438" s="19">
        <v>44076</v>
      </c>
      <c r="B438" s="20">
        <v>244.77</v>
      </c>
      <c r="C438" s="20">
        <v>1122.98</v>
      </c>
      <c r="D438" s="20">
        <v>136.94999999999999</v>
      </c>
      <c r="E438" s="20">
        <v>331.32</v>
      </c>
      <c r="F438" s="20">
        <v>56157.65</v>
      </c>
    </row>
    <row r="439" spans="1:6" ht="13.5" customHeight="1" x14ac:dyDescent="0.3">
      <c r="A439" s="21">
        <v>44077</v>
      </c>
      <c r="B439" s="22">
        <v>244.89</v>
      </c>
      <c r="C439" s="22">
        <v>1099.1300000000001</v>
      </c>
      <c r="D439" s="22">
        <v>137.94999999999999</v>
      </c>
      <c r="E439" s="22">
        <v>339.25</v>
      </c>
      <c r="F439" s="22">
        <v>55893.29</v>
      </c>
    </row>
    <row r="440" spans="1:6" ht="13.5" customHeight="1" x14ac:dyDescent="0.3">
      <c r="A440" s="19">
        <v>44078</v>
      </c>
      <c r="B440" s="20">
        <v>251.55</v>
      </c>
      <c r="C440" s="20">
        <v>1091.4000000000001</v>
      </c>
      <c r="D440" s="20">
        <v>141.04</v>
      </c>
      <c r="E440" s="20">
        <v>352.55</v>
      </c>
      <c r="F440" s="20">
        <v>54591.91</v>
      </c>
    </row>
    <row r="441" spans="1:6" ht="13.5" customHeight="1" x14ac:dyDescent="0.3">
      <c r="A441" s="21">
        <v>44081</v>
      </c>
      <c r="B441" s="22">
        <v>245.6</v>
      </c>
      <c r="C441" s="22">
        <v>1107.3</v>
      </c>
      <c r="D441" s="22">
        <v>141.69999999999999</v>
      </c>
      <c r="E441" s="22">
        <v>347.65</v>
      </c>
      <c r="F441" s="22">
        <v>54200.55</v>
      </c>
    </row>
    <row r="442" spans="1:6" ht="13.5" customHeight="1" x14ac:dyDescent="0.3">
      <c r="A442" s="19">
        <v>44082</v>
      </c>
      <c r="B442" s="20">
        <v>247.33</v>
      </c>
      <c r="C442" s="20">
        <v>1123.44</v>
      </c>
      <c r="D442" s="20">
        <v>140.03</v>
      </c>
      <c r="E442" s="20">
        <v>345.42</v>
      </c>
      <c r="F442" s="20">
        <v>54554.7</v>
      </c>
    </row>
    <row r="443" spans="1:6" ht="13.5" customHeight="1" x14ac:dyDescent="0.3">
      <c r="A443" s="21">
        <v>44083</v>
      </c>
      <c r="B443" s="22">
        <v>242.37</v>
      </c>
      <c r="C443" s="22">
        <v>1088.1199999999999</v>
      </c>
      <c r="D443" s="22">
        <v>143</v>
      </c>
      <c r="E443" s="22">
        <v>348.42</v>
      </c>
      <c r="F443" s="22">
        <v>54630.8</v>
      </c>
    </row>
    <row r="444" spans="1:6" ht="13.5" customHeight="1" x14ac:dyDescent="0.3">
      <c r="A444" s="19">
        <v>44084</v>
      </c>
      <c r="B444" s="20">
        <v>233.77</v>
      </c>
      <c r="C444" s="20">
        <v>1099.02</v>
      </c>
      <c r="D444" s="20">
        <v>143.69</v>
      </c>
      <c r="E444" s="20">
        <v>352.42</v>
      </c>
      <c r="F444" s="20">
        <v>54669.68</v>
      </c>
    </row>
    <row r="445" spans="1:6" ht="13.5" customHeight="1" x14ac:dyDescent="0.3">
      <c r="A445" s="21">
        <v>44085</v>
      </c>
      <c r="B445" s="22">
        <v>227.3</v>
      </c>
      <c r="C445" s="22">
        <v>1097.98</v>
      </c>
      <c r="D445" s="22">
        <v>142.12</v>
      </c>
      <c r="E445" s="22">
        <v>347.51</v>
      </c>
      <c r="F445" s="22">
        <v>54837.72</v>
      </c>
    </row>
    <row r="446" spans="1:6" ht="13.5" customHeight="1" x14ac:dyDescent="0.3">
      <c r="A446" s="19">
        <v>44088</v>
      </c>
      <c r="B446" s="20">
        <v>223.02</v>
      </c>
      <c r="C446" s="20">
        <v>1078.45</v>
      </c>
      <c r="D446" s="20">
        <v>142.01</v>
      </c>
      <c r="E446" s="20">
        <v>343.92</v>
      </c>
      <c r="F446" s="20">
        <v>53806.3</v>
      </c>
    </row>
    <row r="447" spans="1:6" ht="13.5" customHeight="1" x14ac:dyDescent="0.3">
      <c r="A447" s="21">
        <v>44089</v>
      </c>
      <c r="B447" s="22">
        <v>226.39</v>
      </c>
      <c r="C447" s="22">
        <v>1120.77</v>
      </c>
      <c r="D447" s="22">
        <v>142.36000000000001</v>
      </c>
      <c r="E447" s="22">
        <v>347.9</v>
      </c>
      <c r="F447" s="22">
        <v>54358.53</v>
      </c>
    </row>
    <row r="448" spans="1:6" ht="13.5" customHeight="1" x14ac:dyDescent="0.3">
      <c r="A448" s="19">
        <v>44090</v>
      </c>
      <c r="B448" s="20">
        <v>223.74</v>
      </c>
      <c r="C448" s="20">
        <v>1126.6500000000001</v>
      </c>
      <c r="D448" s="20">
        <v>142.94999999999999</v>
      </c>
      <c r="E448" s="20">
        <v>337.29</v>
      </c>
      <c r="F448" s="20">
        <v>54119.66</v>
      </c>
    </row>
    <row r="449" spans="1:6" ht="13.5" customHeight="1" x14ac:dyDescent="0.3">
      <c r="A449" s="21">
        <v>44091</v>
      </c>
      <c r="B449" s="22">
        <v>223.11</v>
      </c>
      <c r="C449" s="22">
        <v>1143.76</v>
      </c>
      <c r="D449" s="22">
        <v>143.01</v>
      </c>
      <c r="E449" s="22">
        <v>351.57</v>
      </c>
      <c r="F449" s="22">
        <v>54158.32</v>
      </c>
    </row>
    <row r="450" spans="1:6" ht="13.5" customHeight="1" x14ac:dyDescent="0.3">
      <c r="A450" s="19">
        <v>44092</v>
      </c>
      <c r="B450" s="20">
        <v>219.58</v>
      </c>
      <c r="C450" s="20">
        <v>1196.24</v>
      </c>
      <c r="D450" s="20">
        <v>143.12</v>
      </c>
      <c r="E450" s="20">
        <v>353.74</v>
      </c>
      <c r="F450" s="20">
        <v>54445.82</v>
      </c>
    </row>
    <row r="451" spans="1:6" ht="13.5" customHeight="1" x14ac:dyDescent="0.3">
      <c r="A451" s="21">
        <v>44095</v>
      </c>
      <c r="B451" s="22">
        <v>221.51</v>
      </c>
      <c r="C451" s="22">
        <v>1184.69</v>
      </c>
      <c r="D451" s="22">
        <v>147.38</v>
      </c>
      <c r="E451" s="22">
        <v>351.88</v>
      </c>
      <c r="F451" s="22">
        <v>52826.3</v>
      </c>
    </row>
    <row r="452" spans="1:6" ht="13.5" customHeight="1" x14ac:dyDescent="0.3">
      <c r="A452" s="19">
        <v>44096</v>
      </c>
      <c r="B452" s="20">
        <v>218.2</v>
      </c>
      <c r="C452" s="20">
        <v>1177.1099999999999</v>
      </c>
      <c r="D452" s="20">
        <v>154.01</v>
      </c>
      <c r="E452" s="20">
        <v>351.05</v>
      </c>
      <c r="F452" s="20">
        <v>53697.62</v>
      </c>
    </row>
    <row r="453" spans="1:6" ht="13.5" customHeight="1" x14ac:dyDescent="0.3">
      <c r="A453" s="21">
        <v>44097</v>
      </c>
      <c r="B453" s="22">
        <v>222.25</v>
      </c>
      <c r="C453" s="22">
        <v>1208.72</v>
      </c>
      <c r="D453" s="22">
        <v>154.49</v>
      </c>
      <c r="E453" s="22">
        <v>344.09</v>
      </c>
      <c r="F453" s="22">
        <v>53509.79</v>
      </c>
    </row>
    <row r="454" spans="1:6" ht="13.5" customHeight="1" x14ac:dyDescent="0.3">
      <c r="A454" s="19">
        <v>44098</v>
      </c>
      <c r="B454" s="20">
        <v>219.26</v>
      </c>
      <c r="C454" s="20">
        <v>1181.56</v>
      </c>
      <c r="D454" s="20">
        <v>152.32</v>
      </c>
      <c r="E454" s="20">
        <v>355.98</v>
      </c>
      <c r="F454" s="20">
        <v>53867.360000000001</v>
      </c>
    </row>
    <row r="455" spans="1:6" ht="13.5" customHeight="1" x14ac:dyDescent="0.3">
      <c r="A455" s="21">
        <v>44099</v>
      </c>
      <c r="B455" s="22">
        <v>217.01</v>
      </c>
      <c r="C455" s="22">
        <v>1183.81</v>
      </c>
      <c r="D455" s="22">
        <v>149.86000000000001</v>
      </c>
      <c r="E455" s="22">
        <v>355.58</v>
      </c>
      <c r="F455" s="22">
        <v>53676.38</v>
      </c>
    </row>
    <row r="456" spans="1:6" ht="13.5" customHeight="1" x14ac:dyDescent="0.3">
      <c r="A456" s="19">
        <v>44102</v>
      </c>
      <c r="B456" s="20">
        <v>217.45</v>
      </c>
      <c r="C456" s="20">
        <v>1185.48</v>
      </c>
      <c r="D456" s="20">
        <v>151.84</v>
      </c>
      <c r="E456" s="20">
        <v>352.83</v>
      </c>
      <c r="F456" s="20">
        <v>53320.4</v>
      </c>
    </row>
    <row r="457" spans="1:6" ht="13.5" customHeight="1" x14ac:dyDescent="0.3">
      <c r="A457" s="21">
        <v>44103</v>
      </c>
      <c r="B457" s="22">
        <v>217.59</v>
      </c>
      <c r="C457" s="22">
        <v>1206.47</v>
      </c>
      <c r="D457" s="22">
        <v>148.02000000000001</v>
      </c>
      <c r="E457" s="22">
        <v>364.71</v>
      </c>
      <c r="F457" s="22">
        <v>54136.94</v>
      </c>
    </row>
    <row r="458" spans="1:6" ht="13.5" customHeight="1" x14ac:dyDescent="0.3">
      <c r="A458" s="19">
        <v>44104</v>
      </c>
      <c r="B458" s="20">
        <v>221.96</v>
      </c>
      <c r="C458" s="20">
        <v>1215.81</v>
      </c>
      <c r="D458" s="20">
        <v>147.65</v>
      </c>
      <c r="E458" s="20">
        <v>372</v>
      </c>
      <c r="F458" s="20">
        <v>53417.5</v>
      </c>
    </row>
    <row r="459" spans="1:6" ht="13.5" customHeight="1" x14ac:dyDescent="0.3">
      <c r="A459" s="21">
        <v>44105</v>
      </c>
      <c r="B459" s="22">
        <v>222.4</v>
      </c>
      <c r="C459" s="22">
        <v>1196.96</v>
      </c>
      <c r="D459" s="22">
        <v>148.63</v>
      </c>
      <c r="E459" s="22">
        <v>370.81</v>
      </c>
      <c r="F459" s="22">
        <v>53614.400000000001</v>
      </c>
    </row>
    <row r="460" spans="1:6" ht="13.5" customHeight="1" x14ac:dyDescent="0.3">
      <c r="A460" s="19">
        <v>44106</v>
      </c>
      <c r="B460" s="20">
        <v>218.74</v>
      </c>
      <c r="C460" s="20">
        <v>1218.19</v>
      </c>
      <c r="D460" s="20">
        <v>149.11000000000001</v>
      </c>
      <c r="E460" s="20">
        <v>374.04</v>
      </c>
      <c r="F460" s="20">
        <v>53311.07</v>
      </c>
    </row>
    <row r="461" spans="1:6" ht="13.5" customHeight="1" x14ac:dyDescent="0.3">
      <c r="A461" s="21">
        <v>44109</v>
      </c>
      <c r="B461" s="22">
        <v>217.11</v>
      </c>
      <c r="C461" s="22">
        <v>1237.08</v>
      </c>
      <c r="D461" s="22">
        <v>148.22</v>
      </c>
      <c r="E461" s="22">
        <v>371.87</v>
      </c>
      <c r="F461" s="22">
        <v>53642.13</v>
      </c>
    </row>
    <row r="462" spans="1:6" ht="13.5" customHeight="1" x14ac:dyDescent="0.3">
      <c r="A462" s="19">
        <v>44110</v>
      </c>
      <c r="B462" s="20">
        <v>215.46</v>
      </c>
      <c r="C462" s="20">
        <v>1214.8800000000001</v>
      </c>
      <c r="D462" s="20">
        <v>152.57</v>
      </c>
      <c r="E462" s="20">
        <v>369.5</v>
      </c>
      <c r="F462" s="20">
        <v>54208.09</v>
      </c>
    </row>
    <row r="463" spans="1:6" ht="13.5" customHeight="1" x14ac:dyDescent="0.3">
      <c r="A463" s="21">
        <v>44111</v>
      </c>
      <c r="B463" s="22">
        <v>217.69</v>
      </c>
      <c r="C463" s="22">
        <v>1200.8699999999999</v>
      </c>
      <c r="D463" s="22">
        <v>154.55000000000001</v>
      </c>
      <c r="E463" s="22">
        <v>368.14</v>
      </c>
      <c r="F463" s="22">
        <v>54654.080000000002</v>
      </c>
    </row>
    <row r="464" spans="1:6" ht="13.5" customHeight="1" x14ac:dyDescent="0.3">
      <c r="A464" s="19">
        <v>44112</v>
      </c>
      <c r="B464" s="20">
        <v>218.92</v>
      </c>
      <c r="C464" s="20">
        <v>1190.44</v>
      </c>
      <c r="D464" s="20">
        <v>153.46</v>
      </c>
      <c r="E464" s="20">
        <v>370.38</v>
      </c>
      <c r="F464" s="20">
        <v>55019.02</v>
      </c>
    </row>
    <row r="465" spans="1:6" ht="13.5" customHeight="1" x14ac:dyDescent="0.3">
      <c r="A465" s="21">
        <v>44113</v>
      </c>
      <c r="B465" s="22">
        <v>218.63</v>
      </c>
      <c r="C465" s="22">
        <v>1167.02</v>
      </c>
      <c r="D465" s="22">
        <v>155.41</v>
      </c>
      <c r="E465" s="22">
        <v>378.22</v>
      </c>
      <c r="F465" s="22">
        <v>54664.57</v>
      </c>
    </row>
    <row r="466" spans="1:6" ht="13.5" customHeight="1" x14ac:dyDescent="0.3">
      <c r="A466" s="19">
        <v>44116</v>
      </c>
      <c r="B466" s="20">
        <v>221.33</v>
      </c>
      <c r="C466" s="20">
        <v>1189.6300000000001</v>
      </c>
      <c r="D466" s="20">
        <v>155.03</v>
      </c>
      <c r="E466" s="20">
        <v>392.54</v>
      </c>
      <c r="F466" s="20">
        <v>54531.35</v>
      </c>
    </row>
    <row r="467" spans="1:6" ht="13.5" customHeight="1" x14ac:dyDescent="0.3">
      <c r="A467" s="21">
        <v>44117</v>
      </c>
      <c r="B467" s="22">
        <v>219.78</v>
      </c>
      <c r="C467" s="22">
        <v>1183.54</v>
      </c>
      <c r="D467" s="22">
        <v>153.83000000000001</v>
      </c>
      <c r="E467" s="22">
        <v>376.61</v>
      </c>
      <c r="F467" s="22">
        <v>54756.42</v>
      </c>
    </row>
    <row r="468" spans="1:6" ht="13.5" customHeight="1" x14ac:dyDescent="0.3">
      <c r="A468" s="19">
        <v>44118</v>
      </c>
      <c r="B468" s="20">
        <v>219.44</v>
      </c>
      <c r="C468" s="20">
        <v>1178.45</v>
      </c>
      <c r="D468" s="20">
        <v>152.9</v>
      </c>
      <c r="E468" s="20">
        <v>393.31</v>
      </c>
      <c r="F468" s="20">
        <v>55523.59</v>
      </c>
    </row>
    <row r="469" spans="1:6" ht="13.5" customHeight="1" x14ac:dyDescent="0.3">
      <c r="A469" s="21">
        <v>44119</v>
      </c>
      <c r="B469" s="22">
        <v>220.06</v>
      </c>
      <c r="C469" s="22">
        <v>1157.58</v>
      </c>
      <c r="D469" s="22">
        <v>155.81</v>
      </c>
      <c r="E469" s="22">
        <v>401.12</v>
      </c>
      <c r="F469" s="22">
        <v>55839.66</v>
      </c>
    </row>
    <row r="470" spans="1:6" ht="13.5" customHeight="1" x14ac:dyDescent="0.3">
      <c r="A470" s="19">
        <v>44120</v>
      </c>
      <c r="B470" s="20">
        <v>224.79</v>
      </c>
      <c r="C470" s="20">
        <v>1150.21</v>
      </c>
      <c r="D470" s="20">
        <v>154.5</v>
      </c>
      <c r="E470" s="20">
        <v>401.43</v>
      </c>
      <c r="F470" s="20">
        <v>55739.31</v>
      </c>
    </row>
    <row r="471" spans="1:6" ht="13.5" customHeight="1" x14ac:dyDescent="0.3">
      <c r="A471" s="21">
        <v>44123</v>
      </c>
      <c r="B471" s="22">
        <v>224.55</v>
      </c>
      <c r="C471" s="22">
        <v>1181.02</v>
      </c>
      <c r="D471" s="22">
        <v>154.38999999999999</v>
      </c>
      <c r="E471" s="22">
        <v>398.36</v>
      </c>
      <c r="F471" s="22">
        <v>55893.13</v>
      </c>
    </row>
    <row r="472" spans="1:6" ht="13.5" customHeight="1" x14ac:dyDescent="0.3">
      <c r="A472" s="19">
        <v>44124</v>
      </c>
      <c r="B472" s="20">
        <v>223.53</v>
      </c>
      <c r="C472" s="20">
        <v>1197.31</v>
      </c>
      <c r="D472" s="20">
        <v>156.93</v>
      </c>
      <c r="E472" s="20">
        <v>384.49</v>
      </c>
      <c r="F472" s="20">
        <v>56492.91</v>
      </c>
    </row>
    <row r="473" spans="1:6" ht="13.5" customHeight="1" x14ac:dyDescent="0.3">
      <c r="A473" s="21">
        <v>44125</v>
      </c>
      <c r="B473" s="22">
        <v>220.36</v>
      </c>
      <c r="C473" s="22">
        <v>1163.8699999999999</v>
      </c>
      <c r="D473" s="22">
        <v>157.74</v>
      </c>
      <c r="E473" s="22">
        <v>393.35</v>
      </c>
      <c r="F473" s="22">
        <v>56813.06</v>
      </c>
    </row>
    <row r="474" spans="1:6" ht="13.5" customHeight="1" x14ac:dyDescent="0.3">
      <c r="A474" s="19">
        <v>44126</v>
      </c>
      <c r="B474" s="20">
        <v>222.53</v>
      </c>
      <c r="C474" s="20">
        <v>1144.24</v>
      </c>
      <c r="D474" s="20">
        <v>158.4</v>
      </c>
      <c r="E474" s="20">
        <v>385.4</v>
      </c>
      <c r="F474" s="20">
        <v>57412.95</v>
      </c>
    </row>
    <row r="475" spans="1:6" ht="13.5" customHeight="1" x14ac:dyDescent="0.3">
      <c r="A475" s="21">
        <v>44127</v>
      </c>
      <c r="B475" s="22">
        <v>220.78</v>
      </c>
      <c r="C475" s="22">
        <v>1157.75</v>
      </c>
      <c r="D475" s="22">
        <v>156.81</v>
      </c>
      <c r="E475" s="22">
        <v>390.33</v>
      </c>
      <c r="F475" s="22">
        <v>57172.12</v>
      </c>
    </row>
    <row r="476" spans="1:6" ht="13.5" customHeight="1" x14ac:dyDescent="0.3">
      <c r="A476" s="19">
        <v>44130</v>
      </c>
      <c r="B476" s="20">
        <v>221.91</v>
      </c>
      <c r="C476" s="20">
        <v>1148.27</v>
      </c>
      <c r="D476" s="20">
        <v>162.62</v>
      </c>
      <c r="E476" s="20">
        <v>387.46</v>
      </c>
      <c r="F476" s="20">
        <v>57781.279999999999</v>
      </c>
    </row>
    <row r="477" spans="1:6" ht="13.5" customHeight="1" x14ac:dyDescent="0.3">
      <c r="A477" s="21">
        <v>44131</v>
      </c>
      <c r="B477" s="22">
        <v>216.13</v>
      </c>
      <c r="C477" s="22">
        <v>1137.75</v>
      </c>
      <c r="D477" s="22">
        <v>164.78</v>
      </c>
      <c r="E477" s="22">
        <v>375.74</v>
      </c>
      <c r="F477" s="22">
        <v>57567.86</v>
      </c>
    </row>
    <row r="478" spans="1:6" ht="13.5" customHeight="1" x14ac:dyDescent="0.3">
      <c r="A478" s="19">
        <v>44132</v>
      </c>
      <c r="B478" s="20">
        <v>219.32</v>
      </c>
      <c r="C478" s="20">
        <v>1121.1600000000001</v>
      </c>
      <c r="D478" s="20">
        <v>158.69999999999999</v>
      </c>
      <c r="E478" s="20">
        <v>378.89</v>
      </c>
      <c r="F478" s="20">
        <v>57650.21</v>
      </c>
    </row>
    <row r="479" spans="1:6" ht="13.5" customHeight="1" x14ac:dyDescent="0.3">
      <c r="A479" s="21">
        <v>44133</v>
      </c>
      <c r="B479" s="22">
        <v>215.34</v>
      </c>
      <c r="C479" s="22">
        <v>1095.5</v>
      </c>
      <c r="D479" s="22">
        <v>162.02000000000001</v>
      </c>
      <c r="E479" s="22">
        <v>382.55</v>
      </c>
      <c r="F479" s="22">
        <v>58047.41</v>
      </c>
    </row>
    <row r="480" spans="1:6" ht="13.5" customHeight="1" x14ac:dyDescent="0.3">
      <c r="A480" s="19">
        <v>44134</v>
      </c>
      <c r="B480" s="20">
        <v>213.09</v>
      </c>
      <c r="C480" s="20">
        <v>1098</v>
      </c>
      <c r="D480" s="20">
        <v>158.81</v>
      </c>
      <c r="E480" s="20">
        <v>375.97</v>
      </c>
      <c r="F480" s="20">
        <v>57193.120000000003</v>
      </c>
    </row>
    <row r="481" spans="1:6" ht="13.5" customHeight="1" x14ac:dyDescent="0.3">
      <c r="A481" s="21">
        <v>44137</v>
      </c>
      <c r="B481" s="22">
        <v>216.29</v>
      </c>
      <c r="C481" s="22">
        <v>1091.29</v>
      </c>
      <c r="D481" s="22">
        <v>155.44</v>
      </c>
      <c r="E481" s="22">
        <v>382.25</v>
      </c>
      <c r="F481" s="22">
        <v>57048.92</v>
      </c>
    </row>
    <row r="482" spans="1:6" ht="13.5" customHeight="1" x14ac:dyDescent="0.3">
      <c r="A482" s="19">
        <v>44138</v>
      </c>
      <c r="B482" s="20">
        <v>212.35</v>
      </c>
      <c r="C482" s="20">
        <v>1113.8900000000001</v>
      </c>
      <c r="D482" s="20">
        <v>153.79</v>
      </c>
      <c r="E482" s="20">
        <v>395.48</v>
      </c>
      <c r="F482" s="20">
        <v>57246.42</v>
      </c>
    </row>
    <row r="483" spans="1:6" ht="13.5" customHeight="1" x14ac:dyDescent="0.3">
      <c r="A483" s="21">
        <v>44139</v>
      </c>
      <c r="B483" s="22">
        <v>212.19</v>
      </c>
      <c r="C483" s="22">
        <v>1113.24</v>
      </c>
      <c r="D483" s="22">
        <v>156.9</v>
      </c>
      <c r="E483" s="22">
        <v>399.33</v>
      </c>
      <c r="F483" s="22">
        <v>57374.79</v>
      </c>
    </row>
    <row r="484" spans="1:6" ht="13.5" customHeight="1" x14ac:dyDescent="0.3">
      <c r="A484" s="19">
        <v>44140</v>
      </c>
      <c r="B484" s="20">
        <v>212.47</v>
      </c>
      <c r="C484" s="20">
        <v>1094.95</v>
      </c>
      <c r="D484" s="20">
        <v>156.29</v>
      </c>
      <c r="E484" s="20">
        <v>402.78</v>
      </c>
      <c r="F484" s="20">
        <v>57935.72</v>
      </c>
    </row>
    <row r="485" spans="1:6" ht="13.5" customHeight="1" x14ac:dyDescent="0.3">
      <c r="A485" s="21">
        <v>44141</v>
      </c>
      <c r="B485" s="22">
        <v>209.6</v>
      </c>
      <c r="C485" s="22">
        <v>1109</v>
      </c>
      <c r="D485" s="22">
        <v>156.87</v>
      </c>
      <c r="E485" s="22">
        <v>397.38</v>
      </c>
      <c r="F485" s="22">
        <v>56430.33</v>
      </c>
    </row>
    <row r="486" spans="1:6" ht="13.5" customHeight="1" x14ac:dyDescent="0.3">
      <c r="A486" s="19">
        <v>44144</v>
      </c>
      <c r="B486" s="20">
        <v>213.57</v>
      </c>
      <c r="C486" s="20">
        <v>1135.99</v>
      </c>
      <c r="D486" s="20">
        <v>152.81</v>
      </c>
      <c r="E486" s="20">
        <v>389.77</v>
      </c>
      <c r="F486" s="20">
        <v>55386.58</v>
      </c>
    </row>
    <row r="487" spans="1:6" ht="13.5" customHeight="1" x14ac:dyDescent="0.3">
      <c r="A487" s="21">
        <v>44145</v>
      </c>
      <c r="B487" s="22">
        <v>218.07</v>
      </c>
      <c r="C487" s="22">
        <v>1121.93</v>
      </c>
      <c r="D487" s="22">
        <v>155.44999999999999</v>
      </c>
      <c r="E487" s="22">
        <v>386.96</v>
      </c>
      <c r="F487" s="22">
        <v>56030.91</v>
      </c>
    </row>
    <row r="488" spans="1:6" ht="13.5" customHeight="1" x14ac:dyDescent="0.3">
      <c r="A488" s="19">
        <v>44146</v>
      </c>
      <c r="B488" s="20">
        <v>212.18</v>
      </c>
      <c r="C488" s="20">
        <v>1088.9000000000001</v>
      </c>
      <c r="D488" s="20">
        <v>154.86000000000001</v>
      </c>
      <c r="E488" s="20">
        <v>387.65</v>
      </c>
      <c r="F488" s="20">
        <v>56521.05</v>
      </c>
    </row>
    <row r="489" spans="1:6" ht="13.5" customHeight="1" x14ac:dyDescent="0.3">
      <c r="A489" s="21">
        <v>44147</v>
      </c>
      <c r="B489" s="22">
        <v>207.99</v>
      </c>
      <c r="C489" s="22">
        <v>1080.3499999999999</v>
      </c>
      <c r="D489" s="22">
        <v>151.78</v>
      </c>
      <c r="E489" s="22">
        <v>387.92</v>
      </c>
      <c r="F489" s="22">
        <v>57788.43</v>
      </c>
    </row>
    <row r="490" spans="1:6" ht="13.5" customHeight="1" x14ac:dyDescent="0.3">
      <c r="A490" s="19">
        <v>44148</v>
      </c>
      <c r="B490" s="20">
        <v>210.38</v>
      </c>
      <c r="C490" s="20">
        <v>1055.27</v>
      </c>
      <c r="D490" s="20">
        <v>152.62</v>
      </c>
      <c r="E490" s="20">
        <v>386.65</v>
      </c>
      <c r="F490" s="20">
        <v>57733.11</v>
      </c>
    </row>
    <row r="491" spans="1:6" ht="13.5" customHeight="1" x14ac:dyDescent="0.3">
      <c r="A491" s="21">
        <v>44151</v>
      </c>
      <c r="B491" s="22">
        <v>206.65</v>
      </c>
      <c r="C491" s="22">
        <v>1086.45</v>
      </c>
      <c r="D491" s="22">
        <v>153.85</v>
      </c>
      <c r="E491" s="22">
        <v>405.04</v>
      </c>
      <c r="F491" s="22">
        <v>58537.62</v>
      </c>
    </row>
    <row r="492" spans="1:6" ht="13.5" customHeight="1" x14ac:dyDescent="0.3">
      <c r="A492" s="19">
        <v>44152</v>
      </c>
      <c r="B492" s="20">
        <v>205.6</v>
      </c>
      <c r="C492" s="20">
        <v>1060.51</v>
      </c>
      <c r="D492" s="20">
        <v>154.12</v>
      </c>
      <c r="E492" s="20">
        <v>409.6</v>
      </c>
      <c r="F492" s="20">
        <v>60036.21</v>
      </c>
    </row>
    <row r="493" spans="1:6" ht="13.5" customHeight="1" x14ac:dyDescent="0.3">
      <c r="A493" s="21">
        <v>44153</v>
      </c>
      <c r="B493" s="22">
        <v>206.04</v>
      </c>
      <c r="C493" s="22">
        <v>1055.01</v>
      </c>
      <c r="D493" s="22">
        <v>157.32</v>
      </c>
      <c r="E493" s="22">
        <v>402.24</v>
      </c>
      <c r="F493" s="22">
        <v>58501.82</v>
      </c>
    </row>
    <row r="494" spans="1:6" ht="13.5" customHeight="1" x14ac:dyDescent="0.3">
      <c r="A494" s="19">
        <v>44154</v>
      </c>
      <c r="B494" s="20">
        <v>208.08</v>
      </c>
      <c r="C494" s="20">
        <v>1083.06</v>
      </c>
      <c r="D494" s="20">
        <v>158.83000000000001</v>
      </c>
      <c r="E494" s="20">
        <v>393.31</v>
      </c>
      <c r="F494" s="20">
        <v>57423.17</v>
      </c>
    </row>
    <row r="495" spans="1:6" ht="13.5" customHeight="1" x14ac:dyDescent="0.3">
      <c r="A495" s="21">
        <v>44155</v>
      </c>
      <c r="B495" s="22">
        <v>207.5</v>
      </c>
      <c r="C495" s="22">
        <v>1100.3399999999999</v>
      </c>
      <c r="D495" s="22">
        <v>162.65</v>
      </c>
      <c r="E495" s="22">
        <v>380.57</v>
      </c>
      <c r="F495" s="22">
        <v>57119.31</v>
      </c>
    </row>
    <row r="496" spans="1:6" ht="13.5" customHeight="1" x14ac:dyDescent="0.3">
      <c r="A496" s="19">
        <v>44158</v>
      </c>
      <c r="B496" s="20">
        <v>207.84</v>
      </c>
      <c r="C496" s="20">
        <v>1091.03</v>
      </c>
      <c r="D496" s="20">
        <v>162.57</v>
      </c>
      <c r="E496" s="20">
        <v>373.49</v>
      </c>
      <c r="F496" s="20">
        <v>56219.74</v>
      </c>
    </row>
    <row r="497" spans="1:6" ht="13.5" customHeight="1" x14ac:dyDescent="0.3">
      <c r="A497" s="21">
        <v>44159</v>
      </c>
      <c r="B497" s="22">
        <v>205.67</v>
      </c>
      <c r="C497" s="22">
        <v>1076.6099999999999</v>
      </c>
      <c r="D497" s="22">
        <v>162.91</v>
      </c>
      <c r="E497" s="22">
        <v>377.75</v>
      </c>
      <c r="F497" s="22">
        <v>57205.73</v>
      </c>
    </row>
    <row r="498" spans="1:6" ht="13.5" customHeight="1" x14ac:dyDescent="0.3">
      <c r="A498" s="19">
        <v>44160</v>
      </c>
      <c r="B498" s="20">
        <v>209.42</v>
      </c>
      <c r="C498" s="20">
        <v>1073.8</v>
      </c>
      <c r="D498" s="20">
        <v>165.2</v>
      </c>
      <c r="E498" s="20">
        <v>375.9</v>
      </c>
      <c r="F498" s="20">
        <v>57053.78</v>
      </c>
    </row>
    <row r="499" spans="1:6" ht="13.5" customHeight="1" x14ac:dyDescent="0.3">
      <c r="A499" s="21">
        <v>44161</v>
      </c>
      <c r="B499" s="22">
        <v>208.05</v>
      </c>
      <c r="C499" s="22">
        <v>1069.9000000000001</v>
      </c>
      <c r="D499" s="22">
        <v>168.28</v>
      </c>
      <c r="E499" s="22">
        <v>371.15</v>
      </c>
      <c r="F499" s="22">
        <v>56621.14</v>
      </c>
    </row>
    <row r="500" spans="1:6" ht="13.5" customHeight="1" x14ac:dyDescent="0.3">
      <c r="A500" s="19">
        <v>44162</v>
      </c>
      <c r="B500" s="20">
        <v>209.09</v>
      </c>
      <c r="C500" s="20">
        <v>1098.77</v>
      </c>
      <c r="D500" s="20">
        <v>167.46</v>
      </c>
      <c r="E500" s="20">
        <v>375.47</v>
      </c>
      <c r="F500" s="20">
        <v>57434.8</v>
      </c>
    </row>
    <row r="501" spans="1:6" ht="13.5" customHeight="1" x14ac:dyDescent="0.3">
      <c r="A501" s="21">
        <v>44165</v>
      </c>
      <c r="B501" s="22">
        <v>207.68</v>
      </c>
      <c r="C501" s="22">
        <v>1096.43</v>
      </c>
      <c r="D501" s="22">
        <v>172.5</v>
      </c>
      <c r="E501" s="22">
        <v>379.54</v>
      </c>
      <c r="F501" s="22">
        <v>57880.23</v>
      </c>
    </row>
    <row r="502" spans="1:6" ht="13.5" customHeight="1" x14ac:dyDescent="0.3">
      <c r="A502" s="19">
        <v>44166</v>
      </c>
      <c r="B502" s="20">
        <v>208.05</v>
      </c>
      <c r="C502" s="20">
        <v>1070.97</v>
      </c>
      <c r="D502" s="20">
        <v>172.88</v>
      </c>
      <c r="E502" s="20">
        <v>382.39</v>
      </c>
      <c r="F502" s="20">
        <v>57518.41</v>
      </c>
    </row>
    <row r="503" spans="1:6" ht="13.5" customHeight="1" x14ac:dyDescent="0.3">
      <c r="A503" s="21">
        <v>44167</v>
      </c>
      <c r="B503" s="22">
        <v>207.63</v>
      </c>
      <c r="C503" s="22">
        <v>1090.23</v>
      </c>
      <c r="D503" s="22">
        <v>172.96</v>
      </c>
      <c r="E503" s="22">
        <v>382.47</v>
      </c>
      <c r="F503" s="22">
        <v>57984.63</v>
      </c>
    </row>
    <row r="504" spans="1:6" ht="13.5" customHeight="1" x14ac:dyDescent="0.3">
      <c r="A504" s="19">
        <v>44168</v>
      </c>
      <c r="B504" s="20">
        <v>207.23</v>
      </c>
      <c r="C504" s="20">
        <v>1110.81</v>
      </c>
      <c r="D504" s="20">
        <v>174.24</v>
      </c>
      <c r="E504" s="20">
        <v>382.39</v>
      </c>
      <c r="F504" s="20">
        <v>57399.48</v>
      </c>
    </row>
    <row r="505" spans="1:6" ht="13.5" customHeight="1" x14ac:dyDescent="0.3">
      <c r="A505" s="21">
        <v>44169</v>
      </c>
      <c r="B505" s="22">
        <v>204.38</v>
      </c>
      <c r="C505" s="22">
        <v>1107.03</v>
      </c>
      <c r="D505" s="22">
        <v>171.96</v>
      </c>
      <c r="E505" s="22">
        <v>373.04</v>
      </c>
      <c r="F505" s="22">
        <v>56965.72</v>
      </c>
    </row>
    <row r="506" spans="1:6" ht="13.5" customHeight="1" x14ac:dyDescent="0.3">
      <c r="A506" s="19">
        <v>44172</v>
      </c>
      <c r="B506" s="20">
        <v>206.7</v>
      </c>
      <c r="C506" s="20">
        <v>1122.77</v>
      </c>
      <c r="D506" s="20">
        <v>167.57</v>
      </c>
      <c r="E506" s="20">
        <v>360.21</v>
      </c>
      <c r="F506" s="20">
        <v>57747.22</v>
      </c>
    </row>
    <row r="507" spans="1:6" ht="13.5" customHeight="1" x14ac:dyDescent="0.3">
      <c r="A507" s="21">
        <v>44173</v>
      </c>
      <c r="B507" s="22">
        <v>210.82</v>
      </c>
      <c r="C507" s="22">
        <v>1124.45</v>
      </c>
      <c r="D507" s="22">
        <v>173.06</v>
      </c>
      <c r="E507" s="22">
        <v>354.89</v>
      </c>
      <c r="F507" s="22">
        <v>57214.63</v>
      </c>
    </row>
    <row r="508" spans="1:6" ht="13.5" customHeight="1" x14ac:dyDescent="0.3">
      <c r="A508" s="19">
        <v>44174</v>
      </c>
      <c r="B508" s="20">
        <v>211.6</v>
      </c>
      <c r="C508" s="20">
        <v>1101.18</v>
      </c>
      <c r="D508" s="20">
        <v>176.03</v>
      </c>
      <c r="E508" s="20">
        <v>349.77</v>
      </c>
      <c r="F508" s="20">
        <v>56910.74</v>
      </c>
    </row>
    <row r="509" spans="1:6" ht="13.5" customHeight="1" x14ac:dyDescent="0.3">
      <c r="A509" s="21">
        <v>44175</v>
      </c>
      <c r="B509" s="22">
        <v>213.81</v>
      </c>
      <c r="C509" s="22">
        <v>1100.26</v>
      </c>
      <c r="D509" s="22">
        <v>173.54</v>
      </c>
      <c r="E509" s="22">
        <v>344.53</v>
      </c>
      <c r="F509" s="22">
        <v>56633.23</v>
      </c>
    </row>
    <row r="510" spans="1:6" ht="13.5" customHeight="1" x14ac:dyDescent="0.3">
      <c r="A510" s="19">
        <v>44176</v>
      </c>
      <c r="B510" s="20">
        <v>216.36</v>
      </c>
      <c r="C510" s="20">
        <v>1078.71</v>
      </c>
      <c r="D510" s="20">
        <v>173.98</v>
      </c>
      <c r="E510" s="20">
        <v>343.56</v>
      </c>
      <c r="F510" s="20">
        <v>56292.46</v>
      </c>
    </row>
    <row r="511" spans="1:6" ht="13.5" customHeight="1" x14ac:dyDescent="0.3">
      <c r="A511" s="21">
        <v>44179</v>
      </c>
      <c r="B511" s="22">
        <v>219.22</v>
      </c>
      <c r="C511" s="22">
        <v>1067.28</v>
      </c>
      <c r="D511" s="22">
        <v>175.76</v>
      </c>
      <c r="E511" s="22">
        <v>340.65</v>
      </c>
      <c r="F511" s="22">
        <v>54687.82</v>
      </c>
    </row>
    <row r="512" spans="1:6" ht="13.5" customHeight="1" x14ac:dyDescent="0.3">
      <c r="A512" s="19">
        <v>44180</v>
      </c>
      <c r="B512" s="20">
        <v>220.21</v>
      </c>
      <c r="C512" s="20">
        <v>1050.24</v>
      </c>
      <c r="D512" s="20">
        <v>174.48</v>
      </c>
      <c r="E512" s="20">
        <v>332.41</v>
      </c>
      <c r="F512" s="20">
        <v>53740.52</v>
      </c>
    </row>
    <row r="513" spans="1:6" ht="13.5" customHeight="1" x14ac:dyDescent="0.3">
      <c r="A513" s="21">
        <v>44181</v>
      </c>
      <c r="B513" s="22">
        <v>220.92</v>
      </c>
      <c r="C513" s="22">
        <v>1057.03</v>
      </c>
      <c r="D513" s="22">
        <v>178.48</v>
      </c>
      <c r="E513" s="22">
        <v>331.93</v>
      </c>
      <c r="F513" s="22">
        <v>53851.71</v>
      </c>
    </row>
    <row r="514" spans="1:6" ht="13.5" customHeight="1" x14ac:dyDescent="0.3">
      <c r="A514" s="19">
        <v>44182</v>
      </c>
      <c r="B514" s="20">
        <v>223.64</v>
      </c>
      <c r="C514" s="20">
        <v>1061.1400000000001</v>
      </c>
      <c r="D514" s="20">
        <v>177.17</v>
      </c>
      <c r="E514" s="20">
        <v>334.19</v>
      </c>
      <c r="F514" s="20">
        <v>54711.13</v>
      </c>
    </row>
    <row r="515" spans="1:6" ht="13.5" customHeight="1" x14ac:dyDescent="0.3">
      <c r="A515" s="21">
        <v>44183</v>
      </c>
      <c r="B515" s="22">
        <v>223.92</v>
      </c>
      <c r="C515" s="22">
        <v>1037.07</v>
      </c>
      <c r="D515" s="22">
        <v>180</v>
      </c>
      <c r="E515" s="22">
        <v>331.24</v>
      </c>
      <c r="F515" s="22">
        <v>55155.63</v>
      </c>
    </row>
    <row r="516" spans="1:6" ht="13.5" customHeight="1" x14ac:dyDescent="0.3">
      <c r="A516" s="19">
        <v>44186</v>
      </c>
      <c r="B516" s="20">
        <v>220.97</v>
      </c>
      <c r="C516" s="20">
        <v>1020.86</v>
      </c>
      <c r="D516" s="20">
        <v>178.29</v>
      </c>
      <c r="E516" s="20">
        <v>336.52</v>
      </c>
      <c r="F516" s="20">
        <v>54850.62</v>
      </c>
    </row>
    <row r="517" spans="1:6" ht="13.5" customHeight="1" x14ac:dyDescent="0.3">
      <c r="A517" s="21">
        <v>44187</v>
      </c>
      <c r="B517" s="22">
        <v>221.12</v>
      </c>
      <c r="C517" s="22">
        <v>1021.42</v>
      </c>
      <c r="D517" s="22">
        <v>179.78</v>
      </c>
      <c r="E517" s="22">
        <v>338.69</v>
      </c>
      <c r="F517" s="22">
        <v>54790.81</v>
      </c>
    </row>
    <row r="518" spans="1:6" ht="13.5" customHeight="1" x14ac:dyDescent="0.3">
      <c r="A518" s="19">
        <v>44188</v>
      </c>
      <c r="B518" s="20">
        <v>215.4</v>
      </c>
      <c r="C518" s="20">
        <v>1030.3900000000001</v>
      </c>
      <c r="D518" s="20">
        <v>184.24</v>
      </c>
      <c r="E518" s="20">
        <v>341.34</v>
      </c>
      <c r="F518" s="20">
        <v>53768</v>
      </c>
    </row>
    <row r="519" spans="1:6" ht="13.5" customHeight="1" x14ac:dyDescent="0.3">
      <c r="A519" s="21">
        <v>44189</v>
      </c>
      <c r="B519" s="22">
        <v>215.45</v>
      </c>
      <c r="C519" s="22">
        <v>1032.32</v>
      </c>
      <c r="D519" s="22">
        <v>185.69</v>
      </c>
      <c r="E519" s="22">
        <v>339.1</v>
      </c>
      <c r="F519" s="22">
        <v>53630.74</v>
      </c>
    </row>
    <row r="520" spans="1:6" ht="13.5" customHeight="1" x14ac:dyDescent="0.3">
      <c r="A520" s="19">
        <v>44190</v>
      </c>
      <c r="B520" s="20">
        <v>216.75</v>
      </c>
      <c r="C520" s="20">
        <v>992.75</v>
      </c>
      <c r="D520" s="20">
        <v>184.34</v>
      </c>
      <c r="E520" s="20">
        <v>341.91</v>
      </c>
      <c r="F520" s="20">
        <v>53503.78</v>
      </c>
    </row>
    <row r="521" spans="1:6" ht="13.5" customHeight="1" x14ac:dyDescent="0.3">
      <c r="A521" s="21">
        <v>44193</v>
      </c>
      <c r="B521" s="22">
        <v>220.53</v>
      </c>
      <c r="C521" s="22">
        <v>1015.88</v>
      </c>
      <c r="D521" s="22">
        <v>185.06</v>
      </c>
      <c r="E521" s="22">
        <v>346.48</v>
      </c>
      <c r="F521" s="22">
        <v>53164.11</v>
      </c>
    </row>
    <row r="522" spans="1:6" ht="13.5" customHeight="1" x14ac:dyDescent="0.3">
      <c r="A522" s="19">
        <v>44194</v>
      </c>
      <c r="B522" s="20">
        <v>221.07</v>
      </c>
      <c r="C522" s="20">
        <v>1048.24</v>
      </c>
      <c r="D522" s="20">
        <v>187.24</v>
      </c>
      <c r="E522" s="20">
        <v>334.01</v>
      </c>
      <c r="F522" s="20">
        <v>53541.74</v>
      </c>
    </row>
    <row r="523" spans="1:6" ht="13.5" customHeight="1" x14ac:dyDescent="0.3">
      <c r="A523" s="21">
        <v>44195</v>
      </c>
      <c r="B523" s="22">
        <v>223.98</v>
      </c>
      <c r="C523" s="22">
        <v>1078.1500000000001</v>
      </c>
      <c r="D523" s="22">
        <v>186.05</v>
      </c>
      <c r="E523" s="22">
        <v>340.92</v>
      </c>
      <c r="F523" s="22">
        <v>53798.67</v>
      </c>
    </row>
    <row r="524" spans="1:6" ht="13.5" customHeight="1" x14ac:dyDescent="0.3">
      <c r="A524" s="19">
        <v>44196</v>
      </c>
      <c r="B524" s="20">
        <v>224.05</v>
      </c>
      <c r="C524" s="20">
        <v>1089.1400000000001</v>
      </c>
      <c r="D524" s="20">
        <v>184.97</v>
      </c>
      <c r="E524" s="20">
        <v>337.79</v>
      </c>
      <c r="F524" s="20">
        <v>54154.14</v>
      </c>
    </row>
    <row r="525" spans="1:6" ht="13.5" customHeight="1" x14ac:dyDescent="0.3">
      <c r="A525" s="21">
        <v>44197</v>
      </c>
      <c r="B525" s="22">
        <v>220.94</v>
      </c>
      <c r="C525" s="22">
        <v>1102.69</v>
      </c>
      <c r="D525" s="22">
        <v>190.18</v>
      </c>
      <c r="E525" s="22">
        <v>342.1</v>
      </c>
      <c r="F525" s="22">
        <v>55526.14</v>
      </c>
    </row>
    <row r="526" spans="1:6" ht="13.5" customHeight="1" x14ac:dyDescent="0.3">
      <c r="A526" s="19">
        <v>44200</v>
      </c>
      <c r="B526" s="20">
        <v>216.69</v>
      </c>
      <c r="C526" s="20">
        <v>1090.6300000000001</v>
      </c>
      <c r="D526" s="20">
        <v>194.44</v>
      </c>
      <c r="E526" s="20">
        <v>327.35000000000002</v>
      </c>
      <c r="F526" s="20">
        <v>55882.69</v>
      </c>
    </row>
    <row r="527" spans="1:6" ht="13.5" customHeight="1" x14ac:dyDescent="0.3">
      <c r="A527" s="21">
        <v>44201</v>
      </c>
      <c r="B527" s="22">
        <v>213.85</v>
      </c>
      <c r="C527" s="22">
        <v>1094.9000000000001</v>
      </c>
      <c r="D527" s="22">
        <v>192.48</v>
      </c>
      <c r="E527" s="22">
        <v>324.82</v>
      </c>
      <c r="F527" s="22">
        <v>54653.77</v>
      </c>
    </row>
    <row r="528" spans="1:6" ht="13.5" customHeight="1" x14ac:dyDescent="0.3">
      <c r="A528" s="19">
        <v>44202</v>
      </c>
      <c r="B528" s="20">
        <v>209.87</v>
      </c>
      <c r="C528" s="20">
        <v>1073.72</v>
      </c>
      <c r="D528" s="20">
        <v>188.56</v>
      </c>
      <c r="E528" s="20">
        <v>314.55</v>
      </c>
      <c r="F528" s="20">
        <v>53808.26</v>
      </c>
    </row>
    <row r="529" spans="1:6" ht="13.5" customHeight="1" x14ac:dyDescent="0.3">
      <c r="A529" s="21">
        <v>44203</v>
      </c>
      <c r="B529" s="22">
        <v>211.78</v>
      </c>
      <c r="C529" s="22">
        <v>1076.6600000000001</v>
      </c>
      <c r="D529" s="22">
        <v>184.83</v>
      </c>
      <c r="E529" s="22">
        <v>313.81</v>
      </c>
      <c r="F529" s="22">
        <v>53790.73</v>
      </c>
    </row>
    <row r="530" spans="1:6" ht="13.5" customHeight="1" x14ac:dyDescent="0.3">
      <c r="A530" s="19">
        <v>44204</v>
      </c>
      <c r="B530" s="20">
        <v>211.23</v>
      </c>
      <c r="C530" s="20">
        <v>1050.1600000000001</v>
      </c>
      <c r="D530" s="20">
        <v>181.65</v>
      </c>
      <c r="E530" s="20">
        <v>315.04000000000002</v>
      </c>
      <c r="F530" s="20">
        <v>53266.65</v>
      </c>
    </row>
    <row r="531" spans="1:6" ht="13.5" customHeight="1" x14ac:dyDescent="0.3">
      <c r="A531" s="21">
        <v>44207</v>
      </c>
      <c r="B531" s="22">
        <v>212.97</v>
      </c>
      <c r="C531" s="22">
        <v>1061.6199999999999</v>
      </c>
      <c r="D531" s="22">
        <v>180.91</v>
      </c>
      <c r="E531" s="22">
        <v>317.61</v>
      </c>
      <c r="F531" s="22">
        <v>53133.15</v>
      </c>
    </row>
    <row r="532" spans="1:6" ht="13.5" customHeight="1" x14ac:dyDescent="0.3">
      <c r="A532" s="19">
        <v>44208</v>
      </c>
      <c r="B532" s="20">
        <v>213.26</v>
      </c>
      <c r="C532" s="20">
        <v>1055.6099999999999</v>
      </c>
      <c r="D532" s="20">
        <v>180.77</v>
      </c>
      <c r="E532" s="20">
        <v>317.89</v>
      </c>
      <c r="F532" s="20">
        <v>54004.07</v>
      </c>
    </row>
    <row r="533" spans="1:6" ht="13.5" customHeight="1" x14ac:dyDescent="0.3">
      <c r="A533" s="21">
        <v>44209</v>
      </c>
      <c r="B533" s="22">
        <v>216.41</v>
      </c>
      <c r="C533" s="22">
        <v>1070.52</v>
      </c>
      <c r="D533" s="22">
        <v>176.9</v>
      </c>
      <c r="E533" s="22">
        <v>310.52</v>
      </c>
      <c r="F533" s="22">
        <v>54072.3</v>
      </c>
    </row>
    <row r="534" spans="1:6" ht="13.5" customHeight="1" x14ac:dyDescent="0.3">
      <c r="A534" s="19">
        <v>44210</v>
      </c>
      <c r="B534" s="20">
        <v>219.66</v>
      </c>
      <c r="C534" s="20">
        <v>1074.6099999999999</v>
      </c>
      <c r="D534" s="20">
        <v>177.4</v>
      </c>
      <c r="E534" s="20">
        <v>318.31</v>
      </c>
      <c r="F534" s="20">
        <v>53349.46</v>
      </c>
    </row>
    <row r="535" spans="1:6" ht="13.5" customHeight="1" x14ac:dyDescent="0.3">
      <c r="A535" s="21">
        <v>44211</v>
      </c>
      <c r="B535" s="22">
        <v>217.76</v>
      </c>
      <c r="C535" s="22">
        <v>1066.54</v>
      </c>
      <c r="D535" s="22">
        <v>169.36</v>
      </c>
      <c r="E535" s="22">
        <v>310.37</v>
      </c>
      <c r="F535" s="22">
        <v>54234.06</v>
      </c>
    </row>
    <row r="536" spans="1:6" ht="13.5" customHeight="1" x14ac:dyDescent="0.3">
      <c r="A536" s="19">
        <v>44214</v>
      </c>
      <c r="B536" s="20">
        <v>217</v>
      </c>
      <c r="C536" s="20">
        <v>1083.04</v>
      </c>
      <c r="D536" s="20">
        <v>169.8</v>
      </c>
      <c r="E536" s="20">
        <v>308.54000000000002</v>
      </c>
      <c r="F536" s="20">
        <v>54128.58</v>
      </c>
    </row>
    <row r="537" spans="1:6" ht="13.5" customHeight="1" x14ac:dyDescent="0.3">
      <c r="A537" s="21">
        <v>44215</v>
      </c>
      <c r="B537" s="22">
        <v>215.47</v>
      </c>
      <c r="C537" s="22">
        <v>1061.27</v>
      </c>
      <c r="D537" s="22">
        <v>174.17</v>
      </c>
      <c r="E537" s="22">
        <v>304.16000000000003</v>
      </c>
      <c r="F537" s="22">
        <v>54115.76</v>
      </c>
    </row>
    <row r="538" spans="1:6" ht="13.5" customHeight="1" x14ac:dyDescent="0.3">
      <c r="A538" s="19">
        <v>44216</v>
      </c>
      <c r="B538" s="20">
        <v>210.7</v>
      </c>
      <c r="C538" s="20">
        <v>1056.94</v>
      </c>
      <c r="D538" s="20">
        <v>170.91</v>
      </c>
      <c r="E538" s="20">
        <v>300.83999999999997</v>
      </c>
      <c r="F538" s="20">
        <v>54265.55</v>
      </c>
    </row>
    <row r="539" spans="1:6" ht="13.5" customHeight="1" x14ac:dyDescent="0.3">
      <c r="A539" s="21">
        <v>44217</v>
      </c>
      <c r="B539" s="22">
        <v>212.74</v>
      </c>
      <c r="C539" s="22">
        <v>1047.55</v>
      </c>
      <c r="D539" s="22">
        <v>163.22</v>
      </c>
      <c r="E539" s="22">
        <v>293.01</v>
      </c>
      <c r="F539" s="22">
        <v>54600.72</v>
      </c>
    </row>
    <row r="540" spans="1:6" ht="13.5" customHeight="1" x14ac:dyDescent="0.3">
      <c r="A540" s="19">
        <v>44218</v>
      </c>
      <c r="B540" s="20">
        <v>216.31</v>
      </c>
      <c r="C540" s="20">
        <v>1061.92</v>
      </c>
      <c r="D540" s="20">
        <v>163.72</v>
      </c>
      <c r="E540" s="20">
        <v>299.16000000000003</v>
      </c>
      <c r="F540" s="20">
        <v>54164.7</v>
      </c>
    </row>
    <row r="541" spans="1:6" ht="13.5" customHeight="1" x14ac:dyDescent="0.3">
      <c r="A541" s="21">
        <v>44221</v>
      </c>
      <c r="B541" s="22">
        <v>216.36</v>
      </c>
      <c r="C541" s="22">
        <v>1061.1300000000001</v>
      </c>
      <c r="D541" s="22">
        <v>165.59</v>
      </c>
      <c r="E541" s="22">
        <v>303.52</v>
      </c>
      <c r="F541" s="22">
        <v>54221.27</v>
      </c>
    </row>
    <row r="542" spans="1:6" ht="13.5" customHeight="1" x14ac:dyDescent="0.3">
      <c r="A542" s="19">
        <v>44222</v>
      </c>
      <c r="B542" s="20">
        <v>214.95</v>
      </c>
      <c r="C542" s="20">
        <v>1066.82</v>
      </c>
      <c r="D542" s="20">
        <v>164.59</v>
      </c>
      <c r="E542" s="20">
        <v>304.07</v>
      </c>
      <c r="F542" s="20">
        <v>55005.17</v>
      </c>
    </row>
    <row r="543" spans="1:6" ht="13.5" customHeight="1" x14ac:dyDescent="0.3">
      <c r="A543" s="21">
        <v>44223</v>
      </c>
      <c r="B543" s="22">
        <v>218.27</v>
      </c>
      <c r="C543" s="22">
        <v>1077.3399999999999</v>
      </c>
      <c r="D543" s="22">
        <v>165.25</v>
      </c>
      <c r="E543" s="22">
        <v>303.39</v>
      </c>
      <c r="F543" s="22">
        <v>55793.01</v>
      </c>
    </row>
    <row r="544" spans="1:6" ht="13.5" customHeight="1" x14ac:dyDescent="0.3">
      <c r="A544" s="19">
        <v>44224</v>
      </c>
      <c r="B544" s="20">
        <v>211.24</v>
      </c>
      <c r="C544" s="20">
        <v>1033.4000000000001</v>
      </c>
      <c r="D544" s="20">
        <v>168.67</v>
      </c>
      <c r="E544" s="20">
        <v>298.02999999999997</v>
      </c>
      <c r="F544" s="20">
        <v>55295</v>
      </c>
    </row>
    <row r="545" spans="1:6" ht="13.5" customHeight="1" x14ac:dyDescent="0.3">
      <c r="A545" s="21">
        <v>44225</v>
      </c>
      <c r="B545" s="22">
        <v>211.83</v>
      </c>
      <c r="C545" s="22">
        <v>1017.13</v>
      </c>
      <c r="D545" s="22">
        <v>173.23</v>
      </c>
      <c r="E545" s="22">
        <v>297.55</v>
      </c>
      <c r="F545" s="22">
        <v>55324.73</v>
      </c>
    </row>
    <row r="546" spans="1:6" ht="13.5" customHeight="1" x14ac:dyDescent="0.3">
      <c r="A546" s="19">
        <v>44228</v>
      </c>
      <c r="B546" s="20">
        <v>212.32</v>
      </c>
      <c r="C546" s="20">
        <v>1019.82</v>
      </c>
      <c r="D546" s="20">
        <v>174.93</v>
      </c>
      <c r="E546" s="20">
        <v>292.58999999999997</v>
      </c>
      <c r="F546" s="20">
        <v>56301.05</v>
      </c>
    </row>
    <row r="547" spans="1:6" ht="13.5" customHeight="1" x14ac:dyDescent="0.3">
      <c r="A547" s="21">
        <v>44229</v>
      </c>
      <c r="B547" s="22">
        <v>210.7</v>
      </c>
      <c r="C547" s="22">
        <v>1038.6400000000001</v>
      </c>
      <c r="D547" s="22">
        <v>171.59</v>
      </c>
      <c r="E547" s="22">
        <v>293.20999999999998</v>
      </c>
      <c r="F547" s="22">
        <v>56154.74</v>
      </c>
    </row>
    <row r="548" spans="1:6" ht="13.5" customHeight="1" x14ac:dyDescent="0.3">
      <c r="A548" s="19">
        <v>44230</v>
      </c>
      <c r="B548" s="20">
        <v>214.83</v>
      </c>
      <c r="C548" s="20">
        <v>1049.75</v>
      </c>
      <c r="D548" s="20">
        <v>172.12</v>
      </c>
      <c r="E548" s="20">
        <v>295.52999999999997</v>
      </c>
      <c r="F548" s="20">
        <v>55319.26</v>
      </c>
    </row>
    <row r="549" spans="1:6" ht="13.5" customHeight="1" x14ac:dyDescent="0.3">
      <c r="A549" s="21">
        <v>44231</v>
      </c>
      <c r="B549" s="22">
        <v>217.79</v>
      </c>
      <c r="C549" s="22">
        <v>1074.6400000000001</v>
      </c>
      <c r="D549" s="22">
        <v>169.47</v>
      </c>
      <c r="E549" s="22">
        <v>294.29000000000002</v>
      </c>
      <c r="F549" s="22">
        <v>54932.66</v>
      </c>
    </row>
    <row r="550" spans="1:6" ht="13.5" customHeight="1" x14ac:dyDescent="0.3">
      <c r="A550" s="19">
        <v>44232</v>
      </c>
      <c r="B550" s="20">
        <v>217.07</v>
      </c>
      <c r="C550" s="20">
        <v>1071.08</v>
      </c>
      <c r="D550" s="20">
        <v>169.5</v>
      </c>
      <c r="E550" s="20">
        <v>296.64999999999998</v>
      </c>
      <c r="F550" s="20">
        <v>55324.18</v>
      </c>
    </row>
    <row r="551" spans="1:6" ht="13.5" customHeight="1" x14ac:dyDescent="0.3">
      <c r="A551" s="21">
        <v>44235</v>
      </c>
      <c r="B551" s="22">
        <v>216.88</v>
      </c>
      <c r="C551" s="22">
        <v>1073.6199999999999</v>
      </c>
      <c r="D551" s="22">
        <v>168.92</v>
      </c>
      <c r="E551" s="22">
        <v>300.06</v>
      </c>
      <c r="F551" s="22">
        <v>55279.35</v>
      </c>
    </row>
    <row r="552" spans="1:6" ht="13.5" customHeight="1" x14ac:dyDescent="0.3">
      <c r="A552" s="19">
        <v>44236</v>
      </c>
      <c r="B552" s="20">
        <v>215.78</v>
      </c>
      <c r="C552" s="20">
        <v>1064.79</v>
      </c>
      <c r="D552" s="20">
        <v>167.47</v>
      </c>
      <c r="E552" s="20">
        <v>304.77</v>
      </c>
      <c r="F552" s="20">
        <v>55323.54</v>
      </c>
    </row>
    <row r="553" spans="1:6" ht="13.5" customHeight="1" x14ac:dyDescent="0.3">
      <c r="A553" s="21">
        <v>44237</v>
      </c>
      <c r="B553" s="22">
        <v>214.32</v>
      </c>
      <c r="C553" s="22">
        <v>1057.24</v>
      </c>
      <c r="D553" s="22">
        <v>171.58</v>
      </c>
      <c r="E553" s="22">
        <v>316.27999999999997</v>
      </c>
      <c r="F553" s="22">
        <v>55506.73</v>
      </c>
    </row>
    <row r="554" spans="1:6" ht="13.5" customHeight="1" x14ac:dyDescent="0.3">
      <c r="A554" s="19">
        <v>44238</v>
      </c>
      <c r="B554" s="20">
        <v>210.5</v>
      </c>
      <c r="C554" s="20">
        <v>1042.3900000000001</v>
      </c>
      <c r="D554" s="20">
        <v>171.03</v>
      </c>
      <c r="E554" s="20">
        <v>307.89999999999998</v>
      </c>
      <c r="F554" s="20">
        <v>55351.65</v>
      </c>
    </row>
    <row r="555" spans="1:6" ht="13.5" customHeight="1" x14ac:dyDescent="0.3">
      <c r="A555" s="21">
        <v>44239</v>
      </c>
      <c r="B555" s="22">
        <v>214.6</v>
      </c>
      <c r="C555" s="22">
        <v>1033.02</v>
      </c>
      <c r="D555" s="22">
        <v>167.11</v>
      </c>
      <c r="E555" s="22">
        <v>300.87</v>
      </c>
      <c r="F555" s="22">
        <v>55686.3</v>
      </c>
    </row>
    <row r="556" spans="1:6" ht="13.5" customHeight="1" x14ac:dyDescent="0.3">
      <c r="A556" s="19">
        <v>44242</v>
      </c>
      <c r="B556" s="20">
        <v>217.72</v>
      </c>
      <c r="C556" s="20">
        <v>1030.1600000000001</v>
      </c>
      <c r="D556" s="20">
        <v>168.17</v>
      </c>
      <c r="E556" s="20">
        <v>294.08999999999997</v>
      </c>
      <c r="F556" s="20">
        <v>56544</v>
      </c>
    </row>
    <row r="557" spans="1:6" ht="13.5" customHeight="1" x14ac:dyDescent="0.3">
      <c r="A557" s="21">
        <v>44243</v>
      </c>
      <c r="B557" s="22">
        <v>220.2</v>
      </c>
      <c r="C557" s="22">
        <v>1018.94</v>
      </c>
      <c r="D557" s="22">
        <v>170.06</v>
      </c>
      <c r="E557" s="22">
        <v>293.14</v>
      </c>
      <c r="F557" s="22">
        <v>56837.2</v>
      </c>
    </row>
    <row r="558" spans="1:6" ht="13.5" customHeight="1" x14ac:dyDescent="0.3">
      <c r="A558" s="19">
        <v>44244</v>
      </c>
      <c r="B558" s="20">
        <v>216.93</v>
      </c>
      <c r="C558" s="20">
        <v>1020.02</v>
      </c>
      <c r="D558" s="20">
        <v>170.26</v>
      </c>
      <c r="E558" s="20">
        <v>284.44</v>
      </c>
      <c r="F558" s="20">
        <v>57195.8</v>
      </c>
    </row>
    <row r="559" spans="1:6" ht="13.5" customHeight="1" x14ac:dyDescent="0.3">
      <c r="A559" s="21">
        <v>44245</v>
      </c>
      <c r="B559" s="22">
        <v>223.25</v>
      </c>
      <c r="C559" s="22">
        <v>987.91</v>
      </c>
      <c r="D559" s="22">
        <v>168.25</v>
      </c>
      <c r="E559" s="22">
        <v>281.73</v>
      </c>
      <c r="F559" s="22">
        <v>57944.89</v>
      </c>
    </row>
    <row r="560" spans="1:6" ht="13.5" customHeight="1" x14ac:dyDescent="0.3">
      <c r="A560" s="19">
        <v>44246</v>
      </c>
      <c r="B560" s="20">
        <v>229.45</v>
      </c>
      <c r="C560" s="20">
        <v>995.95</v>
      </c>
      <c r="D560" s="20">
        <v>167.17</v>
      </c>
      <c r="E560" s="20">
        <v>286.32</v>
      </c>
      <c r="F560" s="20">
        <v>58445.59</v>
      </c>
    </row>
    <row r="561" spans="1:6" ht="13.5" customHeight="1" x14ac:dyDescent="0.3">
      <c r="A561" s="21">
        <v>44249</v>
      </c>
      <c r="B561" s="22">
        <v>230.12</v>
      </c>
      <c r="C561" s="22">
        <v>999.66</v>
      </c>
      <c r="D561" s="22">
        <v>165.69</v>
      </c>
      <c r="E561" s="22">
        <v>290.39999999999998</v>
      </c>
      <c r="F561" s="22">
        <v>59216.67</v>
      </c>
    </row>
    <row r="562" spans="1:6" ht="13.5" customHeight="1" x14ac:dyDescent="0.3">
      <c r="A562" s="19">
        <v>44250</v>
      </c>
      <c r="B562" s="20">
        <v>227.31</v>
      </c>
      <c r="C562" s="20">
        <v>1008.13</v>
      </c>
      <c r="D562" s="20">
        <v>164.44</v>
      </c>
      <c r="E562" s="20">
        <v>299.54000000000002</v>
      </c>
      <c r="F562" s="20">
        <v>57879.97</v>
      </c>
    </row>
    <row r="563" spans="1:6" ht="13.5" customHeight="1" x14ac:dyDescent="0.3">
      <c r="A563" s="21">
        <v>44251</v>
      </c>
      <c r="B563" s="22">
        <v>224.65</v>
      </c>
      <c r="C563" s="22">
        <v>1000.49</v>
      </c>
      <c r="D563" s="22">
        <v>162.68</v>
      </c>
      <c r="E563" s="22">
        <v>304.52</v>
      </c>
      <c r="F563" s="22">
        <v>57923.39</v>
      </c>
    </row>
    <row r="564" spans="1:6" ht="13.5" customHeight="1" x14ac:dyDescent="0.3">
      <c r="A564" s="19">
        <v>44252</v>
      </c>
      <c r="B564" s="20">
        <v>226.03</v>
      </c>
      <c r="C564" s="20">
        <v>992.11</v>
      </c>
      <c r="D564" s="20">
        <v>162.18</v>
      </c>
      <c r="E564" s="20">
        <v>310.49</v>
      </c>
      <c r="F564" s="20">
        <v>58208.08</v>
      </c>
    </row>
    <row r="565" spans="1:6" ht="13.5" customHeight="1" x14ac:dyDescent="0.3">
      <c r="A565" s="21">
        <v>44253</v>
      </c>
      <c r="B565" s="22">
        <v>223.24</v>
      </c>
      <c r="C565" s="22">
        <v>1009.89</v>
      </c>
      <c r="D565" s="22">
        <v>158.78</v>
      </c>
      <c r="E565" s="22">
        <v>307.52999999999997</v>
      </c>
      <c r="F565" s="22">
        <v>58139.63</v>
      </c>
    </row>
    <row r="566" spans="1:6" ht="13.5" customHeight="1" x14ac:dyDescent="0.3">
      <c r="A566" s="19">
        <v>44256</v>
      </c>
      <c r="B566" s="20">
        <v>223.21</v>
      </c>
      <c r="C566" s="20">
        <v>1007.74</v>
      </c>
      <c r="D566" s="20">
        <v>159.46</v>
      </c>
      <c r="E566" s="20">
        <v>305.60000000000002</v>
      </c>
      <c r="F566" s="20">
        <v>57597.88</v>
      </c>
    </row>
    <row r="567" spans="1:6" ht="13.5" customHeight="1" x14ac:dyDescent="0.3">
      <c r="A567" s="21">
        <v>44257</v>
      </c>
      <c r="B567" s="22">
        <v>226.64</v>
      </c>
      <c r="C567" s="22">
        <v>1043.6500000000001</v>
      </c>
      <c r="D567" s="22">
        <v>157.56</v>
      </c>
      <c r="E567" s="22">
        <v>310.82</v>
      </c>
      <c r="F567" s="22">
        <v>57531.78</v>
      </c>
    </row>
    <row r="568" spans="1:6" ht="13.5" customHeight="1" x14ac:dyDescent="0.3">
      <c r="A568" s="19">
        <v>44258</v>
      </c>
      <c r="B568" s="20">
        <v>221.98</v>
      </c>
      <c r="C568" s="20">
        <v>1018.39</v>
      </c>
      <c r="D568" s="20">
        <v>159.80000000000001</v>
      </c>
      <c r="E568" s="20">
        <v>316.01</v>
      </c>
      <c r="F568" s="20">
        <v>57071.06</v>
      </c>
    </row>
    <row r="569" spans="1:6" ht="13.5" customHeight="1" x14ac:dyDescent="0.3">
      <c r="A569" s="21">
        <v>44259</v>
      </c>
      <c r="B569" s="22">
        <v>228.22</v>
      </c>
      <c r="C569" s="22">
        <v>1014.55</v>
      </c>
      <c r="D569" s="22">
        <v>160.82</v>
      </c>
      <c r="E569" s="22">
        <v>304.72000000000003</v>
      </c>
      <c r="F569" s="22">
        <v>57309.81</v>
      </c>
    </row>
    <row r="570" spans="1:6" ht="13.5" customHeight="1" x14ac:dyDescent="0.3">
      <c r="A570" s="19">
        <v>44260</v>
      </c>
      <c r="B570" s="20">
        <v>233.25</v>
      </c>
      <c r="C570" s="20">
        <v>994.98</v>
      </c>
      <c r="D570" s="20">
        <v>164.7</v>
      </c>
      <c r="E570" s="20">
        <v>296.87</v>
      </c>
      <c r="F570" s="20">
        <v>57770.41</v>
      </c>
    </row>
    <row r="571" spans="1:6" ht="13.5" customHeight="1" x14ac:dyDescent="0.3">
      <c r="A571" s="21">
        <v>44263</v>
      </c>
      <c r="B571" s="22">
        <v>229.33</v>
      </c>
      <c r="C571" s="22">
        <v>981.77</v>
      </c>
      <c r="D571" s="22">
        <v>161.22999999999999</v>
      </c>
      <c r="E571" s="22">
        <v>291.52</v>
      </c>
      <c r="F571" s="22">
        <v>57633.66</v>
      </c>
    </row>
    <row r="572" spans="1:6" ht="13.5" customHeight="1" x14ac:dyDescent="0.3">
      <c r="A572" s="19">
        <v>44264</v>
      </c>
      <c r="B572" s="20">
        <v>224.91</v>
      </c>
      <c r="C572" s="20">
        <v>968.67</v>
      </c>
      <c r="D572" s="20">
        <v>164.88</v>
      </c>
      <c r="E572" s="20">
        <v>286.92</v>
      </c>
      <c r="F572" s="20">
        <v>58349.440000000002</v>
      </c>
    </row>
    <row r="573" spans="1:6" ht="13.5" customHeight="1" x14ac:dyDescent="0.3">
      <c r="A573" s="21">
        <v>44265</v>
      </c>
      <c r="B573" s="22">
        <v>224.09</v>
      </c>
      <c r="C573" s="22">
        <v>961.03</v>
      </c>
      <c r="D573" s="22">
        <v>164.64</v>
      </c>
      <c r="E573" s="22">
        <v>294.2</v>
      </c>
      <c r="F573" s="22">
        <v>58023.25</v>
      </c>
    </row>
    <row r="574" spans="1:6" ht="13.5" customHeight="1" x14ac:dyDescent="0.3">
      <c r="A574" s="19">
        <v>44266</v>
      </c>
      <c r="B574" s="20">
        <v>220.96</v>
      </c>
      <c r="C574" s="20">
        <v>974.88</v>
      </c>
      <c r="D574" s="20">
        <v>166.31</v>
      </c>
      <c r="E574" s="20">
        <v>304.38</v>
      </c>
      <c r="F574" s="20">
        <v>57649.54</v>
      </c>
    </row>
    <row r="575" spans="1:6" ht="13.5" customHeight="1" x14ac:dyDescent="0.3">
      <c r="A575" s="21">
        <v>44267</v>
      </c>
      <c r="B575" s="22">
        <v>220.23</v>
      </c>
      <c r="C575" s="22">
        <v>955.79</v>
      </c>
      <c r="D575" s="22">
        <v>168.7</v>
      </c>
      <c r="E575" s="22">
        <v>306.43</v>
      </c>
      <c r="F575" s="22">
        <v>57722.28</v>
      </c>
    </row>
    <row r="576" spans="1:6" ht="13.5" customHeight="1" x14ac:dyDescent="0.3">
      <c r="A576" s="19">
        <v>44270</v>
      </c>
      <c r="B576" s="20">
        <v>212.42</v>
      </c>
      <c r="C576" s="20">
        <v>966.64</v>
      </c>
      <c r="D576" s="20">
        <v>171.33</v>
      </c>
      <c r="E576" s="20">
        <v>308.55</v>
      </c>
      <c r="F576" s="20">
        <v>57480.74</v>
      </c>
    </row>
    <row r="577" spans="1:6" ht="13.5" customHeight="1" x14ac:dyDescent="0.3">
      <c r="A577" s="21">
        <v>44271</v>
      </c>
      <c r="B577" s="22">
        <v>211.81</v>
      </c>
      <c r="C577" s="22">
        <v>942.65</v>
      </c>
      <c r="D577" s="22">
        <v>171.56</v>
      </c>
      <c r="E577" s="22">
        <v>320.02</v>
      </c>
      <c r="F577" s="22">
        <v>58148.42</v>
      </c>
    </row>
    <row r="578" spans="1:6" ht="13.5" customHeight="1" x14ac:dyDescent="0.3">
      <c r="A578" s="19">
        <v>44272</v>
      </c>
      <c r="B578" s="20">
        <v>217.17</v>
      </c>
      <c r="C578" s="20">
        <v>936.47</v>
      </c>
      <c r="D578" s="20">
        <v>172.86</v>
      </c>
      <c r="E578" s="20">
        <v>322.88</v>
      </c>
      <c r="F578" s="20">
        <v>58055.17</v>
      </c>
    </row>
    <row r="579" spans="1:6" ht="13.5" customHeight="1" x14ac:dyDescent="0.3">
      <c r="A579" s="21">
        <v>44273</v>
      </c>
      <c r="B579" s="22">
        <v>213.88</v>
      </c>
      <c r="C579" s="22">
        <v>958.83</v>
      </c>
      <c r="D579" s="22">
        <v>172.67</v>
      </c>
      <c r="E579" s="22">
        <v>326.45</v>
      </c>
      <c r="F579" s="22">
        <v>58426.83</v>
      </c>
    </row>
    <row r="580" spans="1:6" ht="13.5" customHeight="1" x14ac:dyDescent="0.3">
      <c r="A580" s="19">
        <v>44274</v>
      </c>
      <c r="B580" s="20">
        <v>213.14</v>
      </c>
      <c r="C580" s="20">
        <v>967.21</v>
      </c>
      <c r="D580" s="20">
        <v>174.72</v>
      </c>
      <c r="E580" s="20">
        <v>328.9</v>
      </c>
      <c r="F580" s="20">
        <v>59069.31</v>
      </c>
    </row>
    <row r="581" spans="1:6" ht="13.5" customHeight="1" x14ac:dyDescent="0.3">
      <c r="A581" s="21">
        <v>44277</v>
      </c>
      <c r="B581" s="22">
        <v>208.81</v>
      </c>
      <c r="C581" s="22">
        <v>972.43</v>
      </c>
      <c r="D581" s="22">
        <v>172.34</v>
      </c>
      <c r="E581" s="22">
        <v>331.39</v>
      </c>
      <c r="F581" s="22">
        <v>57999.55</v>
      </c>
    </row>
    <row r="582" spans="1:6" ht="13.5" customHeight="1" x14ac:dyDescent="0.3">
      <c r="A582" s="19">
        <v>44278</v>
      </c>
      <c r="B582" s="20">
        <v>210.72</v>
      </c>
      <c r="C582" s="20">
        <v>983.82</v>
      </c>
      <c r="D582" s="20">
        <v>173.5</v>
      </c>
      <c r="E582" s="20">
        <v>339.99</v>
      </c>
      <c r="F582" s="20">
        <v>57984.63</v>
      </c>
    </row>
    <row r="583" spans="1:6" ht="13.5" customHeight="1" x14ac:dyDescent="0.3">
      <c r="A583" s="21">
        <v>44279</v>
      </c>
      <c r="B583" s="22">
        <v>210.13</v>
      </c>
      <c r="C583" s="22">
        <v>994.4</v>
      </c>
      <c r="D583" s="22">
        <v>177.78</v>
      </c>
      <c r="E583" s="22">
        <v>344.82</v>
      </c>
      <c r="F583" s="22">
        <v>58084.22</v>
      </c>
    </row>
    <row r="584" spans="1:6" ht="13.5" customHeight="1" x14ac:dyDescent="0.3">
      <c r="A584" s="19">
        <v>44280</v>
      </c>
      <c r="B584" s="20">
        <v>215.85</v>
      </c>
      <c r="C584" s="20">
        <v>1006</v>
      </c>
      <c r="D584" s="20">
        <v>183.47</v>
      </c>
      <c r="E584" s="20">
        <v>345.54</v>
      </c>
      <c r="F584" s="20">
        <v>56888.61</v>
      </c>
    </row>
    <row r="585" spans="1:6" ht="13.5" customHeight="1" x14ac:dyDescent="0.3">
      <c r="A585" s="21">
        <v>44281</v>
      </c>
      <c r="B585" s="22">
        <v>216.53</v>
      </c>
      <c r="C585" s="22">
        <v>1031.51</v>
      </c>
      <c r="D585" s="22">
        <v>186.63</v>
      </c>
      <c r="E585" s="22">
        <v>343.14</v>
      </c>
      <c r="F585" s="22">
        <v>56943.81</v>
      </c>
    </row>
    <row r="586" spans="1:6" ht="13.5" customHeight="1" x14ac:dyDescent="0.3">
      <c r="A586" s="19">
        <v>44284</v>
      </c>
      <c r="B586" s="20">
        <v>215.49</v>
      </c>
      <c r="C586" s="20">
        <v>1013.23</v>
      </c>
      <c r="D586" s="20">
        <v>191</v>
      </c>
      <c r="E586" s="20">
        <v>344.99</v>
      </c>
      <c r="F586" s="20">
        <v>56839.78</v>
      </c>
    </row>
    <row r="587" spans="1:6" ht="13.5" customHeight="1" x14ac:dyDescent="0.3">
      <c r="A587" s="21">
        <v>44285</v>
      </c>
      <c r="B587" s="22">
        <v>217.2</v>
      </c>
      <c r="C587" s="22">
        <v>1012.57</v>
      </c>
      <c r="D587" s="22">
        <v>192.65</v>
      </c>
      <c r="E587" s="22">
        <v>334.31</v>
      </c>
      <c r="F587" s="22">
        <v>55930.68</v>
      </c>
    </row>
    <row r="588" spans="1:6" ht="13.5" customHeight="1" x14ac:dyDescent="0.3">
      <c r="A588" s="19">
        <v>44286</v>
      </c>
      <c r="B588" s="20">
        <v>215.74</v>
      </c>
      <c r="C588" s="20">
        <v>1024.55</v>
      </c>
      <c r="D588" s="20">
        <v>195.92</v>
      </c>
      <c r="E588" s="20">
        <v>337.38</v>
      </c>
      <c r="F588" s="20">
        <v>56794.239999999998</v>
      </c>
    </row>
    <row r="589" spans="1:6" ht="13.5" customHeight="1" x14ac:dyDescent="0.3">
      <c r="A589" s="21">
        <v>44287</v>
      </c>
      <c r="B589" s="22">
        <v>211.81</v>
      </c>
      <c r="C589" s="22">
        <v>1038.71</v>
      </c>
      <c r="D589" s="22">
        <v>202</v>
      </c>
      <c r="E589" s="22">
        <v>338.35</v>
      </c>
      <c r="F589" s="22">
        <v>56895.35</v>
      </c>
    </row>
    <row r="590" spans="1:6" ht="13.5" customHeight="1" x14ac:dyDescent="0.3">
      <c r="A590" s="19">
        <v>44288</v>
      </c>
      <c r="B590" s="20">
        <v>212.76</v>
      </c>
      <c r="C590" s="20">
        <v>1049.55</v>
      </c>
      <c r="D590" s="20">
        <v>201.91</v>
      </c>
      <c r="E590" s="20">
        <v>340.56</v>
      </c>
      <c r="F590" s="20">
        <v>55462.42</v>
      </c>
    </row>
    <row r="591" spans="1:6" ht="13.5" customHeight="1" x14ac:dyDescent="0.3">
      <c r="A591" s="21">
        <v>44291</v>
      </c>
      <c r="B591" s="22">
        <v>212.31</v>
      </c>
      <c r="C591" s="22">
        <v>1074.3699999999999</v>
      </c>
      <c r="D591" s="22">
        <v>196.94</v>
      </c>
      <c r="E591" s="22">
        <v>333.28</v>
      </c>
      <c r="F591" s="22">
        <v>55182.93</v>
      </c>
    </row>
    <row r="592" spans="1:6" ht="13.5" customHeight="1" x14ac:dyDescent="0.3">
      <c r="A592" s="19">
        <v>44292</v>
      </c>
      <c r="B592" s="20">
        <v>212.87</v>
      </c>
      <c r="C592" s="20">
        <v>1065.51</v>
      </c>
      <c r="D592" s="20">
        <v>196.49</v>
      </c>
      <c r="E592" s="20">
        <v>336.39</v>
      </c>
      <c r="F592" s="20">
        <v>54999.75</v>
      </c>
    </row>
    <row r="593" spans="1:6" ht="13.5" customHeight="1" x14ac:dyDescent="0.3">
      <c r="A593" s="21">
        <v>44293</v>
      </c>
      <c r="B593" s="22">
        <v>214.04</v>
      </c>
      <c r="C593" s="22">
        <v>1040.78</v>
      </c>
      <c r="D593" s="22">
        <v>197.14</v>
      </c>
      <c r="E593" s="22">
        <v>337.71</v>
      </c>
      <c r="F593" s="22">
        <v>54949.07</v>
      </c>
    </row>
    <row r="594" spans="1:6" ht="13.5" customHeight="1" x14ac:dyDescent="0.3">
      <c r="A594" s="19">
        <v>44294</v>
      </c>
      <c r="B594" s="20">
        <v>212.6</v>
      </c>
      <c r="C594" s="20">
        <v>1064.76</v>
      </c>
      <c r="D594" s="20">
        <v>194.66</v>
      </c>
      <c r="E594" s="20">
        <v>337.83</v>
      </c>
      <c r="F594" s="20">
        <v>54493.29</v>
      </c>
    </row>
    <row r="595" spans="1:6" ht="13.5" customHeight="1" x14ac:dyDescent="0.3">
      <c r="A595" s="21">
        <v>44295</v>
      </c>
      <c r="B595" s="22">
        <v>213.91</v>
      </c>
      <c r="C595" s="22">
        <v>1065.3699999999999</v>
      </c>
      <c r="D595" s="22">
        <v>191.07</v>
      </c>
      <c r="E595" s="22">
        <v>340.35</v>
      </c>
      <c r="F595" s="22">
        <v>53851.040000000001</v>
      </c>
    </row>
    <row r="596" spans="1:6" ht="13.5" customHeight="1" x14ac:dyDescent="0.3">
      <c r="A596" s="19">
        <v>44298</v>
      </c>
      <c r="B596" s="20">
        <v>219.13</v>
      </c>
      <c r="C596" s="20">
        <v>1055.7</v>
      </c>
      <c r="D596" s="20">
        <v>189.66</v>
      </c>
      <c r="E596" s="20">
        <v>335.18</v>
      </c>
      <c r="F596" s="20">
        <v>54022.27</v>
      </c>
    </row>
    <row r="597" spans="1:6" ht="13.5" customHeight="1" x14ac:dyDescent="0.3">
      <c r="A597" s="21">
        <v>44299</v>
      </c>
      <c r="B597" s="22">
        <v>215.83</v>
      </c>
      <c r="C597" s="22">
        <v>1056.99</v>
      </c>
      <c r="D597" s="22">
        <v>186.06</v>
      </c>
      <c r="E597" s="22">
        <v>326.11</v>
      </c>
      <c r="F597" s="22">
        <v>53449.83</v>
      </c>
    </row>
    <row r="598" spans="1:6" ht="13.5" customHeight="1" x14ac:dyDescent="0.3">
      <c r="A598" s="19">
        <v>44300</v>
      </c>
      <c r="B598" s="20">
        <v>221.1</v>
      </c>
      <c r="C598" s="20">
        <v>1049.56</v>
      </c>
      <c r="D598" s="20">
        <v>188.81</v>
      </c>
      <c r="E598" s="20">
        <v>329.07</v>
      </c>
      <c r="F598" s="20">
        <v>54053.3</v>
      </c>
    </row>
    <row r="599" spans="1:6" ht="13.5" customHeight="1" x14ac:dyDescent="0.3">
      <c r="A599" s="21">
        <v>44301</v>
      </c>
      <c r="B599" s="22">
        <v>220.42</v>
      </c>
      <c r="C599" s="22">
        <v>1068.81</v>
      </c>
      <c r="D599" s="22">
        <v>193.95</v>
      </c>
      <c r="E599" s="22">
        <v>315.52999999999997</v>
      </c>
      <c r="F599" s="22">
        <v>54371.5</v>
      </c>
    </row>
    <row r="600" spans="1:6" ht="13.5" customHeight="1" x14ac:dyDescent="0.3">
      <c r="A600" s="19">
        <v>44302</v>
      </c>
      <c r="B600" s="20">
        <v>218.15</v>
      </c>
      <c r="C600" s="20">
        <v>1086.23</v>
      </c>
      <c r="D600" s="20">
        <v>196.09</v>
      </c>
      <c r="E600" s="20">
        <v>319.23</v>
      </c>
      <c r="F600" s="20">
        <v>54536.9</v>
      </c>
    </row>
    <row r="601" spans="1:6" ht="13.5" customHeight="1" x14ac:dyDescent="0.3">
      <c r="A601" s="21">
        <v>44305</v>
      </c>
      <c r="B601" s="22">
        <v>225.56</v>
      </c>
      <c r="C601" s="22">
        <v>1092.8499999999999</v>
      </c>
      <c r="D601" s="22">
        <v>191.86</v>
      </c>
      <c r="E601" s="22">
        <v>331.85</v>
      </c>
      <c r="F601" s="22">
        <v>54204.49</v>
      </c>
    </row>
    <row r="602" spans="1:6" ht="13.5" customHeight="1" x14ac:dyDescent="0.3">
      <c r="A602" s="19">
        <v>44306</v>
      </c>
      <c r="B602" s="20">
        <v>226.12</v>
      </c>
      <c r="C602" s="20">
        <v>1103.93</v>
      </c>
      <c r="D602" s="20">
        <v>192.56</v>
      </c>
      <c r="E602" s="20">
        <v>334.34</v>
      </c>
      <c r="F602" s="20">
        <v>54292.26</v>
      </c>
    </row>
    <row r="603" spans="1:6" ht="13.5" customHeight="1" x14ac:dyDescent="0.3">
      <c r="A603" s="21">
        <v>44307</v>
      </c>
      <c r="B603" s="22">
        <v>230.48</v>
      </c>
      <c r="C603" s="22">
        <v>1105.22</v>
      </c>
      <c r="D603" s="22">
        <v>190.04</v>
      </c>
      <c r="E603" s="22">
        <v>339.89</v>
      </c>
      <c r="F603" s="22">
        <v>54348.29</v>
      </c>
    </row>
    <row r="604" spans="1:6" ht="13.5" customHeight="1" x14ac:dyDescent="0.3">
      <c r="A604" s="19">
        <v>44308</v>
      </c>
      <c r="B604" s="20">
        <v>233.17</v>
      </c>
      <c r="C604" s="20">
        <v>1125.8900000000001</v>
      </c>
      <c r="D604" s="20">
        <v>190.95</v>
      </c>
      <c r="E604" s="20">
        <v>350.51</v>
      </c>
      <c r="F604" s="20">
        <v>54459.71</v>
      </c>
    </row>
    <row r="605" spans="1:6" ht="13.5" customHeight="1" x14ac:dyDescent="0.3">
      <c r="A605" s="21">
        <v>44309</v>
      </c>
      <c r="B605" s="22">
        <v>227.81</v>
      </c>
      <c r="C605" s="22">
        <v>1079.6300000000001</v>
      </c>
      <c r="D605" s="22">
        <v>188.55</v>
      </c>
      <c r="E605" s="22">
        <v>357.59</v>
      </c>
      <c r="F605" s="22">
        <v>53486.43</v>
      </c>
    </row>
    <row r="606" spans="1:6" ht="13.5" customHeight="1" x14ac:dyDescent="0.3">
      <c r="A606" s="19">
        <v>44312</v>
      </c>
      <c r="B606" s="20">
        <v>228.26</v>
      </c>
      <c r="C606" s="20">
        <v>1058.02</v>
      </c>
      <c r="D606" s="20">
        <v>191.54</v>
      </c>
      <c r="E606" s="20">
        <v>373.15</v>
      </c>
      <c r="F606" s="20">
        <v>53501.25</v>
      </c>
    </row>
    <row r="607" spans="1:6" ht="13.5" customHeight="1" x14ac:dyDescent="0.3">
      <c r="A607" s="21">
        <v>44313</v>
      </c>
      <c r="B607" s="22">
        <v>226.67</v>
      </c>
      <c r="C607" s="22">
        <v>1057.9100000000001</v>
      </c>
      <c r="D607" s="22">
        <v>193.74</v>
      </c>
      <c r="E607" s="22">
        <v>367.18</v>
      </c>
      <c r="F607" s="22">
        <v>52139.11</v>
      </c>
    </row>
    <row r="608" spans="1:6" ht="13.5" customHeight="1" x14ac:dyDescent="0.3">
      <c r="A608" s="19">
        <v>44314</v>
      </c>
      <c r="B608" s="20">
        <v>222.53</v>
      </c>
      <c r="C608" s="20">
        <v>1050.82</v>
      </c>
      <c r="D608" s="20">
        <v>192.84</v>
      </c>
      <c r="E608" s="20">
        <v>364.99</v>
      </c>
      <c r="F608" s="20">
        <v>52230.080000000002</v>
      </c>
    </row>
    <row r="609" spans="1:6" ht="13.5" customHeight="1" x14ac:dyDescent="0.3">
      <c r="A609" s="21">
        <v>44315</v>
      </c>
      <c r="B609" s="22">
        <v>217.14</v>
      </c>
      <c r="C609" s="22">
        <v>1033.83</v>
      </c>
      <c r="D609" s="22">
        <v>194.45</v>
      </c>
      <c r="E609" s="22">
        <v>368.5</v>
      </c>
      <c r="F609" s="22">
        <v>53711.44</v>
      </c>
    </row>
    <row r="610" spans="1:6" ht="13.5" customHeight="1" x14ac:dyDescent="0.3">
      <c r="A610" s="19">
        <v>44316</v>
      </c>
      <c r="B610" s="20">
        <v>217.51</v>
      </c>
      <c r="C610" s="20">
        <v>1045.75</v>
      </c>
      <c r="D610" s="20">
        <v>194.72</v>
      </c>
      <c r="E610" s="20">
        <v>357.43</v>
      </c>
      <c r="F610" s="20">
        <v>53138.18</v>
      </c>
    </row>
    <row r="611" spans="1:6" ht="13.5" customHeight="1" x14ac:dyDescent="0.3">
      <c r="A611" s="21">
        <v>44319</v>
      </c>
      <c r="B611" s="22">
        <v>219.36</v>
      </c>
      <c r="C611" s="22">
        <v>1028.33</v>
      </c>
      <c r="D611" s="22">
        <v>200.09</v>
      </c>
      <c r="E611" s="22">
        <v>357.56</v>
      </c>
      <c r="F611" s="22">
        <v>52668.86</v>
      </c>
    </row>
    <row r="612" spans="1:6" ht="13.5" customHeight="1" x14ac:dyDescent="0.3">
      <c r="A612" s="19">
        <v>44320</v>
      </c>
      <c r="B612" s="20">
        <v>220.62</v>
      </c>
      <c r="C612" s="20">
        <v>1032.8800000000001</v>
      </c>
      <c r="D612" s="20">
        <v>194.18</v>
      </c>
      <c r="E612" s="20">
        <v>358.18</v>
      </c>
      <c r="F612" s="20">
        <v>53183.08</v>
      </c>
    </row>
    <row r="613" spans="1:6" ht="13.5" customHeight="1" x14ac:dyDescent="0.3">
      <c r="A613" s="21">
        <v>44321</v>
      </c>
      <c r="B613" s="22">
        <v>219.76</v>
      </c>
      <c r="C613" s="22">
        <v>1035.76</v>
      </c>
      <c r="D613" s="22">
        <v>195.52</v>
      </c>
      <c r="E613" s="22">
        <v>367.13</v>
      </c>
      <c r="F613" s="22">
        <v>52694.04</v>
      </c>
    </row>
    <row r="614" spans="1:6" ht="13.5" customHeight="1" x14ac:dyDescent="0.3">
      <c r="A614" s="19">
        <v>44322</v>
      </c>
      <c r="B614" s="20">
        <v>217.39</v>
      </c>
      <c r="C614" s="20">
        <v>1037.43</v>
      </c>
      <c r="D614" s="20">
        <v>199.42</v>
      </c>
      <c r="E614" s="20">
        <v>374.71</v>
      </c>
      <c r="F614" s="20">
        <v>52096.18</v>
      </c>
    </row>
    <row r="615" spans="1:6" ht="13.5" customHeight="1" x14ac:dyDescent="0.3">
      <c r="A615" s="21">
        <v>44323</v>
      </c>
      <c r="B615" s="22">
        <v>214.49</v>
      </c>
      <c r="C615" s="22">
        <v>1022.88</v>
      </c>
      <c r="D615" s="22">
        <v>198.35</v>
      </c>
      <c r="E615" s="22">
        <v>380.32</v>
      </c>
      <c r="F615" s="22">
        <v>51975.11</v>
      </c>
    </row>
    <row r="616" spans="1:6" ht="13.5" customHeight="1" x14ac:dyDescent="0.3">
      <c r="A616" s="19">
        <v>44326</v>
      </c>
      <c r="B616" s="20">
        <v>212.91</v>
      </c>
      <c r="C616" s="20">
        <v>1020</v>
      </c>
      <c r="D616" s="20">
        <v>196.87</v>
      </c>
      <c r="E616" s="20">
        <v>385.51</v>
      </c>
      <c r="F616" s="20">
        <v>52083.6</v>
      </c>
    </row>
    <row r="617" spans="1:6" ht="13.5" customHeight="1" x14ac:dyDescent="0.3">
      <c r="A617" s="21">
        <v>44327</v>
      </c>
      <c r="B617" s="22">
        <v>209.93</v>
      </c>
      <c r="C617" s="22">
        <v>1042.68</v>
      </c>
      <c r="D617" s="22">
        <v>197.5</v>
      </c>
      <c r="E617" s="22">
        <v>386.14</v>
      </c>
      <c r="F617" s="22">
        <v>52615.15</v>
      </c>
    </row>
    <row r="618" spans="1:6" ht="13.5" customHeight="1" x14ac:dyDescent="0.3">
      <c r="A618" s="19">
        <v>44328</v>
      </c>
      <c r="B618" s="20">
        <v>209.4</v>
      </c>
      <c r="C618" s="20">
        <v>1053.3</v>
      </c>
      <c r="D618" s="20">
        <v>194.72</v>
      </c>
      <c r="E618" s="20">
        <v>388.45</v>
      </c>
      <c r="F618" s="20">
        <v>52355.83</v>
      </c>
    </row>
    <row r="619" spans="1:6" ht="13.5" customHeight="1" x14ac:dyDescent="0.3">
      <c r="A619" s="21">
        <v>44329</v>
      </c>
      <c r="B619" s="22">
        <v>209.4</v>
      </c>
      <c r="C619" s="22">
        <v>1071.81</v>
      </c>
      <c r="D619" s="22">
        <v>193.15</v>
      </c>
      <c r="E619" s="22">
        <v>394.21</v>
      </c>
      <c r="F619" s="22">
        <v>52017.06</v>
      </c>
    </row>
    <row r="620" spans="1:6" ht="13.5" customHeight="1" x14ac:dyDescent="0.3">
      <c r="A620" s="19">
        <v>44330</v>
      </c>
      <c r="B620" s="20">
        <v>206.87</v>
      </c>
      <c r="C620" s="20">
        <v>1070.94</v>
      </c>
      <c r="D620" s="20">
        <v>190.11</v>
      </c>
      <c r="E620" s="20">
        <v>401.94</v>
      </c>
      <c r="F620" s="20">
        <v>51880.33</v>
      </c>
    </row>
    <row r="621" spans="1:6" ht="13.5" customHeight="1" x14ac:dyDescent="0.3">
      <c r="A621" s="21">
        <v>44333</v>
      </c>
      <c r="B621" s="22">
        <v>206.27</v>
      </c>
      <c r="C621" s="22">
        <v>1039.42</v>
      </c>
      <c r="D621" s="22">
        <v>189.65</v>
      </c>
      <c r="E621" s="22">
        <v>396.67</v>
      </c>
      <c r="F621" s="22">
        <v>51482.92</v>
      </c>
    </row>
    <row r="622" spans="1:6" ht="13.5" customHeight="1" x14ac:dyDescent="0.3">
      <c r="A622" s="19">
        <v>44334</v>
      </c>
      <c r="B622" s="20">
        <v>204.16</v>
      </c>
      <c r="C622" s="20">
        <v>1031.48</v>
      </c>
      <c r="D622" s="20">
        <v>183.48</v>
      </c>
      <c r="E622" s="20">
        <v>400.23</v>
      </c>
      <c r="F622" s="20">
        <v>51675.94</v>
      </c>
    </row>
    <row r="623" spans="1:6" ht="13.5" customHeight="1" x14ac:dyDescent="0.3">
      <c r="A623" s="21">
        <v>44335</v>
      </c>
      <c r="B623" s="22">
        <v>204.21</v>
      </c>
      <c r="C623" s="22">
        <v>1029.3599999999999</v>
      </c>
      <c r="D623" s="22">
        <v>181.81</v>
      </c>
      <c r="E623" s="22">
        <v>399.85</v>
      </c>
      <c r="F623" s="22">
        <v>52495.88</v>
      </c>
    </row>
    <row r="624" spans="1:6" ht="13.5" customHeight="1" x14ac:dyDescent="0.3">
      <c r="A624" s="19">
        <v>44336</v>
      </c>
      <c r="B624" s="20">
        <v>205.71</v>
      </c>
      <c r="C624" s="20">
        <v>1053.5999999999999</v>
      </c>
      <c r="D624" s="20">
        <v>183.48</v>
      </c>
      <c r="E624" s="20">
        <v>402.04</v>
      </c>
      <c r="F624" s="20">
        <v>52019.8</v>
      </c>
    </row>
    <row r="625" spans="1:6" ht="13.5" customHeight="1" x14ac:dyDescent="0.3">
      <c r="A625" s="21">
        <v>44337</v>
      </c>
      <c r="B625" s="22">
        <v>206.29</v>
      </c>
      <c r="C625" s="22">
        <v>1075.3399999999999</v>
      </c>
      <c r="D625" s="22">
        <v>182.46</v>
      </c>
      <c r="E625" s="22">
        <v>411.01</v>
      </c>
      <c r="F625" s="22">
        <v>51356.49</v>
      </c>
    </row>
    <row r="626" spans="1:6" ht="13.5" customHeight="1" x14ac:dyDescent="0.3">
      <c r="A626" s="19">
        <v>44340</v>
      </c>
      <c r="B626" s="20">
        <v>207.7</v>
      </c>
      <c r="C626" s="20">
        <v>1084.04</v>
      </c>
      <c r="D626" s="20">
        <v>181.35</v>
      </c>
      <c r="E626" s="20">
        <v>409.26</v>
      </c>
      <c r="F626" s="20">
        <v>51334.14</v>
      </c>
    </row>
    <row r="627" spans="1:6" ht="13.5" customHeight="1" x14ac:dyDescent="0.3">
      <c r="A627" s="21">
        <v>44341</v>
      </c>
      <c r="B627" s="22">
        <v>203.01</v>
      </c>
      <c r="C627" s="22">
        <v>1068.3</v>
      </c>
      <c r="D627" s="22">
        <v>183.99</v>
      </c>
      <c r="E627" s="22">
        <v>402.32</v>
      </c>
      <c r="F627" s="22">
        <v>51013.68</v>
      </c>
    </row>
    <row r="628" spans="1:6" ht="13.5" customHeight="1" x14ac:dyDescent="0.3">
      <c r="A628" s="19">
        <v>44342</v>
      </c>
      <c r="B628" s="20">
        <v>202.01</v>
      </c>
      <c r="C628" s="20">
        <v>1071.3599999999999</v>
      </c>
      <c r="D628" s="20">
        <v>188.63</v>
      </c>
      <c r="E628" s="20">
        <v>395.59</v>
      </c>
      <c r="F628" s="20">
        <v>50204.57</v>
      </c>
    </row>
    <row r="629" spans="1:6" ht="13.5" customHeight="1" x14ac:dyDescent="0.3">
      <c r="A629" s="21">
        <v>44343</v>
      </c>
      <c r="B629" s="22">
        <v>202.85</v>
      </c>
      <c r="C629" s="22">
        <v>1067.05</v>
      </c>
      <c r="D629" s="22">
        <v>186.52</v>
      </c>
      <c r="E629" s="22">
        <v>391.49</v>
      </c>
      <c r="F629" s="22">
        <v>49463.92</v>
      </c>
    </row>
    <row r="630" spans="1:6" ht="13.5" customHeight="1" x14ac:dyDescent="0.3">
      <c r="A630" s="19">
        <v>44344</v>
      </c>
      <c r="B630" s="20">
        <v>204.72</v>
      </c>
      <c r="C630" s="20">
        <v>1063.0999999999999</v>
      </c>
      <c r="D630" s="20">
        <v>190.13</v>
      </c>
      <c r="E630" s="20">
        <v>396.18</v>
      </c>
      <c r="F630" s="20">
        <v>48440.46</v>
      </c>
    </row>
    <row r="631" spans="1:6" ht="13.5" customHeight="1" x14ac:dyDescent="0.3">
      <c r="A631" s="21">
        <v>44347</v>
      </c>
      <c r="B631" s="22">
        <v>200.25</v>
      </c>
      <c r="C631" s="22">
        <v>1040.6099999999999</v>
      </c>
      <c r="D631" s="22">
        <v>184.97</v>
      </c>
      <c r="E631" s="22">
        <v>395.13</v>
      </c>
      <c r="F631" s="22">
        <v>48420.95</v>
      </c>
    </row>
    <row r="632" spans="1:6" ht="13.5" customHeight="1" x14ac:dyDescent="0.3">
      <c r="A632" s="19">
        <v>44348</v>
      </c>
      <c r="B632" s="20">
        <v>200.75</v>
      </c>
      <c r="C632" s="20">
        <v>1049.74</v>
      </c>
      <c r="D632" s="20">
        <v>182.58</v>
      </c>
      <c r="E632" s="20">
        <v>390.85</v>
      </c>
      <c r="F632" s="20">
        <v>48030.85</v>
      </c>
    </row>
    <row r="633" spans="1:6" ht="13.5" customHeight="1" x14ac:dyDescent="0.3">
      <c r="A633" s="21">
        <v>44349</v>
      </c>
      <c r="B633" s="22">
        <v>204.17</v>
      </c>
      <c r="C633" s="22">
        <v>1049.81</v>
      </c>
      <c r="D633" s="22">
        <v>184.19</v>
      </c>
      <c r="E633" s="22">
        <v>396.75</v>
      </c>
      <c r="F633" s="22">
        <v>49022.16</v>
      </c>
    </row>
    <row r="634" spans="1:6" ht="13.5" customHeight="1" x14ac:dyDescent="0.3">
      <c r="A634" s="19">
        <v>44350</v>
      </c>
      <c r="B634" s="20">
        <v>203.73</v>
      </c>
      <c r="C634" s="20">
        <v>1065.33</v>
      </c>
      <c r="D634" s="20">
        <v>185.01</v>
      </c>
      <c r="E634" s="20">
        <v>398.14</v>
      </c>
      <c r="F634" s="20">
        <v>49258.68</v>
      </c>
    </row>
    <row r="635" spans="1:6" ht="13.5" customHeight="1" x14ac:dyDescent="0.3">
      <c r="A635" s="21">
        <v>44351</v>
      </c>
      <c r="B635" s="22">
        <v>203.53</v>
      </c>
      <c r="C635" s="22">
        <v>1038.5</v>
      </c>
      <c r="D635" s="22">
        <v>185.43</v>
      </c>
      <c r="E635" s="22">
        <v>403.6</v>
      </c>
      <c r="F635" s="22">
        <v>48705.58</v>
      </c>
    </row>
    <row r="636" spans="1:6" ht="13.5" customHeight="1" x14ac:dyDescent="0.3">
      <c r="A636" s="19">
        <v>44354</v>
      </c>
      <c r="B636" s="20">
        <v>204.86</v>
      </c>
      <c r="C636" s="20">
        <v>1018.48</v>
      </c>
      <c r="D636" s="20">
        <v>188.03</v>
      </c>
      <c r="E636" s="20">
        <v>420.52</v>
      </c>
      <c r="F636" s="20">
        <v>48114.81</v>
      </c>
    </row>
    <row r="637" spans="1:6" ht="13.5" customHeight="1" x14ac:dyDescent="0.3">
      <c r="A637" s="21">
        <v>44355</v>
      </c>
      <c r="B637" s="22">
        <v>205.63</v>
      </c>
      <c r="C637" s="22">
        <v>1084.5899999999999</v>
      </c>
      <c r="D637" s="22">
        <v>187.5</v>
      </c>
      <c r="E637" s="22">
        <v>435.67</v>
      </c>
      <c r="F637" s="22">
        <v>47877.41</v>
      </c>
    </row>
    <row r="638" spans="1:6" ht="13.5" customHeight="1" x14ac:dyDescent="0.3">
      <c r="A638" s="19">
        <v>44356</v>
      </c>
      <c r="B638" s="20">
        <v>207.62</v>
      </c>
      <c r="C638" s="20">
        <v>1068.4000000000001</v>
      </c>
      <c r="D638" s="20">
        <v>189.83</v>
      </c>
      <c r="E638" s="20">
        <v>438.71</v>
      </c>
      <c r="F638" s="20">
        <v>47155.040000000001</v>
      </c>
    </row>
    <row r="639" spans="1:6" ht="13.5" customHeight="1" x14ac:dyDescent="0.3">
      <c r="A639" s="21">
        <v>44357</v>
      </c>
      <c r="B639" s="22">
        <v>207.89</v>
      </c>
      <c r="C639" s="22">
        <v>1074.45</v>
      </c>
      <c r="D639" s="22">
        <v>188.44</v>
      </c>
      <c r="E639" s="22">
        <v>441.73</v>
      </c>
      <c r="F639" s="22">
        <v>47129.94</v>
      </c>
    </row>
    <row r="640" spans="1:6" ht="13.5" customHeight="1" x14ac:dyDescent="0.3">
      <c r="A640" s="19">
        <v>44358</v>
      </c>
      <c r="B640" s="20">
        <v>208.4</v>
      </c>
      <c r="C640" s="20">
        <v>1083.3900000000001</v>
      </c>
      <c r="D640" s="20">
        <v>186.66</v>
      </c>
      <c r="E640" s="20">
        <v>451.24</v>
      </c>
      <c r="F640" s="20">
        <v>47734.5</v>
      </c>
    </row>
    <row r="641" spans="1:6" ht="13.5" customHeight="1" x14ac:dyDescent="0.3">
      <c r="A641" s="21">
        <v>44361</v>
      </c>
      <c r="B641" s="22">
        <v>206.21</v>
      </c>
      <c r="C641" s="22">
        <v>1065.26</v>
      </c>
      <c r="D641" s="22">
        <v>181.22</v>
      </c>
      <c r="E641" s="22">
        <v>462.35</v>
      </c>
      <c r="F641" s="22">
        <v>47577.52</v>
      </c>
    </row>
    <row r="642" spans="1:6" ht="13.5" customHeight="1" x14ac:dyDescent="0.3">
      <c r="A642" s="19">
        <v>44362</v>
      </c>
      <c r="B642" s="20">
        <v>205.78</v>
      </c>
      <c r="C642" s="20">
        <v>1098.3599999999999</v>
      </c>
      <c r="D642" s="20">
        <v>183.22</v>
      </c>
      <c r="E642" s="20">
        <v>459.44</v>
      </c>
      <c r="F642" s="20">
        <v>47219.41</v>
      </c>
    </row>
    <row r="643" spans="1:6" ht="13.5" customHeight="1" x14ac:dyDescent="0.3">
      <c r="A643" s="21">
        <v>44363</v>
      </c>
      <c r="B643" s="22">
        <v>209.42</v>
      </c>
      <c r="C643" s="22">
        <v>1097.74</v>
      </c>
      <c r="D643" s="22">
        <v>180.79</v>
      </c>
      <c r="E643" s="22">
        <v>449.03</v>
      </c>
      <c r="F643" s="22">
        <v>46180.18</v>
      </c>
    </row>
    <row r="644" spans="1:6" ht="13.5" customHeight="1" x14ac:dyDescent="0.3">
      <c r="A644" s="19">
        <v>44364</v>
      </c>
      <c r="B644" s="20">
        <v>208.9</v>
      </c>
      <c r="C644" s="20">
        <v>1101.29</v>
      </c>
      <c r="D644" s="20">
        <v>183.73</v>
      </c>
      <c r="E644" s="20">
        <v>456.56</v>
      </c>
      <c r="F644" s="20">
        <v>45424.73</v>
      </c>
    </row>
    <row r="645" spans="1:6" ht="13.5" customHeight="1" x14ac:dyDescent="0.3">
      <c r="A645" s="21">
        <v>44365</v>
      </c>
      <c r="B645" s="22">
        <v>208.48</v>
      </c>
      <c r="C645" s="22">
        <v>1137.27</v>
      </c>
      <c r="D645" s="22">
        <v>186.72</v>
      </c>
      <c r="E645" s="22">
        <v>458.72</v>
      </c>
      <c r="F645" s="22">
        <v>45485.1</v>
      </c>
    </row>
    <row r="646" spans="1:6" ht="13.5" customHeight="1" x14ac:dyDescent="0.3">
      <c r="A646" s="19">
        <v>44368</v>
      </c>
      <c r="B646" s="20">
        <v>207.12</v>
      </c>
      <c r="C646" s="20">
        <v>1122.07</v>
      </c>
      <c r="D646" s="20">
        <v>186.14</v>
      </c>
      <c r="E646" s="20">
        <v>464.23</v>
      </c>
      <c r="F646" s="20">
        <v>45433.14</v>
      </c>
    </row>
    <row r="647" spans="1:6" ht="13.5" customHeight="1" x14ac:dyDescent="0.3">
      <c r="A647" s="21">
        <v>44369</v>
      </c>
      <c r="B647" s="22">
        <v>209.45</v>
      </c>
      <c r="C647" s="22">
        <v>1113.0899999999999</v>
      </c>
      <c r="D647" s="22">
        <v>186.47</v>
      </c>
      <c r="E647" s="22">
        <v>469.21</v>
      </c>
      <c r="F647" s="22">
        <v>45546.7</v>
      </c>
    </row>
    <row r="648" spans="1:6" ht="13.5" customHeight="1" x14ac:dyDescent="0.3">
      <c r="A648" s="19">
        <v>44370</v>
      </c>
      <c r="B648" s="20">
        <v>207.03</v>
      </c>
      <c r="C648" s="20">
        <v>1106.97</v>
      </c>
      <c r="D648" s="20">
        <v>187.13</v>
      </c>
      <c r="E648" s="20">
        <v>463.24</v>
      </c>
      <c r="F648" s="20">
        <v>44826.75</v>
      </c>
    </row>
    <row r="649" spans="1:6" ht="13.5" customHeight="1" x14ac:dyDescent="0.3">
      <c r="A649" s="21">
        <v>44371</v>
      </c>
      <c r="B649" s="22">
        <v>209.71</v>
      </c>
      <c r="C649" s="22">
        <v>1080.83</v>
      </c>
      <c r="D649" s="22">
        <v>186.6</v>
      </c>
      <c r="E649" s="22">
        <v>459</v>
      </c>
      <c r="F649" s="22">
        <v>45286.34</v>
      </c>
    </row>
    <row r="650" spans="1:6" ht="13.5" customHeight="1" x14ac:dyDescent="0.3">
      <c r="A650" s="19">
        <v>44372</v>
      </c>
      <c r="B650" s="20">
        <v>207.05</v>
      </c>
      <c r="C650" s="20">
        <v>1086.73</v>
      </c>
      <c r="D650" s="20">
        <v>182.39</v>
      </c>
      <c r="E650" s="20">
        <v>468.51</v>
      </c>
      <c r="F650" s="20">
        <v>45044.59</v>
      </c>
    </row>
    <row r="651" spans="1:6" ht="13.5" customHeight="1" x14ac:dyDescent="0.3">
      <c r="A651" s="21">
        <v>44375</v>
      </c>
      <c r="B651" s="22">
        <v>204.08</v>
      </c>
      <c r="C651" s="22">
        <v>1096.44</v>
      </c>
      <c r="D651" s="22">
        <v>186.61</v>
      </c>
      <c r="E651" s="22">
        <v>467.3</v>
      </c>
      <c r="F651" s="22">
        <v>44119.3</v>
      </c>
    </row>
    <row r="652" spans="1:6" ht="13.5" customHeight="1" x14ac:dyDescent="0.3">
      <c r="A652" s="19">
        <v>44376</v>
      </c>
      <c r="B652" s="20">
        <v>204.73</v>
      </c>
      <c r="C652" s="20">
        <v>1100.6400000000001</v>
      </c>
      <c r="D652" s="20">
        <v>185.02</v>
      </c>
      <c r="E652" s="20">
        <v>460.62</v>
      </c>
      <c r="F652" s="20">
        <v>43580.65</v>
      </c>
    </row>
    <row r="653" spans="1:6" ht="13.5" customHeight="1" x14ac:dyDescent="0.3">
      <c r="A653" s="21">
        <v>44377</v>
      </c>
      <c r="B653" s="22">
        <v>205.17</v>
      </c>
      <c r="C653" s="22">
        <v>1114.03</v>
      </c>
      <c r="D653" s="22">
        <v>186.63</v>
      </c>
      <c r="E653" s="22">
        <v>458.45</v>
      </c>
      <c r="F653" s="22">
        <v>43278.69</v>
      </c>
    </row>
    <row r="654" spans="1:6" ht="13.5" customHeight="1" x14ac:dyDescent="0.3">
      <c r="A654" s="19">
        <v>44378</v>
      </c>
      <c r="B654" s="20">
        <v>206.08</v>
      </c>
      <c r="C654" s="20">
        <v>1131.7</v>
      </c>
      <c r="D654" s="20">
        <v>187.56</v>
      </c>
      <c r="E654" s="20">
        <v>462.11</v>
      </c>
      <c r="F654" s="20">
        <v>43257.25</v>
      </c>
    </row>
    <row r="655" spans="1:6" ht="13.5" customHeight="1" x14ac:dyDescent="0.3">
      <c r="A655" s="21">
        <v>44379</v>
      </c>
      <c r="B655" s="22">
        <v>209.18</v>
      </c>
      <c r="C655" s="22">
        <v>1139.1400000000001</v>
      </c>
      <c r="D655" s="22">
        <v>188.49</v>
      </c>
      <c r="E655" s="22">
        <v>457.87</v>
      </c>
      <c r="F655" s="22">
        <v>42455.8</v>
      </c>
    </row>
    <row r="656" spans="1:6" ht="13.5" customHeight="1" x14ac:dyDescent="0.3">
      <c r="A656" s="19">
        <v>44382</v>
      </c>
      <c r="B656" s="20">
        <v>208.05</v>
      </c>
      <c r="C656" s="20">
        <v>1134.96</v>
      </c>
      <c r="D656" s="20">
        <v>189.22</v>
      </c>
      <c r="E656" s="20">
        <v>473.13</v>
      </c>
      <c r="F656" s="20">
        <v>42892.61</v>
      </c>
    </row>
    <row r="657" spans="1:6" ht="13.5" customHeight="1" x14ac:dyDescent="0.3">
      <c r="A657" s="21">
        <v>44383</v>
      </c>
      <c r="B657" s="22">
        <v>209.39</v>
      </c>
      <c r="C657" s="22">
        <v>1160.07</v>
      </c>
      <c r="D657" s="22">
        <v>192.01</v>
      </c>
      <c r="E657" s="22">
        <v>480.61</v>
      </c>
      <c r="F657" s="22">
        <v>42900.49</v>
      </c>
    </row>
    <row r="658" spans="1:6" ht="13.5" customHeight="1" x14ac:dyDescent="0.3">
      <c r="A658" s="19">
        <v>44384</v>
      </c>
      <c r="B658" s="20">
        <v>206.82</v>
      </c>
      <c r="C658" s="20">
        <v>1146.51</v>
      </c>
      <c r="D658" s="20">
        <v>189.46</v>
      </c>
      <c r="E658" s="20">
        <v>467.31</v>
      </c>
      <c r="F658" s="20">
        <v>43328.42</v>
      </c>
    </row>
    <row r="659" spans="1:6" ht="13.5" customHeight="1" x14ac:dyDescent="0.3">
      <c r="A659" s="21">
        <v>44385</v>
      </c>
      <c r="B659" s="22">
        <v>210.49</v>
      </c>
      <c r="C659" s="22">
        <v>1175.43</v>
      </c>
      <c r="D659" s="22">
        <v>192.49</v>
      </c>
      <c r="E659" s="22">
        <v>469.56</v>
      </c>
      <c r="F659" s="22">
        <v>44049.27</v>
      </c>
    </row>
    <row r="660" spans="1:6" ht="13.5" customHeight="1" x14ac:dyDescent="0.3">
      <c r="A660" s="19">
        <v>44386</v>
      </c>
      <c r="B660" s="20">
        <v>212.4</v>
      </c>
      <c r="C660" s="20">
        <v>1172.1300000000001</v>
      </c>
      <c r="D660" s="20">
        <v>193.07</v>
      </c>
      <c r="E660" s="20">
        <v>483.7</v>
      </c>
      <c r="F660" s="20">
        <v>43917.36</v>
      </c>
    </row>
    <row r="661" spans="1:6" ht="13.5" customHeight="1" x14ac:dyDescent="0.3">
      <c r="A661" s="21">
        <v>44389</v>
      </c>
      <c r="B661" s="22">
        <v>214.05</v>
      </c>
      <c r="C661" s="22">
        <v>1188.6400000000001</v>
      </c>
      <c r="D661" s="22">
        <v>193.27</v>
      </c>
      <c r="E661" s="22">
        <v>514.07000000000005</v>
      </c>
      <c r="F661" s="22">
        <v>43616.480000000003</v>
      </c>
    </row>
    <row r="662" spans="1:6" ht="13.5" customHeight="1" x14ac:dyDescent="0.3">
      <c r="A662" s="19">
        <v>44390</v>
      </c>
      <c r="B662" s="20">
        <v>214.68</v>
      </c>
      <c r="C662" s="20">
        <v>1227.6400000000001</v>
      </c>
      <c r="D662" s="20">
        <v>192.08</v>
      </c>
      <c r="E662" s="20">
        <v>509.74</v>
      </c>
      <c r="F662" s="20">
        <v>43917.09</v>
      </c>
    </row>
    <row r="663" spans="1:6" ht="13.5" customHeight="1" x14ac:dyDescent="0.3">
      <c r="A663" s="21">
        <v>44391</v>
      </c>
      <c r="B663" s="22">
        <v>212.41</v>
      </c>
      <c r="C663" s="22">
        <v>1179.33</v>
      </c>
      <c r="D663" s="22">
        <v>192.02</v>
      </c>
      <c r="E663" s="22">
        <v>510.22</v>
      </c>
      <c r="F663" s="22">
        <v>43067.54</v>
      </c>
    </row>
    <row r="664" spans="1:6" ht="13.5" customHeight="1" x14ac:dyDescent="0.3">
      <c r="A664" s="19">
        <v>44392</v>
      </c>
      <c r="B664" s="20">
        <v>211.51</v>
      </c>
      <c r="C664" s="20">
        <v>1176.03</v>
      </c>
      <c r="D664" s="20">
        <v>193.84</v>
      </c>
      <c r="E664" s="20">
        <v>497.38</v>
      </c>
      <c r="F664" s="20">
        <v>43609.440000000002</v>
      </c>
    </row>
    <row r="665" spans="1:6" ht="13.5" customHeight="1" x14ac:dyDescent="0.3">
      <c r="A665" s="21">
        <v>44393</v>
      </c>
      <c r="B665" s="22">
        <v>213.05</v>
      </c>
      <c r="C665" s="22">
        <v>1168.3499999999999</v>
      </c>
      <c r="D665" s="22">
        <v>190.34</v>
      </c>
      <c r="E665" s="22">
        <v>502.85</v>
      </c>
      <c r="F665" s="22">
        <v>43595.16</v>
      </c>
    </row>
    <row r="666" spans="1:6" ht="13.5" customHeight="1" x14ac:dyDescent="0.3">
      <c r="A666" s="19">
        <v>44396</v>
      </c>
      <c r="B666" s="20">
        <v>213.06</v>
      </c>
      <c r="C666" s="20">
        <v>1204.23</v>
      </c>
      <c r="D666" s="20">
        <v>185.26</v>
      </c>
      <c r="E666" s="20">
        <v>507.64</v>
      </c>
      <c r="F666" s="20">
        <v>43399.55</v>
      </c>
    </row>
    <row r="667" spans="1:6" ht="13.5" customHeight="1" x14ac:dyDescent="0.3">
      <c r="A667" s="21">
        <v>44397</v>
      </c>
      <c r="B667" s="22">
        <v>213.49</v>
      </c>
      <c r="C667" s="22">
        <v>1196.31</v>
      </c>
      <c r="D667" s="22">
        <v>184.53</v>
      </c>
      <c r="E667" s="22">
        <v>510.6</v>
      </c>
      <c r="F667" s="22">
        <v>42856.29</v>
      </c>
    </row>
    <row r="668" spans="1:6" ht="13.5" customHeight="1" x14ac:dyDescent="0.3">
      <c r="A668" s="19">
        <v>44398</v>
      </c>
      <c r="B668" s="20">
        <v>209.54</v>
      </c>
      <c r="C668" s="20">
        <v>1254.5999999999999</v>
      </c>
      <c r="D668" s="20">
        <v>186.65</v>
      </c>
      <c r="E668" s="20">
        <v>500.38</v>
      </c>
      <c r="F668" s="20">
        <v>42236.3</v>
      </c>
    </row>
    <row r="669" spans="1:6" ht="13.5" customHeight="1" x14ac:dyDescent="0.3">
      <c r="A669" s="21">
        <v>44399</v>
      </c>
      <c r="B669" s="22">
        <v>210.13</v>
      </c>
      <c r="C669" s="22">
        <v>1221.54</v>
      </c>
      <c r="D669" s="22">
        <v>185.84</v>
      </c>
      <c r="E669" s="22">
        <v>508</v>
      </c>
      <c r="F669" s="22">
        <v>42102.84</v>
      </c>
    </row>
    <row r="670" spans="1:6" ht="13.5" customHeight="1" x14ac:dyDescent="0.3">
      <c r="A670" s="19">
        <v>44400</v>
      </c>
      <c r="B670" s="20">
        <v>208.18</v>
      </c>
      <c r="C670" s="20">
        <v>1229.8</v>
      </c>
      <c r="D670" s="20">
        <v>189.93</v>
      </c>
      <c r="E670" s="20">
        <v>525.79999999999995</v>
      </c>
      <c r="F670" s="20">
        <v>42337.56</v>
      </c>
    </row>
    <row r="671" spans="1:6" ht="13.5" customHeight="1" x14ac:dyDescent="0.3">
      <c r="A671" s="21">
        <v>44403</v>
      </c>
      <c r="B671" s="22">
        <v>205.12</v>
      </c>
      <c r="C671" s="22">
        <v>1222.1500000000001</v>
      </c>
      <c r="D671" s="22">
        <v>193.88</v>
      </c>
      <c r="E671" s="22">
        <v>539.54999999999995</v>
      </c>
      <c r="F671" s="22">
        <v>42343.85</v>
      </c>
    </row>
    <row r="672" spans="1:6" ht="13.5" customHeight="1" x14ac:dyDescent="0.3">
      <c r="A672" s="19">
        <v>44404</v>
      </c>
      <c r="B672" s="20">
        <v>204.75</v>
      </c>
      <c r="C672" s="20">
        <v>1233.77</v>
      </c>
      <c r="D672" s="20">
        <v>198.24</v>
      </c>
      <c r="E672" s="20">
        <v>543.5</v>
      </c>
      <c r="F672" s="20">
        <v>41251.67</v>
      </c>
    </row>
    <row r="673" spans="1:6" ht="13.5" customHeight="1" x14ac:dyDescent="0.3">
      <c r="A673" s="21">
        <v>44405</v>
      </c>
      <c r="B673" s="22">
        <v>199.54</v>
      </c>
      <c r="C673" s="22">
        <v>1222.2</v>
      </c>
      <c r="D673" s="22">
        <v>202.85</v>
      </c>
      <c r="E673" s="22">
        <v>543.24</v>
      </c>
      <c r="F673" s="22">
        <v>40944.660000000003</v>
      </c>
    </row>
    <row r="674" spans="1:6" ht="13.5" customHeight="1" x14ac:dyDescent="0.3">
      <c r="A674" s="19">
        <v>44406</v>
      </c>
      <c r="B674" s="20">
        <v>201.54</v>
      </c>
      <c r="C674" s="20">
        <v>1213.21</v>
      </c>
      <c r="D674" s="20">
        <v>203.78</v>
      </c>
      <c r="E674" s="20">
        <v>552.72</v>
      </c>
      <c r="F674" s="20">
        <v>41197.589999999997</v>
      </c>
    </row>
    <row r="675" spans="1:6" ht="13.5" customHeight="1" x14ac:dyDescent="0.3">
      <c r="A675" s="21">
        <v>44407</v>
      </c>
      <c r="B675" s="22">
        <v>203.98</v>
      </c>
      <c r="C675" s="22">
        <v>1174.92</v>
      </c>
      <c r="D675" s="22">
        <v>205.68</v>
      </c>
      <c r="E675" s="22">
        <v>551.51</v>
      </c>
      <c r="F675" s="22">
        <v>42069.52</v>
      </c>
    </row>
    <row r="676" spans="1:6" ht="13.5" customHeight="1" x14ac:dyDescent="0.3">
      <c r="A676" s="19">
        <v>44410</v>
      </c>
      <c r="B676" s="20">
        <v>203.9</v>
      </c>
      <c r="C676" s="20">
        <v>1177.8599999999999</v>
      </c>
      <c r="D676" s="20">
        <v>203.55</v>
      </c>
      <c r="E676" s="20">
        <v>525.41</v>
      </c>
      <c r="F676" s="20">
        <v>42013.02</v>
      </c>
    </row>
    <row r="677" spans="1:6" ht="13.5" customHeight="1" x14ac:dyDescent="0.3">
      <c r="A677" s="21">
        <v>44411</v>
      </c>
      <c r="B677" s="22">
        <v>201.15</v>
      </c>
      <c r="C677" s="22">
        <v>1147.44</v>
      </c>
      <c r="D677" s="22">
        <v>195.02</v>
      </c>
      <c r="E677" s="22">
        <v>508.6</v>
      </c>
      <c r="F677" s="22">
        <v>42209.3</v>
      </c>
    </row>
    <row r="678" spans="1:6" ht="13.5" customHeight="1" x14ac:dyDescent="0.3">
      <c r="A678" s="19">
        <v>44412</v>
      </c>
      <c r="B678" s="20">
        <v>198.58</v>
      </c>
      <c r="C678" s="20">
        <v>1121.6199999999999</v>
      </c>
      <c r="D678" s="20">
        <v>196.34</v>
      </c>
      <c r="E678" s="20">
        <v>522</v>
      </c>
      <c r="F678" s="20">
        <v>42226.18</v>
      </c>
    </row>
    <row r="679" spans="1:6" ht="13.5" customHeight="1" x14ac:dyDescent="0.3">
      <c r="A679" s="21">
        <v>44413</v>
      </c>
      <c r="B679" s="22">
        <v>198.23</v>
      </c>
      <c r="C679" s="22">
        <v>1124.01</v>
      </c>
      <c r="D679" s="22">
        <v>194.03</v>
      </c>
      <c r="E679" s="22">
        <v>535.37</v>
      </c>
      <c r="F679" s="22">
        <v>42047.92</v>
      </c>
    </row>
    <row r="680" spans="1:6" ht="13.5" customHeight="1" x14ac:dyDescent="0.3">
      <c r="A680" s="19">
        <v>44414</v>
      </c>
      <c r="B680" s="20">
        <v>191.63</v>
      </c>
      <c r="C680" s="20">
        <v>1122.27</v>
      </c>
      <c r="D680" s="20">
        <v>193.5</v>
      </c>
      <c r="E680" s="20">
        <v>534.35</v>
      </c>
      <c r="F680" s="20">
        <v>41513.99</v>
      </c>
    </row>
    <row r="681" spans="1:6" ht="13.5" customHeight="1" x14ac:dyDescent="0.3">
      <c r="A681" s="21">
        <v>44417</v>
      </c>
      <c r="B681" s="22">
        <v>192.17</v>
      </c>
      <c r="C681" s="22">
        <v>1143.27</v>
      </c>
      <c r="D681" s="22">
        <v>186</v>
      </c>
      <c r="E681" s="22">
        <v>526.54999999999995</v>
      </c>
      <c r="F681" s="22">
        <v>41096.9</v>
      </c>
    </row>
    <row r="682" spans="1:6" ht="13.5" customHeight="1" x14ac:dyDescent="0.3">
      <c r="A682" s="19">
        <v>44418</v>
      </c>
      <c r="B682" s="20">
        <v>194</v>
      </c>
      <c r="C682" s="20">
        <v>1116.6600000000001</v>
      </c>
      <c r="D682" s="20">
        <v>188.7</v>
      </c>
      <c r="E682" s="20">
        <v>523.80999999999995</v>
      </c>
      <c r="F682" s="20">
        <v>40486.480000000003</v>
      </c>
    </row>
    <row r="683" spans="1:6" ht="13.5" customHeight="1" x14ac:dyDescent="0.3">
      <c r="A683" s="21">
        <v>44419</v>
      </c>
      <c r="B683" s="22">
        <v>193.23</v>
      </c>
      <c r="C683" s="22">
        <v>1125.6199999999999</v>
      </c>
      <c r="D683" s="22">
        <v>188.18</v>
      </c>
      <c r="E683" s="22">
        <v>511.33</v>
      </c>
      <c r="F683" s="22">
        <v>40713.68</v>
      </c>
    </row>
    <row r="684" spans="1:6" ht="13.5" customHeight="1" x14ac:dyDescent="0.3">
      <c r="A684" s="19">
        <v>44420</v>
      </c>
      <c r="B684" s="20">
        <v>191.96</v>
      </c>
      <c r="C684" s="20">
        <v>1132.69</v>
      </c>
      <c r="D684" s="20">
        <v>186.5</v>
      </c>
      <c r="E684" s="20">
        <v>509.12</v>
      </c>
      <c r="F684" s="20">
        <v>41121.07</v>
      </c>
    </row>
    <row r="685" spans="1:6" ht="13.5" customHeight="1" x14ac:dyDescent="0.3">
      <c r="A685" s="21">
        <v>44421</v>
      </c>
      <c r="B685" s="22">
        <v>192.51</v>
      </c>
      <c r="C685" s="22">
        <v>1127.33</v>
      </c>
      <c r="D685" s="22">
        <v>183.18</v>
      </c>
      <c r="E685" s="22">
        <v>526.16999999999996</v>
      </c>
      <c r="F685" s="22">
        <v>41047.550000000003</v>
      </c>
    </row>
    <row r="686" spans="1:6" ht="13.5" customHeight="1" x14ac:dyDescent="0.3">
      <c r="A686" s="19">
        <v>44424</v>
      </c>
      <c r="B686" s="20">
        <v>193.51</v>
      </c>
      <c r="C686" s="20">
        <v>1112.02</v>
      </c>
      <c r="D686" s="20">
        <v>180.91</v>
      </c>
      <c r="E686" s="20">
        <v>520.20000000000005</v>
      </c>
      <c r="F686" s="20">
        <v>40765.81</v>
      </c>
    </row>
    <row r="687" spans="1:6" ht="13.5" customHeight="1" x14ac:dyDescent="0.3">
      <c r="A687" s="21">
        <v>44425</v>
      </c>
      <c r="B687" s="22">
        <v>196.5</v>
      </c>
      <c r="C687" s="22">
        <v>1111.1300000000001</v>
      </c>
      <c r="D687" s="22">
        <v>178.57</v>
      </c>
      <c r="E687" s="22">
        <v>512.64</v>
      </c>
      <c r="F687" s="22">
        <v>41246.97</v>
      </c>
    </row>
    <row r="688" spans="1:6" ht="13.5" customHeight="1" x14ac:dyDescent="0.3">
      <c r="A688" s="19">
        <v>44426</v>
      </c>
      <c r="B688" s="20">
        <v>196.61</v>
      </c>
      <c r="C688" s="20">
        <v>1129.1099999999999</v>
      </c>
      <c r="D688" s="20">
        <v>175.91</v>
      </c>
      <c r="E688" s="20">
        <v>499.86</v>
      </c>
      <c r="F688" s="20">
        <v>42298.33</v>
      </c>
    </row>
    <row r="689" spans="1:6" ht="13.5" customHeight="1" x14ac:dyDescent="0.3">
      <c r="A689" s="21">
        <v>44427</v>
      </c>
      <c r="B689" s="22">
        <v>194.8</v>
      </c>
      <c r="C689" s="22">
        <v>1122.3399999999999</v>
      </c>
      <c r="D689" s="22">
        <v>172.07</v>
      </c>
      <c r="E689" s="22">
        <v>502.04</v>
      </c>
      <c r="F689" s="22">
        <v>41475.199999999997</v>
      </c>
    </row>
    <row r="690" spans="1:6" ht="13.5" customHeight="1" x14ac:dyDescent="0.3">
      <c r="A690" s="19">
        <v>44428</v>
      </c>
      <c r="B690" s="20">
        <v>193.61</v>
      </c>
      <c r="C690" s="20">
        <v>1139.78</v>
      </c>
      <c r="D690" s="20">
        <v>171.57</v>
      </c>
      <c r="E690" s="20">
        <v>493.27</v>
      </c>
      <c r="F690" s="20">
        <v>41753.300000000003</v>
      </c>
    </row>
    <row r="691" spans="1:6" ht="13.5" customHeight="1" x14ac:dyDescent="0.3">
      <c r="A691" s="21">
        <v>44431</v>
      </c>
      <c r="B691" s="22">
        <v>194.16</v>
      </c>
      <c r="C691" s="22">
        <v>1134.96</v>
      </c>
      <c r="D691" s="22">
        <v>170.72</v>
      </c>
      <c r="E691" s="22">
        <v>499.57</v>
      </c>
      <c r="F691" s="22">
        <v>41833.17</v>
      </c>
    </row>
    <row r="692" spans="1:6" ht="13.5" customHeight="1" x14ac:dyDescent="0.3">
      <c r="A692" s="19">
        <v>44432</v>
      </c>
      <c r="B692" s="20">
        <v>198.41</v>
      </c>
      <c r="C692" s="20">
        <v>1170.1600000000001</v>
      </c>
      <c r="D692" s="20">
        <v>173.1</v>
      </c>
      <c r="E692" s="20">
        <v>496.89</v>
      </c>
      <c r="F692" s="20">
        <v>42000.17</v>
      </c>
    </row>
    <row r="693" spans="1:6" ht="13.5" customHeight="1" x14ac:dyDescent="0.3">
      <c r="A693" s="21">
        <v>44433</v>
      </c>
      <c r="B693" s="22">
        <v>197.59</v>
      </c>
      <c r="C693" s="22">
        <v>1171.4100000000001</v>
      </c>
      <c r="D693" s="22">
        <v>168.39</v>
      </c>
      <c r="E693" s="22">
        <v>512.91999999999996</v>
      </c>
      <c r="F693" s="22">
        <v>42344.800000000003</v>
      </c>
    </row>
    <row r="694" spans="1:6" ht="13.5" customHeight="1" x14ac:dyDescent="0.3">
      <c r="A694" s="19">
        <v>44434</v>
      </c>
      <c r="B694" s="20">
        <v>194.78</v>
      </c>
      <c r="C694" s="20">
        <v>1168.48</v>
      </c>
      <c r="D694" s="20">
        <v>167.28</v>
      </c>
      <c r="E694" s="20">
        <v>518.89</v>
      </c>
      <c r="F694" s="20">
        <v>43098.82</v>
      </c>
    </row>
    <row r="695" spans="1:6" ht="13.5" customHeight="1" x14ac:dyDescent="0.3">
      <c r="A695" s="21">
        <v>44435</v>
      </c>
      <c r="B695" s="22">
        <v>192.49</v>
      </c>
      <c r="C695" s="22">
        <v>1135.98</v>
      </c>
      <c r="D695" s="22">
        <v>165</v>
      </c>
      <c r="E695" s="22">
        <v>523.82000000000005</v>
      </c>
      <c r="F695" s="22">
        <v>43052.32</v>
      </c>
    </row>
    <row r="696" spans="1:6" ht="13.5" customHeight="1" x14ac:dyDescent="0.3">
      <c r="A696" s="19">
        <v>44438</v>
      </c>
      <c r="B696" s="20">
        <v>186.96</v>
      </c>
      <c r="C696" s="20">
        <v>1108.06</v>
      </c>
      <c r="D696" s="20">
        <v>165.95</v>
      </c>
      <c r="E696" s="20">
        <v>510.14</v>
      </c>
      <c r="F696" s="20">
        <v>44118.68</v>
      </c>
    </row>
    <row r="697" spans="1:6" ht="13.5" customHeight="1" x14ac:dyDescent="0.3">
      <c r="A697" s="21">
        <v>44439</v>
      </c>
      <c r="B697" s="22">
        <v>187.87</v>
      </c>
      <c r="C697" s="22">
        <v>1116.17</v>
      </c>
      <c r="D697" s="22">
        <v>165.88</v>
      </c>
      <c r="E697" s="22">
        <v>510.62</v>
      </c>
      <c r="F697" s="22">
        <v>43544.25</v>
      </c>
    </row>
    <row r="698" spans="1:6" ht="13.5" customHeight="1" x14ac:dyDescent="0.3">
      <c r="A698" s="19">
        <v>44440</v>
      </c>
      <c r="B698" s="20">
        <v>184.39</v>
      </c>
      <c r="C698" s="20">
        <v>1112.3599999999999</v>
      </c>
      <c r="D698" s="20">
        <v>168.16</v>
      </c>
      <c r="E698" s="20">
        <v>513.79</v>
      </c>
      <c r="F698" s="20">
        <v>43935.7</v>
      </c>
    </row>
    <row r="699" spans="1:6" ht="13.5" customHeight="1" x14ac:dyDescent="0.3">
      <c r="A699" s="21">
        <v>44441</v>
      </c>
      <c r="B699" s="22">
        <v>181.29</v>
      </c>
      <c r="C699" s="22">
        <v>1118.54</v>
      </c>
      <c r="D699" s="22">
        <v>173.09</v>
      </c>
      <c r="E699" s="22">
        <v>517.36</v>
      </c>
      <c r="F699" s="22">
        <v>43239.42</v>
      </c>
    </row>
    <row r="700" spans="1:6" ht="13.5" customHeight="1" x14ac:dyDescent="0.3">
      <c r="A700" s="19">
        <v>44442</v>
      </c>
      <c r="B700" s="20">
        <v>176.39</v>
      </c>
      <c r="C700" s="20">
        <v>1105.7</v>
      </c>
      <c r="D700" s="20">
        <v>173.17</v>
      </c>
      <c r="E700" s="20">
        <v>521.09</v>
      </c>
      <c r="F700" s="20">
        <v>42559.24</v>
      </c>
    </row>
    <row r="701" spans="1:6" ht="13.5" customHeight="1" x14ac:dyDescent="0.3">
      <c r="A701" s="21">
        <v>44445</v>
      </c>
      <c r="B701" s="22">
        <v>173.71</v>
      </c>
      <c r="C701" s="22">
        <v>1103.42</v>
      </c>
      <c r="D701" s="22">
        <v>174.68</v>
      </c>
      <c r="E701" s="22">
        <v>522.54</v>
      </c>
      <c r="F701" s="22">
        <v>42776.61</v>
      </c>
    </row>
    <row r="702" spans="1:6" ht="13.5" customHeight="1" x14ac:dyDescent="0.3">
      <c r="A702" s="19">
        <v>44446</v>
      </c>
      <c r="B702" s="20">
        <v>175.13</v>
      </c>
      <c r="C702" s="20">
        <v>1091.94</v>
      </c>
      <c r="D702" s="20">
        <v>172.69</v>
      </c>
      <c r="E702" s="20">
        <v>511.26</v>
      </c>
      <c r="F702" s="20">
        <v>43141.08</v>
      </c>
    </row>
    <row r="703" spans="1:6" ht="13.5" customHeight="1" x14ac:dyDescent="0.3">
      <c r="A703" s="21">
        <v>44447</v>
      </c>
      <c r="B703" s="22">
        <v>172.01</v>
      </c>
      <c r="C703" s="22">
        <v>1098.27</v>
      </c>
      <c r="D703" s="22">
        <v>172.41</v>
      </c>
      <c r="E703" s="22">
        <v>488.25</v>
      </c>
      <c r="F703" s="22">
        <v>42873.31</v>
      </c>
    </row>
    <row r="704" spans="1:6" ht="13.5" customHeight="1" x14ac:dyDescent="0.3">
      <c r="A704" s="19">
        <v>44448</v>
      </c>
      <c r="B704" s="20">
        <v>167.89</v>
      </c>
      <c r="C704" s="20">
        <v>1094.7</v>
      </c>
      <c r="D704" s="20">
        <v>172.55</v>
      </c>
      <c r="E704" s="20">
        <v>478.18</v>
      </c>
      <c r="F704" s="20">
        <v>43160.56</v>
      </c>
    </row>
    <row r="705" spans="1:6" ht="13.5" customHeight="1" x14ac:dyDescent="0.3">
      <c r="A705" s="21">
        <v>44449</v>
      </c>
      <c r="B705" s="22">
        <v>168.36</v>
      </c>
      <c r="C705" s="22">
        <v>1131.3599999999999</v>
      </c>
      <c r="D705" s="22">
        <v>178.43</v>
      </c>
      <c r="E705" s="22">
        <v>487.57</v>
      </c>
      <c r="F705" s="22">
        <v>42820.49</v>
      </c>
    </row>
    <row r="706" spans="1:6" ht="13.5" customHeight="1" x14ac:dyDescent="0.3">
      <c r="A706" s="19">
        <v>44452</v>
      </c>
      <c r="B706" s="20">
        <v>167.61</v>
      </c>
      <c r="C706" s="20">
        <v>1118.3</v>
      </c>
      <c r="D706" s="20">
        <v>175.3</v>
      </c>
      <c r="E706" s="20">
        <v>495.18</v>
      </c>
      <c r="F706" s="20">
        <v>43375.25</v>
      </c>
    </row>
    <row r="707" spans="1:6" ht="13.5" customHeight="1" x14ac:dyDescent="0.3">
      <c r="A707" s="21">
        <v>44453</v>
      </c>
      <c r="B707" s="22">
        <v>168.67</v>
      </c>
      <c r="C707" s="22">
        <v>1141.03</v>
      </c>
      <c r="D707" s="22">
        <v>175</v>
      </c>
      <c r="E707" s="22">
        <v>506.1</v>
      </c>
      <c r="F707" s="22">
        <v>42662.64</v>
      </c>
    </row>
    <row r="708" spans="1:6" ht="13.5" customHeight="1" x14ac:dyDescent="0.3">
      <c r="A708" s="19">
        <v>44454</v>
      </c>
      <c r="B708" s="20">
        <v>170.46</v>
      </c>
      <c r="C708" s="20">
        <v>1120.49</v>
      </c>
      <c r="D708" s="20">
        <v>175.12</v>
      </c>
      <c r="E708" s="20">
        <v>509.48</v>
      </c>
      <c r="F708" s="20">
        <v>42777.98</v>
      </c>
    </row>
    <row r="709" spans="1:6" ht="13.5" customHeight="1" x14ac:dyDescent="0.3">
      <c r="A709" s="21">
        <v>44455</v>
      </c>
      <c r="B709" s="22">
        <v>170.49</v>
      </c>
      <c r="C709" s="22">
        <v>1111.96</v>
      </c>
      <c r="D709" s="22">
        <v>173.11</v>
      </c>
      <c r="E709" s="22">
        <v>511.91</v>
      </c>
      <c r="F709" s="22">
        <v>42932.03</v>
      </c>
    </row>
    <row r="710" spans="1:6" ht="13.5" customHeight="1" x14ac:dyDescent="0.3">
      <c r="A710" s="19">
        <v>44456</v>
      </c>
      <c r="B710" s="20">
        <v>167.48</v>
      </c>
      <c r="C710" s="20">
        <v>1096.1199999999999</v>
      </c>
      <c r="D710" s="20">
        <v>174.14</v>
      </c>
      <c r="E710" s="20">
        <v>512.32000000000005</v>
      </c>
      <c r="F710" s="20">
        <v>43049.64</v>
      </c>
    </row>
    <row r="711" spans="1:6" ht="13.5" customHeight="1" x14ac:dyDescent="0.3">
      <c r="A711" s="21">
        <v>44459</v>
      </c>
      <c r="B711" s="22">
        <v>167.24</v>
      </c>
      <c r="C711" s="22">
        <v>1121.1199999999999</v>
      </c>
      <c r="D711" s="22">
        <v>174.25</v>
      </c>
      <c r="E711" s="22">
        <v>496.03</v>
      </c>
      <c r="F711" s="22">
        <v>43065.68</v>
      </c>
    </row>
    <row r="712" spans="1:6" ht="13.5" customHeight="1" x14ac:dyDescent="0.3">
      <c r="A712" s="19">
        <v>44460</v>
      </c>
      <c r="B712" s="20">
        <v>168.46</v>
      </c>
      <c r="C712" s="20">
        <v>1130.43</v>
      </c>
      <c r="D712" s="20">
        <v>174.64</v>
      </c>
      <c r="E712" s="20">
        <v>497.93</v>
      </c>
      <c r="F712" s="20">
        <v>43022.26</v>
      </c>
    </row>
    <row r="713" spans="1:6" ht="13.5" customHeight="1" x14ac:dyDescent="0.3">
      <c r="A713" s="21">
        <v>44461</v>
      </c>
      <c r="B713" s="22">
        <v>167.15</v>
      </c>
      <c r="C713" s="22">
        <v>1133.8399999999999</v>
      </c>
      <c r="D713" s="22">
        <v>172.73</v>
      </c>
      <c r="E713" s="22">
        <v>492.08</v>
      </c>
      <c r="F713" s="22">
        <v>41781.56</v>
      </c>
    </row>
    <row r="714" spans="1:6" ht="13.5" customHeight="1" x14ac:dyDescent="0.3">
      <c r="A714" s="19">
        <v>44462</v>
      </c>
      <c r="B714" s="20">
        <v>163.87</v>
      </c>
      <c r="C714" s="20">
        <v>1139.2</v>
      </c>
      <c r="D714" s="20">
        <v>174.79</v>
      </c>
      <c r="E714" s="20">
        <v>486.65</v>
      </c>
      <c r="F714" s="20">
        <v>41101.25</v>
      </c>
    </row>
    <row r="715" spans="1:6" ht="13.5" customHeight="1" x14ac:dyDescent="0.3">
      <c r="A715" s="21">
        <v>44463</v>
      </c>
      <c r="B715" s="22">
        <v>166.43</v>
      </c>
      <c r="C715" s="22">
        <v>1118.0899999999999</v>
      </c>
      <c r="D715" s="22">
        <v>172.3</v>
      </c>
      <c r="E715" s="22">
        <v>477.79</v>
      </c>
      <c r="F715" s="22">
        <v>41580.769999999997</v>
      </c>
    </row>
    <row r="716" spans="1:6" ht="13.5" customHeight="1" x14ac:dyDescent="0.3">
      <c r="A716" s="19">
        <v>44466</v>
      </c>
      <c r="B716" s="20">
        <v>165.52</v>
      </c>
      <c r="C716" s="20">
        <v>1146.43</v>
      </c>
      <c r="D716" s="20">
        <v>171.36</v>
      </c>
      <c r="E716" s="20">
        <v>477.41</v>
      </c>
      <c r="F716" s="20">
        <v>41923.24</v>
      </c>
    </row>
    <row r="717" spans="1:6" ht="13.5" customHeight="1" x14ac:dyDescent="0.3">
      <c r="A717" s="21">
        <v>44467</v>
      </c>
      <c r="B717" s="22">
        <v>164.64</v>
      </c>
      <c r="C717" s="22">
        <v>1175.21</v>
      </c>
      <c r="D717" s="22">
        <v>173.71</v>
      </c>
      <c r="E717" s="22">
        <v>485.9</v>
      </c>
      <c r="F717" s="22">
        <v>42583.68</v>
      </c>
    </row>
    <row r="718" spans="1:6" ht="13.5" customHeight="1" x14ac:dyDescent="0.3">
      <c r="A718" s="19">
        <v>44468</v>
      </c>
      <c r="B718" s="20">
        <v>164.73</v>
      </c>
      <c r="C718" s="20">
        <v>1175.19</v>
      </c>
      <c r="D718" s="20">
        <v>177.61</v>
      </c>
      <c r="E718" s="20">
        <v>493.47</v>
      </c>
      <c r="F718" s="20">
        <v>42628.82</v>
      </c>
    </row>
    <row r="719" spans="1:6" ht="13.5" customHeight="1" x14ac:dyDescent="0.3">
      <c r="A719" s="21">
        <v>44469</v>
      </c>
      <c r="B719" s="22">
        <v>167.13</v>
      </c>
      <c r="C719" s="22">
        <v>1176.17</v>
      </c>
      <c r="D719" s="22">
        <v>175.58</v>
      </c>
      <c r="E719" s="22">
        <v>484.65</v>
      </c>
      <c r="F719" s="22">
        <v>43459.519999999997</v>
      </c>
    </row>
    <row r="720" spans="1:6" ht="13.5" customHeight="1" x14ac:dyDescent="0.3">
      <c r="A720" s="19">
        <v>44470</v>
      </c>
      <c r="B720" s="20">
        <v>167.79</v>
      </c>
      <c r="C720" s="20">
        <v>1190.3399999999999</v>
      </c>
      <c r="D720" s="20">
        <v>177.37</v>
      </c>
      <c r="E720" s="20">
        <v>487.1</v>
      </c>
      <c r="F720" s="20">
        <v>43406.44</v>
      </c>
    </row>
    <row r="721" spans="1:6" ht="13.5" customHeight="1" x14ac:dyDescent="0.3">
      <c r="A721" s="21">
        <v>44473</v>
      </c>
      <c r="B721" s="22">
        <v>167.07</v>
      </c>
      <c r="C721" s="22">
        <v>1187.3599999999999</v>
      </c>
      <c r="D721" s="22">
        <v>177.2</v>
      </c>
      <c r="E721" s="22">
        <v>486.65</v>
      </c>
      <c r="F721" s="22">
        <v>43929.31</v>
      </c>
    </row>
    <row r="722" spans="1:6" ht="13.5" customHeight="1" x14ac:dyDescent="0.3">
      <c r="A722" s="19">
        <v>44474</v>
      </c>
      <c r="B722" s="20">
        <v>168.71</v>
      </c>
      <c r="C722" s="20">
        <v>1183.8800000000001</v>
      </c>
      <c r="D722" s="20">
        <v>180.19</v>
      </c>
      <c r="E722" s="20">
        <v>468.38</v>
      </c>
      <c r="F722" s="20">
        <v>43711.71</v>
      </c>
    </row>
    <row r="723" spans="1:6" ht="13.5" customHeight="1" x14ac:dyDescent="0.3">
      <c r="A723" s="21">
        <v>44475</v>
      </c>
      <c r="B723" s="22">
        <v>173.78</v>
      </c>
      <c r="C723" s="22">
        <v>1174.29</v>
      </c>
      <c r="D723" s="22">
        <v>180.57</v>
      </c>
      <c r="E723" s="22">
        <v>476.93</v>
      </c>
      <c r="F723" s="22">
        <v>43454.29</v>
      </c>
    </row>
    <row r="724" spans="1:6" ht="13.5" customHeight="1" x14ac:dyDescent="0.3">
      <c r="A724" s="19">
        <v>44476</v>
      </c>
      <c r="B724" s="20">
        <v>177.18</v>
      </c>
      <c r="C724" s="20">
        <v>1167.83</v>
      </c>
      <c r="D724" s="20">
        <v>185.47</v>
      </c>
      <c r="E724" s="20">
        <v>471.32</v>
      </c>
      <c r="F724" s="20">
        <v>43915.69</v>
      </c>
    </row>
    <row r="725" spans="1:6" ht="13.5" customHeight="1" x14ac:dyDescent="0.3">
      <c r="A725" s="21">
        <v>44477</v>
      </c>
      <c r="B725" s="22">
        <v>178.88</v>
      </c>
      <c r="C725" s="22">
        <v>1158.72</v>
      </c>
      <c r="D725" s="22">
        <v>190.02</v>
      </c>
      <c r="E725" s="22">
        <v>476.72</v>
      </c>
      <c r="F725" s="22">
        <v>43211.18</v>
      </c>
    </row>
    <row r="726" spans="1:6" ht="13.5" customHeight="1" x14ac:dyDescent="0.3">
      <c r="A726" s="19">
        <v>44480</v>
      </c>
      <c r="B726" s="20">
        <v>176.16</v>
      </c>
      <c r="C726" s="20">
        <v>1174.32</v>
      </c>
      <c r="D726" s="20">
        <v>187.19</v>
      </c>
      <c r="E726" s="20">
        <v>469.82</v>
      </c>
      <c r="F726" s="20">
        <v>43973.81</v>
      </c>
    </row>
    <row r="727" spans="1:6" ht="13.5" customHeight="1" x14ac:dyDescent="0.3">
      <c r="A727" s="21">
        <v>44481</v>
      </c>
      <c r="B727" s="22">
        <v>185.37</v>
      </c>
      <c r="C727" s="22">
        <v>1168.22</v>
      </c>
      <c r="D727" s="22">
        <v>186.3</v>
      </c>
      <c r="E727" s="22">
        <v>476.95</v>
      </c>
      <c r="F727" s="22">
        <v>44908.22</v>
      </c>
    </row>
    <row r="728" spans="1:6" ht="13.5" customHeight="1" x14ac:dyDescent="0.3">
      <c r="A728" s="19">
        <v>44482</v>
      </c>
      <c r="B728" s="20">
        <v>182.35</v>
      </c>
      <c r="C728" s="20">
        <v>1160.0899999999999</v>
      </c>
      <c r="D728" s="20">
        <v>184.17</v>
      </c>
      <c r="E728" s="20">
        <v>488.43</v>
      </c>
      <c r="F728" s="20">
        <v>44920.99</v>
      </c>
    </row>
    <row r="729" spans="1:6" ht="13.5" customHeight="1" x14ac:dyDescent="0.3">
      <c r="A729" s="21">
        <v>44483</v>
      </c>
      <c r="B729" s="22">
        <v>181.47</v>
      </c>
      <c r="C729" s="22">
        <v>1147.96</v>
      </c>
      <c r="D729" s="22">
        <v>184.01</v>
      </c>
      <c r="E729" s="22">
        <v>491.07</v>
      </c>
      <c r="F729" s="22">
        <v>45639.22</v>
      </c>
    </row>
    <row r="730" spans="1:6" ht="13.5" customHeight="1" x14ac:dyDescent="0.3">
      <c r="A730" s="19">
        <v>44484</v>
      </c>
      <c r="B730" s="20">
        <v>179.77</v>
      </c>
      <c r="C730" s="20">
        <v>1118.28</v>
      </c>
      <c r="D730" s="20">
        <v>178.81</v>
      </c>
      <c r="E730" s="20">
        <v>496.35</v>
      </c>
      <c r="F730" s="20">
        <v>45378.19</v>
      </c>
    </row>
    <row r="731" spans="1:6" ht="13.5" customHeight="1" x14ac:dyDescent="0.3">
      <c r="A731" s="21">
        <v>44487</v>
      </c>
      <c r="B731" s="22">
        <v>183.88</v>
      </c>
      <c r="C731" s="22">
        <v>1149.72</v>
      </c>
      <c r="D731" s="22">
        <v>174.17</v>
      </c>
      <c r="E731" s="22">
        <v>490.46</v>
      </c>
      <c r="F731" s="22">
        <v>45266.8</v>
      </c>
    </row>
    <row r="732" spans="1:6" ht="13.5" customHeight="1" x14ac:dyDescent="0.3">
      <c r="A732" s="19">
        <v>44488</v>
      </c>
      <c r="B732" s="20">
        <v>185.01</v>
      </c>
      <c r="C732" s="20">
        <v>1160.71</v>
      </c>
      <c r="D732" s="20">
        <v>177.04</v>
      </c>
      <c r="E732" s="20">
        <v>487.75</v>
      </c>
      <c r="F732" s="20">
        <v>45404.87</v>
      </c>
    </row>
    <row r="733" spans="1:6" ht="13.5" customHeight="1" x14ac:dyDescent="0.3">
      <c r="A733" s="21">
        <v>44489</v>
      </c>
      <c r="B733" s="22">
        <v>181.41</v>
      </c>
      <c r="C733" s="22">
        <v>1179.1500000000001</v>
      </c>
      <c r="D733" s="22">
        <v>178.06</v>
      </c>
      <c r="E733" s="22">
        <v>477.67</v>
      </c>
      <c r="F733" s="22">
        <v>45136.19</v>
      </c>
    </row>
    <row r="734" spans="1:6" ht="13.5" customHeight="1" x14ac:dyDescent="0.3">
      <c r="A734" s="19">
        <v>44490</v>
      </c>
      <c r="B734" s="20">
        <v>182.14</v>
      </c>
      <c r="C734" s="20">
        <v>1168.83</v>
      </c>
      <c r="D734" s="20">
        <v>180.24</v>
      </c>
      <c r="E734" s="20">
        <v>487.4</v>
      </c>
      <c r="F734" s="20">
        <v>45512.58</v>
      </c>
    </row>
    <row r="735" spans="1:6" ht="13.5" customHeight="1" x14ac:dyDescent="0.3">
      <c r="A735" s="21">
        <v>44491</v>
      </c>
      <c r="B735" s="22">
        <v>183.58</v>
      </c>
      <c r="C735" s="22">
        <v>1199.56</v>
      </c>
      <c r="D735" s="22">
        <v>177.75</v>
      </c>
      <c r="E735" s="22">
        <v>498.56</v>
      </c>
      <c r="F735" s="22">
        <v>45989.8</v>
      </c>
    </row>
    <row r="736" spans="1:6" ht="13.5" customHeight="1" x14ac:dyDescent="0.3">
      <c r="A736" s="19">
        <v>44494</v>
      </c>
      <c r="B736" s="20">
        <v>182.83</v>
      </c>
      <c r="C736" s="20">
        <v>1203.3499999999999</v>
      </c>
      <c r="D736" s="20">
        <v>174.87</v>
      </c>
      <c r="E736" s="20">
        <v>494.28</v>
      </c>
      <c r="F736" s="20">
        <v>46345.440000000002</v>
      </c>
    </row>
    <row r="737" spans="1:6" ht="13.5" customHeight="1" x14ac:dyDescent="0.3">
      <c r="A737" s="21">
        <v>44495</v>
      </c>
      <c r="B737" s="22">
        <v>179.79</v>
      </c>
      <c r="C737" s="22">
        <v>1234.9000000000001</v>
      </c>
      <c r="D737" s="22">
        <v>174.41</v>
      </c>
      <c r="E737" s="22">
        <v>494.86</v>
      </c>
      <c r="F737" s="22">
        <v>46092.45</v>
      </c>
    </row>
    <row r="738" spans="1:6" ht="13.5" customHeight="1" x14ac:dyDescent="0.3">
      <c r="A738" s="19">
        <v>44496</v>
      </c>
      <c r="B738" s="20">
        <v>178.04</v>
      </c>
      <c r="C738" s="20">
        <v>1235.3399999999999</v>
      </c>
      <c r="D738" s="20">
        <v>178.28</v>
      </c>
      <c r="E738" s="20">
        <v>488.86</v>
      </c>
      <c r="F738" s="20">
        <v>45312.77</v>
      </c>
    </row>
    <row r="739" spans="1:6" ht="13.5" customHeight="1" x14ac:dyDescent="0.3">
      <c r="A739" s="21">
        <v>44497</v>
      </c>
      <c r="B739" s="22">
        <v>177.02</v>
      </c>
      <c r="C739" s="22">
        <v>1235.0999999999999</v>
      </c>
      <c r="D739" s="22">
        <v>178.56</v>
      </c>
      <c r="E739" s="22">
        <v>477</v>
      </c>
      <c r="F739" s="22">
        <v>45543.13</v>
      </c>
    </row>
    <row r="740" spans="1:6" ht="13.5" customHeight="1" x14ac:dyDescent="0.3">
      <c r="A740" s="19">
        <v>44498</v>
      </c>
      <c r="B740" s="20">
        <v>177.13</v>
      </c>
      <c r="C740" s="20">
        <v>1224.3399999999999</v>
      </c>
      <c r="D740" s="20">
        <v>179.15</v>
      </c>
      <c r="E740" s="20">
        <v>472.59</v>
      </c>
      <c r="F740" s="20">
        <v>45376.639999999999</v>
      </c>
    </row>
    <row r="741" spans="1:6" ht="13.5" customHeight="1" x14ac:dyDescent="0.3">
      <c r="A741" s="21">
        <v>44501</v>
      </c>
      <c r="B741" s="22">
        <v>175.91</v>
      </c>
      <c r="C741" s="22">
        <v>1226.74</v>
      </c>
      <c r="D741" s="22">
        <v>182.54</v>
      </c>
      <c r="E741" s="22">
        <v>462.12</v>
      </c>
      <c r="F741" s="22">
        <v>44560.94</v>
      </c>
    </row>
    <row r="742" spans="1:6" ht="13.5" customHeight="1" x14ac:dyDescent="0.3">
      <c r="A742" s="19">
        <v>44502</v>
      </c>
      <c r="B742" s="20">
        <v>177.76</v>
      </c>
      <c r="C742" s="20">
        <v>1232.3399999999999</v>
      </c>
      <c r="D742" s="20">
        <v>183.7</v>
      </c>
      <c r="E742" s="20">
        <v>445.4</v>
      </c>
      <c r="F742" s="20">
        <v>43968.21</v>
      </c>
    </row>
    <row r="743" spans="1:6" ht="13.5" customHeight="1" x14ac:dyDescent="0.3">
      <c r="A743" s="21">
        <v>44503</v>
      </c>
      <c r="B743" s="22">
        <v>175.48</v>
      </c>
      <c r="C743" s="22">
        <v>1265.52</v>
      </c>
      <c r="D743" s="22">
        <v>184.3</v>
      </c>
      <c r="E743" s="22">
        <v>448.1</v>
      </c>
      <c r="F743" s="22">
        <v>43841.64</v>
      </c>
    </row>
    <row r="744" spans="1:6" ht="13.5" customHeight="1" x14ac:dyDescent="0.3">
      <c r="A744" s="19">
        <v>44504</v>
      </c>
      <c r="B744" s="20">
        <v>171.32</v>
      </c>
      <c r="C744" s="20">
        <v>1300.6400000000001</v>
      </c>
      <c r="D744" s="20">
        <v>185.62</v>
      </c>
      <c r="E744" s="20">
        <v>439.88</v>
      </c>
      <c r="F744" s="20">
        <v>44614.74</v>
      </c>
    </row>
    <row r="745" spans="1:6" ht="13.5" customHeight="1" x14ac:dyDescent="0.3">
      <c r="A745" s="21">
        <v>44505</v>
      </c>
      <c r="B745" s="22">
        <v>169.62</v>
      </c>
      <c r="C745" s="22">
        <v>1303.48</v>
      </c>
      <c r="D745" s="22">
        <v>185.13</v>
      </c>
      <c r="E745" s="22">
        <v>439.74</v>
      </c>
      <c r="F745" s="22">
        <v>44823.43</v>
      </c>
    </row>
    <row r="746" spans="1:6" ht="13.5" customHeight="1" x14ac:dyDescent="0.3">
      <c r="A746" s="19">
        <v>44508</v>
      </c>
      <c r="B746" s="20">
        <v>172.85</v>
      </c>
      <c r="C746" s="20">
        <v>1332.28</v>
      </c>
      <c r="D746" s="20">
        <v>189.79</v>
      </c>
      <c r="E746" s="20">
        <v>417.87</v>
      </c>
      <c r="F746" s="20">
        <v>44392.32</v>
      </c>
    </row>
    <row r="747" spans="1:6" ht="13.5" customHeight="1" x14ac:dyDescent="0.3">
      <c r="A747" s="21">
        <v>44509</v>
      </c>
      <c r="B747" s="22">
        <v>171.53</v>
      </c>
      <c r="C747" s="22">
        <v>1269.21</v>
      </c>
      <c r="D747" s="22">
        <v>189.56</v>
      </c>
      <c r="E747" s="22">
        <v>418.76</v>
      </c>
      <c r="F747" s="22">
        <v>43864.81</v>
      </c>
    </row>
    <row r="748" spans="1:6" ht="13.5" customHeight="1" x14ac:dyDescent="0.3">
      <c r="A748" s="19">
        <v>44510</v>
      </c>
      <c r="B748" s="20">
        <v>177.15</v>
      </c>
      <c r="C748" s="20">
        <v>1259.44</v>
      </c>
      <c r="D748" s="20">
        <v>187.48</v>
      </c>
      <c r="E748" s="20">
        <v>413.49</v>
      </c>
      <c r="F748" s="20">
        <v>43386.65</v>
      </c>
    </row>
    <row r="749" spans="1:6" ht="13.5" customHeight="1" x14ac:dyDescent="0.3">
      <c r="A749" s="21">
        <v>44511</v>
      </c>
      <c r="B749" s="22">
        <v>178.41</v>
      </c>
      <c r="C749" s="22">
        <v>1265.74</v>
      </c>
      <c r="D749" s="22">
        <v>189.57</v>
      </c>
      <c r="E749" s="22">
        <v>408.8</v>
      </c>
      <c r="F749" s="22">
        <v>42900.39</v>
      </c>
    </row>
    <row r="750" spans="1:6" ht="13.5" customHeight="1" x14ac:dyDescent="0.3">
      <c r="A750" s="19">
        <v>44512</v>
      </c>
      <c r="B750" s="20">
        <v>175.59</v>
      </c>
      <c r="C750" s="20">
        <v>1286.29</v>
      </c>
      <c r="D750" s="20">
        <v>192.47</v>
      </c>
      <c r="E750" s="20">
        <v>415.72</v>
      </c>
      <c r="F750" s="20">
        <v>42993.66</v>
      </c>
    </row>
    <row r="751" spans="1:6" ht="13.5" customHeight="1" x14ac:dyDescent="0.3">
      <c r="A751" s="21">
        <v>44515</v>
      </c>
      <c r="B751" s="22">
        <v>173.61</v>
      </c>
      <c r="C751" s="22">
        <v>1296.6600000000001</v>
      </c>
      <c r="D751" s="22">
        <v>191.12</v>
      </c>
      <c r="E751" s="22">
        <v>414.95</v>
      </c>
      <c r="F751" s="22">
        <v>43551.35</v>
      </c>
    </row>
    <row r="752" spans="1:6" ht="13.5" customHeight="1" x14ac:dyDescent="0.3">
      <c r="A752" s="19">
        <v>44516</v>
      </c>
      <c r="B752" s="20">
        <v>174.25</v>
      </c>
      <c r="C752" s="20">
        <v>1296.1500000000001</v>
      </c>
      <c r="D752" s="20">
        <v>193.37</v>
      </c>
      <c r="E752" s="20">
        <v>417.5</v>
      </c>
      <c r="F752" s="20">
        <v>44903.51</v>
      </c>
    </row>
    <row r="753" spans="1:6" ht="13.5" customHeight="1" x14ac:dyDescent="0.3">
      <c r="A753" s="21">
        <v>44517</v>
      </c>
      <c r="B753" s="22">
        <v>171.47</v>
      </c>
      <c r="C753" s="22">
        <v>1286.3699999999999</v>
      </c>
      <c r="D753" s="22">
        <v>196.73</v>
      </c>
      <c r="E753" s="22">
        <v>418.12</v>
      </c>
      <c r="F753" s="22">
        <v>45818.400000000001</v>
      </c>
    </row>
    <row r="754" spans="1:6" ht="13.5" customHeight="1" x14ac:dyDescent="0.3">
      <c r="A754" s="19">
        <v>44518</v>
      </c>
      <c r="B754" s="20">
        <v>177.16</v>
      </c>
      <c r="C754" s="20">
        <v>1268.99</v>
      </c>
      <c r="D754" s="20">
        <v>186.42</v>
      </c>
      <c r="E754" s="20">
        <v>422.12</v>
      </c>
      <c r="F754" s="20">
        <v>45584.14</v>
      </c>
    </row>
    <row r="755" spans="1:6" ht="13.5" customHeight="1" x14ac:dyDescent="0.3">
      <c r="A755" s="21">
        <v>44519</v>
      </c>
      <c r="B755" s="22">
        <v>174.79</v>
      </c>
      <c r="C755" s="22">
        <v>1312.32</v>
      </c>
      <c r="D755" s="22">
        <v>181.43</v>
      </c>
      <c r="E755" s="22">
        <v>416.01</v>
      </c>
      <c r="F755" s="22">
        <v>46086.26</v>
      </c>
    </row>
    <row r="756" spans="1:6" ht="13.5" customHeight="1" x14ac:dyDescent="0.3">
      <c r="A756" s="19">
        <v>44522</v>
      </c>
      <c r="B756" s="20">
        <v>176.49</v>
      </c>
      <c r="C756" s="20">
        <v>1339.07</v>
      </c>
      <c r="D756" s="20">
        <v>182.65</v>
      </c>
      <c r="E756" s="20">
        <v>416.11</v>
      </c>
      <c r="F756" s="20">
        <v>46154.23</v>
      </c>
    </row>
    <row r="757" spans="1:6" ht="13.5" customHeight="1" x14ac:dyDescent="0.3">
      <c r="A757" s="21">
        <v>44523</v>
      </c>
      <c r="B757" s="22">
        <v>180.12</v>
      </c>
      <c r="C757" s="22">
        <v>1370.76</v>
      </c>
      <c r="D757" s="22">
        <v>180.04</v>
      </c>
      <c r="E757" s="22">
        <v>414.48</v>
      </c>
      <c r="F757" s="22">
        <v>47081.83</v>
      </c>
    </row>
    <row r="758" spans="1:6" ht="13.5" customHeight="1" x14ac:dyDescent="0.3">
      <c r="A758" s="19">
        <v>44524</v>
      </c>
      <c r="B758" s="20">
        <v>179.9</v>
      </c>
      <c r="C758" s="20">
        <v>1371.83</v>
      </c>
      <c r="D758" s="20">
        <v>184.9</v>
      </c>
      <c r="E758" s="20">
        <v>420.23</v>
      </c>
      <c r="F758" s="20">
        <v>47373.45</v>
      </c>
    </row>
    <row r="759" spans="1:6" ht="13.5" customHeight="1" x14ac:dyDescent="0.3">
      <c r="A759" s="21">
        <v>44525</v>
      </c>
      <c r="B759" s="22">
        <v>177.48</v>
      </c>
      <c r="C759" s="22">
        <v>1359.72</v>
      </c>
      <c r="D759" s="22">
        <v>185.91</v>
      </c>
      <c r="E759" s="22">
        <v>415.85</v>
      </c>
      <c r="F759" s="22">
        <v>47124.3</v>
      </c>
    </row>
    <row r="760" spans="1:6" ht="13.5" customHeight="1" x14ac:dyDescent="0.3">
      <c r="A760" s="19">
        <v>44526</v>
      </c>
      <c r="B760" s="20">
        <v>176.86</v>
      </c>
      <c r="C760" s="20">
        <v>1373.83</v>
      </c>
      <c r="D760" s="20">
        <v>185.69</v>
      </c>
      <c r="E760" s="20">
        <v>421.97</v>
      </c>
      <c r="F760" s="20">
        <v>47656.36</v>
      </c>
    </row>
    <row r="761" spans="1:6" ht="13.5" customHeight="1" x14ac:dyDescent="0.3">
      <c r="A761" s="21">
        <v>44529</v>
      </c>
      <c r="B761" s="22">
        <v>177.81</v>
      </c>
      <c r="C761" s="22">
        <v>1374.05</v>
      </c>
      <c r="D761" s="22">
        <v>185.94</v>
      </c>
      <c r="E761" s="22">
        <v>426.38</v>
      </c>
      <c r="F761" s="22">
        <v>47245.42</v>
      </c>
    </row>
    <row r="762" spans="1:6" ht="13.5" customHeight="1" x14ac:dyDescent="0.3">
      <c r="A762" s="19">
        <v>44530</v>
      </c>
      <c r="B762" s="20">
        <v>180.02</v>
      </c>
      <c r="C762" s="20">
        <v>1371.76</v>
      </c>
      <c r="D762" s="20">
        <v>184.9</v>
      </c>
      <c r="E762" s="20">
        <v>421.9</v>
      </c>
      <c r="F762" s="20">
        <v>46925.61</v>
      </c>
    </row>
    <row r="763" spans="1:6" ht="13.5" customHeight="1" x14ac:dyDescent="0.3">
      <c r="A763" s="21">
        <v>44531</v>
      </c>
      <c r="B763" s="22">
        <v>180.22</v>
      </c>
      <c r="C763" s="22">
        <v>1371.98</v>
      </c>
      <c r="D763" s="22">
        <v>183.11</v>
      </c>
      <c r="E763" s="22">
        <v>427.9</v>
      </c>
      <c r="F763" s="22">
        <v>46775.76</v>
      </c>
    </row>
    <row r="764" spans="1:6" ht="13.5" customHeight="1" x14ac:dyDescent="0.3">
      <c r="A764" s="19">
        <v>44532</v>
      </c>
      <c r="B764" s="20">
        <v>176.78</v>
      </c>
      <c r="C764" s="20">
        <v>1357.48</v>
      </c>
      <c r="D764" s="20">
        <v>183.53</v>
      </c>
      <c r="E764" s="20">
        <v>424.87</v>
      </c>
      <c r="F764" s="20">
        <v>46650.45</v>
      </c>
    </row>
    <row r="765" spans="1:6" ht="13.5" customHeight="1" x14ac:dyDescent="0.3">
      <c r="A765" s="21">
        <v>44533</v>
      </c>
      <c r="B765" s="22">
        <v>176.94</v>
      </c>
      <c r="C765" s="22">
        <v>1337.42</v>
      </c>
      <c r="D765" s="22">
        <v>186.5</v>
      </c>
      <c r="E765" s="22">
        <v>419.93</v>
      </c>
      <c r="F765" s="22">
        <v>45565.8</v>
      </c>
    </row>
    <row r="766" spans="1:6" ht="13.5" customHeight="1" x14ac:dyDescent="0.3">
      <c r="A766" s="19">
        <v>44536</v>
      </c>
      <c r="B766" s="20">
        <v>175.34</v>
      </c>
      <c r="C766" s="20">
        <v>1332.5</v>
      </c>
      <c r="D766" s="20">
        <v>182.03</v>
      </c>
      <c r="E766" s="20">
        <v>413.78</v>
      </c>
      <c r="F766" s="20">
        <v>46105.57</v>
      </c>
    </row>
    <row r="767" spans="1:6" ht="13.5" customHeight="1" x14ac:dyDescent="0.3">
      <c r="A767" s="21">
        <v>44537</v>
      </c>
      <c r="B767" s="22">
        <v>170.09</v>
      </c>
      <c r="C767" s="22">
        <v>1300.73</v>
      </c>
      <c r="D767" s="22">
        <v>182.8</v>
      </c>
      <c r="E767" s="22">
        <v>405.58</v>
      </c>
      <c r="F767" s="22">
        <v>47518.01</v>
      </c>
    </row>
    <row r="768" spans="1:6" ht="13.5" customHeight="1" x14ac:dyDescent="0.3">
      <c r="A768" s="19">
        <v>44538</v>
      </c>
      <c r="B768" s="20">
        <v>168.5</v>
      </c>
      <c r="C768" s="20">
        <v>1315.23</v>
      </c>
      <c r="D768" s="20">
        <v>181.57</v>
      </c>
      <c r="E768" s="20">
        <v>408.15</v>
      </c>
      <c r="F768" s="20">
        <v>46867.26</v>
      </c>
    </row>
    <row r="769" spans="1:6" ht="13.5" customHeight="1" x14ac:dyDescent="0.3">
      <c r="A769" s="21">
        <v>44539</v>
      </c>
      <c r="B769" s="22">
        <v>165.21</v>
      </c>
      <c r="C769" s="22">
        <v>1335.47</v>
      </c>
      <c r="D769" s="22">
        <v>181.89</v>
      </c>
      <c r="E769" s="22">
        <v>406.83</v>
      </c>
      <c r="F769" s="22">
        <v>47603</v>
      </c>
    </row>
    <row r="770" spans="1:6" ht="13.5" customHeight="1" x14ac:dyDescent="0.3">
      <c r="A770" s="19">
        <v>44540</v>
      </c>
      <c r="B770" s="20">
        <v>166.61</v>
      </c>
      <c r="C770" s="20">
        <v>1318.13</v>
      </c>
      <c r="D770" s="20">
        <v>179.81</v>
      </c>
      <c r="E770" s="20">
        <v>404.67</v>
      </c>
      <c r="F770" s="20">
        <v>46703.74</v>
      </c>
    </row>
    <row r="771" spans="1:6" ht="13.5" customHeight="1" x14ac:dyDescent="0.3">
      <c r="A771" s="21">
        <v>44543</v>
      </c>
      <c r="B771" s="22">
        <v>171.15</v>
      </c>
      <c r="C771" s="22">
        <v>1276.43</v>
      </c>
      <c r="D771" s="22">
        <v>180.29</v>
      </c>
      <c r="E771" s="22">
        <v>411.39</v>
      </c>
      <c r="F771" s="22">
        <v>46676.85</v>
      </c>
    </row>
    <row r="772" spans="1:6" ht="13.5" customHeight="1" x14ac:dyDescent="0.3">
      <c r="A772" s="19">
        <v>44544</v>
      </c>
      <c r="B772" s="20">
        <v>175.61</v>
      </c>
      <c r="C772" s="20">
        <v>1286.05</v>
      </c>
      <c r="D772" s="20">
        <v>177.32</v>
      </c>
      <c r="E772" s="20">
        <v>418.44</v>
      </c>
      <c r="F772" s="20">
        <v>46254.16</v>
      </c>
    </row>
    <row r="773" spans="1:6" ht="13.5" customHeight="1" x14ac:dyDescent="0.3">
      <c r="A773" s="21">
        <v>44545</v>
      </c>
      <c r="B773" s="22">
        <v>174.27</v>
      </c>
      <c r="C773" s="22">
        <v>1292.23</v>
      </c>
      <c r="D773" s="22">
        <v>177.33</v>
      </c>
      <c r="E773" s="22">
        <v>419.51</v>
      </c>
      <c r="F773" s="22">
        <v>46369.31</v>
      </c>
    </row>
    <row r="774" spans="1:6" ht="13.5" customHeight="1" x14ac:dyDescent="0.3">
      <c r="A774" s="19">
        <v>44546</v>
      </c>
      <c r="B774" s="20">
        <v>173.2</v>
      </c>
      <c r="C774" s="20">
        <v>1293.46</v>
      </c>
      <c r="D774" s="20">
        <v>176.67</v>
      </c>
      <c r="E774" s="20">
        <v>404.37</v>
      </c>
      <c r="F774" s="20">
        <v>46660.91</v>
      </c>
    </row>
    <row r="775" spans="1:6" ht="13.5" customHeight="1" x14ac:dyDescent="0.3">
      <c r="A775" s="21">
        <v>44547</v>
      </c>
      <c r="B775" s="22">
        <v>174.91</v>
      </c>
      <c r="C775" s="22">
        <v>1263.79</v>
      </c>
      <c r="D775" s="22">
        <v>172.11</v>
      </c>
      <c r="E775" s="22">
        <v>408.27</v>
      </c>
      <c r="F775" s="22">
        <v>45993.85</v>
      </c>
    </row>
    <row r="776" spans="1:6" ht="13.5" customHeight="1" x14ac:dyDescent="0.3">
      <c r="A776" s="19">
        <v>44550</v>
      </c>
      <c r="B776" s="20">
        <v>177.54</v>
      </c>
      <c r="C776" s="20">
        <v>1221.79</v>
      </c>
      <c r="D776" s="20">
        <v>173.31</v>
      </c>
      <c r="E776" s="20">
        <v>393.35</v>
      </c>
      <c r="F776" s="20">
        <v>45924.91</v>
      </c>
    </row>
    <row r="777" spans="1:6" ht="13.5" customHeight="1" x14ac:dyDescent="0.3">
      <c r="A777" s="21">
        <v>44551</v>
      </c>
      <c r="B777" s="22">
        <v>176.56</v>
      </c>
      <c r="C777" s="22">
        <v>1259.4000000000001</v>
      </c>
      <c r="D777" s="22">
        <v>165.71</v>
      </c>
      <c r="E777" s="22">
        <v>386.9</v>
      </c>
      <c r="F777" s="22">
        <v>46325.11</v>
      </c>
    </row>
    <row r="778" spans="1:6" ht="13.5" customHeight="1" x14ac:dyDescent="0.3">
      <c r="A778" s="19">
        <v>44552</v>
      </c>
      <c r="B778" s="20">
        <v>176.27</v>
      </c>
      <c r="C778" s="20">
        <v>1255.3499999999999</v>
      </c>
      <c r="D778" s="20">
        <v>164.79</v>
      </c>
      <c r="E778" s="20">
        <v>385.91</v>
      </c>
      <c r="F778" s="20">
        <v>45854.05</v>
      </c>
    </row>
    <row r="779" spans="1:6" ht="13.5" customHeight="1" x14ac:dyDescent="0.3">
      <c r="A779" s="21">
        <v>44553</v>
      </c>
      <c r="B779" s="22">
        <v>181.72</v>
      </c>
      <c r="C779" s="22">
        <v>1267.26</v>
      </c>
      <c r="D779" s="22">
        <v>160.99</v>
      </c>
      <c r="E779" s="22">
        <v>397.28</v>
      </c>
      <c r="F779" s="22">
        <v>46514.89</v>
      </c>
    </row>
    <row r="780" spans="1:6" ht="13.5" customHeight="1" x14ac:dyDescent="0.3">
      <c r="A780" s="19">
        <v>44554</v>
      </c>
      <c r="B780" s="20">
        <v>181.5</v>
      </c>
      <c r="C780" s="20">
        <v>1266.43</v>
      </c>
      <c r="D780" s="20">
        <v>161.71</v>
      </c>
      <c r="E780" s="20">
        <v>378.84</v>
      </c>
      <c r="F780" s="20">
        <v>47209.2</v>
      </c>
    </row>
    <row r="781" spans="1:6" ht="13.5" customHeight="1" x14ac:dyDescent="0.3">
      <c r="A781" s="21">
        <v>44557</v>
      </c>
      <c r="B781" s="22">
        <v>180.34</v>
      </c>
      <c r="C781" s="22">
        <v>1276.43</v>
      </c>
      <c r="D781" s="22">
        <v>160.91</v>
      </c>
      <c r="E781" s="22">
        <v>368.06</v>
      </c>
      <c r="F781" s="22">
        <v>46972.27</v>
      </c>
    </row>
    <row r="782" spans="1:6" ht="13.5" customHeight="1" x14ac:dyDescent="0.3">
      <c r="A782" s="19">
        <v>44558</v>
      </c>
      <c r="B782" s="20">
        <v>180.7</v>
      </c>
      <c r="C782" s="20">
        <v>1248.4100000000001</v>
      </c>
      <c r="D782" s="20">
        <v>163.05000000000001</v>
      </c>
      <c r="E782" s="20">
        <v>363.26</v>
      </c>
      <c r="F782" s="20">
        <v>47744.38</v>
      </c>
    </row>
    <row r="783" spans="1:6" ht="13.5" customHeight="1" x14ac:dyDescent="0.3">
      <c r="A783" s="21">
        <v>44559</v>
      </c>
      <c r="B783" s="22">
        <v>182.21</v>
      </c>
      <c r="C783" s="22">
        <v>1239.3399999999999</v>
      </c>
      <c r="D783" s="22">
        <v>162.59</v>
      </c>
      <c r="E783" s="22">
        <v>368.17</v>
      </c>
      <c r="F783" s="22">
        <v>46709.21</v>
      </c>
    </row>
    <row r="784" spans="1:6" ht="13.5" customHeight="1" x14ac:dyDescent="0.3">
      <c r="A784" s="19">
        <v>44560</v>
      </c>
      <c r="B784" s="20">
        <v>179.68</v>
      </c>
      <c r="C784" s="20">
        <v>1210.45</v>
      </c>
      <c r="D784" s="20">
        <v>162.11000000000001</v>
      </c>
      <c r="E784" s="20">
        <v>356.99</v>
      </c>
      <c r="F784" s="20">
        <v>46400.36</v>
      </c>
    </row>
    <row r="785" spans="1:6" ht="13.5" customHeight="1" x14ac:dyDescent="0.3">
      <c r="A785" s="21">
        <v>44561</v>
      </c>
      <c r="B785" s="22">
        <v>179.12</v>
      </c>
      <c r="C785" s="22">
        <v>1187.96</v>
      </c>
      <c r="D785" s="22">
        <v>165.04</v>
      </c>
      <c r="E785" s="22">
        <v>351.77</v>
      </c>
      <c r="F785" s="22">
        <v>46698.63</v>
      </c>
    </row>
    <row r="786" spans="1:6" ht="13.5" customHeight="1" x14ac:dyDescent="0.3">
      <c r="A786" s="19">
        <v>44564</v>
      </c>
      <c r="B786" s="20">
        <v>176.28</v>
      </c>
      <c r="C786" s="20">
        <v>1173.81</v>
      </c>
      <c r="D786" s="20">
        <v>163.9</v>
      </c>
      <c r="E786" s="20">
        <v>360</v>
      </c>
      <c r="F786" s="20">
        <v>47216.4</v>
      </c>
    </row>
    <row r="787" spans="1:6" ht="13.5" customHeight="1" x14ac:dyDescent="0.3">
      <c r="A787" s="21">
        <v>44565</v>
      </c>
      <c r="B787" s="22">
        <v>175.66</v>
      </c>
      <c r="C787" s="22">
        <v>1137.0999999999999</v>
      </c>
      <c r="D787" s="22">
        <v>163.88</v>
      </c>
      <c r="E787" s="22">
        <v>366.17</v>
      </c>
      <c r="F787" s="22">
        <v>47823.07</v>
      </c>
    </row>
    <row r="788" spans="1:6" ht="13.5" customHeight="1" x14ac:dyDescent="0.3">
      <c r="A788" s="19">
        <v>44566</v>
      </c>
      <c r="B788" s="20">
        <v>180.29</v>
      </c>
      <c r="C788" s="20">
        <v>1128.53</v>
      </c>
      <c r="D788" s="20">
        <v>167.63</v>
      </c>
      <c r="E788" s="20">
        <v>362.13</v>
      </c>
      <c r="F788" s="20">
        <v>48371.35</v>
      </c>
    </row>
    <row r="789" spans="1:6" ht="13.5" customHeight="1" x14ac:dyDescent="0.3">
      <c r="A789" s="21">
        <v>44567</v>
      </c>
      <c r="B789" s="22">
        <v>182.2</v>
      </c>
      <c r="C789" s="22">
        <v>1115.05</v>
      </c>
      <c r="D789" s="22">
        <v>169.44</v>
      </c>
      <c r="E789" s="22">
        <v>369.24</v>
      </c>
      <c r="F789" s="22">
        <v>48410.23</v>
      </c>
    </row>
    <row r="790" spans="1:6" ht="13.5" customHeight="1" x14ac:dyDescent="0.3">
      <c r="A790" s="19">
        <v>44568</v>
      </c>
      <c r="B790" s="20">
        <v>182.02</v>
      </c>
      <c r="C790" s="20">
        <v>1092.3800000000001</v>
      </c>
      <c r="D790" s="20">
        <v>174.8</v>
      </c>
      <c r="E790" s="20">
        <v>370.01</v>
      </c>
      <c r="F790" s="20">
        <v>48805.46</v>
      </c>
    </row>
    <row r="791" spans="1:6" ht="13.5" customHeight="1" x14ac:dyDescent="0.3">
      <c r="A791" s="21">
        <v>44571</v>
      </c>
      <c r="B791" s="22">
        <v>179.72</v>
      </c>
      <c r="C791" s="22">
        <v>1090.47</v>
      </c>
      <c r="D791" s="22">
        <v>176.14</v>
      </c>
      <c r="E791" s="22">
        <v>363.85</v>
      </c>
      <c r="F791" s="22">
        <v>48839.5</v>
      </c>
    </row>
    <row r="792" spans="1:6" ht="13.5" customHeight="1" x14ac:dyDescent="0.3">
      <c r="A792" s="19">
        <v>44572</v>
      </c>
      <c r="B792" s="20">
        <v>179.01</v>
      </c>
      <c r="C792" s="20">
        <v>1090.9000000000001</v>
      </c>
      <c r="D792" s="20">
        <v>174.74</v>
      </c>
      <c r="E792" s="20">
        <v>359.12</v>
      </c>
      <c r="F792" s="20">
        <v>48043.94</v>
      </c>
    </row>
    <row r="793" spans="1:6" ht="13.5" customHeight="1" x14ac:dyDescent="0.3">
      <c r="A793" s="21">
        <v>44573</v>
      </c>
      <c r="B793" s="22">
        <v>181.67</v>
      </c>
      <c r="C793" s="22">
        <v>1075.45</v>
      </c>
      <c r="D793" s="22">
        <v>177.76</v>
      </c>
      <c r="E793" s="22">
        <v>355.03</v>
      </c>
      <c r="F793" s="22">
        <v>48553.64</v>
      </c>
    </row>
    <row r="794" spans="1:6" ht="13.5" customHeight="1" x14ac:dyDescent="0.3">
      <c r="A794" s="19">
        <v>44574</v>
      </c>
      <c r="B794" s="20">
        <v>180.31</v>
      </c>
      <c r="C794" s="20">
        <v>1114.25</v>
      </c>
      <c r="D794" s="20">
        <v>180.41</v>
      </c>
      <c r="E794" s="20">
        <v>347.96</v>
      </c>
      <c r="F794" s="20">
        <v>48884.38</v>
      </c>
    </row>
    <row r="795" spans="1:6" ht="13.5" customHeight="1" x14ac:dyDescent="0.3">
      <c r="A795" s="21">
        <v>44575</v>
      </c>
      <c r="B795" s="22">
        <v>183.99</v>
      </c>
      <c r="C795" s="22">
        <v>1129.03</v>
      </c>
      <c r="D795" s="22">
        <v>179.71</v>
      </c>
      <c r="E795" s="22">
        <v>351.14</v>
      </c>
      <c r="F795" s="22">
        <v>48831.91</v>
      </c>
    </row>
    <row r="796" spans="1:6" ht="13.5" customHeight="1" x14ac:dyDescent="0.3">
      <c r="A796" s="19">
        <v>44578</v>
      </c>
      <c r="B796" s="20">
        <v>180.55</v>
      </c>
      <c r="C796" s="20">
        <v>1152.04</v>
      </c>
      <c r="D796" s="20">
        <v>181.31</v>
      </c>
      <c r="E796" s="20">
        <v>358.01</v>
      </c>
      <c r="F796" s="20">
        <v>48529.66</v>
      </c>
    </row>
    <row r="797" spans="1:6" ht="13.5" customHeight="1" x14ac:dyDescent="0.3">
      <c r="A797" s="21">
        <v>44579</v>
      </c>
      <c r="B797" s="22">
        <v>179.88</v>
      </c>
      <c r="C797" s="22">
        <v>1146.06</v>
      </c>
      <c r="D797" s="22">
        <v>181.15</v>
      </c>
      <c r="E797" s="22">
        <v>348.44</v>
      </c>
      <c r="F797" s="22">
        <v>49618.39</v>
      </c>
    </row>
    <row r="798" spans="1:6" ht="13.5" customHeight="1" x14ac:dyDescent="0.3">
      <c r="A798" s="19">
        <v>44580</v>
      </c>
      <c r="B798" s="20">
        <v>184.28</v>
      </c>
      <c r="C798" s="20">
        <v>1164.8</v>
      </c>
      <c r="D798" s="20">
        <v>182.64</v>
      </c>
      <c r="E798" s="20">
        <v>352.99</v>
      </c>
      <c r="F798" s="20">
        <v>49111.93</v>
      </c>
    </row>
    <row r="799" spans="1:6" ht="13.5" customHeight="1" x14ac:dyDescent="0.3">
      <c r="A799" s="21">
        <v>44581</v>
      </c>
      <c r="B799" s="22">
        <v>179.21</v>
      </c>
      <c r="C799" s="22">
        <v>1181.22</v>
      </c>
      <c r="D799" s="22">
        <v>182.8</v>
      </c>
      <c r="E799" s="22">
        <v>346.19</v>
      </c>
      <c r="F799" s="22">
        <v>49169.67</v>
      </c>
    </row>
    <row r="800" spans="1:6" ht="13.5" customHeight="1" x14ac:dyDescent="0.3">
      <c r="A800" s="19">
        <v>44582</v>
      </c>
      <c r="B800" s="20">
        <v>182.22</v>
      </c>
      <c r="C800" s="20">
        <v>1160.71</v>
      </c>
      <c r="D800" s="20">
        <v>182.5</v>
      </c>
      <c r="E800" s="20">
        <v>345.88</v>
      </c>
      <c r="F800" s="20">
        <v>48795.89</v>
      </c>
    </row>
    <row r="801" spans="1:6" ht="13.5" customHeight="1" x14ac:dyDescent="0.3">
      <c r="A801" s="21">
        <v>44585</v>
      </c>
      <c r="B801" s="22">
        <v>177.61</v>
      </c>
      <c r="C801" s="22">
        <v>1147.43</v>
      </c>
      <c r="D801" s="22">
        <v>187.43</v>
      </c>
      <c r="E801" s="22">
        <v>348.03</v>
      </c>
      <c r="F801" s="22">
        <v>48783.16</v>
      </c>
    </row>
    <row r="802" spans="1:6" ht="13.5" customHeight="1" x14ac:dyDescent="0.3">
      <c r="A802" s="19">
        <v>44586</v>
      </c>
      <c r="B802" s="20">
        <v>177.44</v>
      </c>
      <c r="C802" s="20">
        <v>1207.1099999999999</v>
      </c>
      <c r="D802" s="20">
        <v>188.85</v>
      </c>
      <c r="E802" s="20">
        <v>354.87</v>
      </c>
      <c r="F802" s="20">
        <v>49429.02</v>
      </c>
    </row>
    <row r="803" spans="1:6" ht="13.5" customHeight="1" x14ac:dyDescent="0.3">
      <c r="A803" s="21">
        <v>44587</v>
      </c>
      <c r="B803" s="22">
        <v>177.07</v>
      </c>
      <c r="C803" s="22">
        <v>1199.08</v>
      </c>
      <c r="D803" s="22">
        <v>184.97</v>
      </c>
      <c r="E803" s="22">
        <v>354.87</v>
      </c>
      <c r="F803" s="22">
        <v>49676.41</v>
      </c>
    </row>
    <row r="804" spans="1:6" ht="13.5" customHeight="1" x14ac:dyDescent="0.3">
      <c r="A804" s="19">
        <v>44588</v>
      </c>
      <c r="B804" s="20">
        <v>179.15</v>
      </c>
      <c r="C804" s="20">
        <v>1210.0899999999999</v>
      </c>
      <c r="D804" s="20">
        <v>185.65</v>
      </c>
      <c r="E804" s="20">
        <v>356.71</v>
      </c>
      <c r="F804" s="20">
        <v>49520.82</v>
      </c>
    </row>
    <row r="805" spans="1:6" ht="13.5" customHeight="1" x14ac:dyDescent="0.3">
      <c r="A805" s="21">
        <v>44589</v>
      </c>
      <c r="B805" s="22">
        <v>171.38</v>
      </c>
      <c r="C805" s="22">
        <v>1206.23</v>
      </c>
      <c r="D805" s="22">
        <v>184.85</v>
      </c>
      <c r="E805" s="22">
        <v>367.86</v>
      </c>
      <c r="F805" s="22">
        <v>49995.26</v>
      </c>
    </row>
    <row r="806" spans="1:6" ht="13.5" customHeight="1" x14ac:dyDescent="0.3">
      <c r="A806" s="19">
        <v>44592</v>
      </c>
      <c r="B806" s="20">
        <v>166.88</v>
      </c>
      <c r="C806" s="20">
        <v>1224.6300000000001</v>
      </c>
      <c r="D806" s="20">
        <v>185.83</v>
      </c>
      <c r="E806" s="20">
        <v>379.27</v>
      </c>
      <c r="F806" s="20">
        <v>50541.21</v>
      </c>
    </row>
    <row r="807" spans="1:6" ht="13.5" customHeight="1" x14ac:dyDescent="0.3">
      <c r="A807" s="21">
        <v>44593</v>
      </c>
      <c r="B807" s="22">
        <v>165.62</v>
      </c>
      <c r="C807" s="22">
        <v>1203.8800000000001</v>
      </c>
      <c r="D807" s="22">
        <v>186.61</v>
      </c>
      <c r="E807" s="22">
        <v>387</v>
      </c>
      <c r="F807" s="22">
        <v>50520.86</v>
      </c>
    </row>
    <row r="808" spans="1:6" ht="13.5" customHeight="1" x14ac:dyDescent="0.3">
      <c r="A808" s="19">
        <v>44594</v>
      </c>
      <c r="B808" s="20">
        <v>165.76</v>
      </c>
      <c r="C808" s="20">
        <v>1183.25</v>
      </c>
      <c r="D808" s="20">
        <v>187.76</v>
      </c>
      <c r="E808" s="20">
        <v>392.67</v>
      </c>
      <c r="F808" s="20">
        <v>50292.45</v>
      </c>
    </row>
    <row r="809" spans="1:6" ht="13.5" customHeight="1" x14ac:dyDescent="0.3">
      <c r="A809" s="21">
        <v>44595</v>
      </c>
      <c r="B809" s="22">
        <v>163.76</v>
      </c>
      <c r="C809" s="22">
        <v>1207.6300000000001</v>
      </c>
      <c r="D809" s="22">
        <v>182.81</v>
      </c>
      <c r="E809" s="22">
        <v>396.63</v>
      </c>
      <c r="F809" s="22">
        <v>49896.87</v>
      </c>
    </row>
    <row r="810" spans="1:6" ht="13.5" customHeight="1" x14ac:dyDescent="0.3">
      <c r="A810" s="19">
        <v>44596</v>
      </c>
      <c r="B810" s="20">
        <v>163.31</v>
      </c>
      <c r="C810" s="20">
        <v>1212.58</v>
      </c>
      <c r="D810" s="20">
        <v>178.37</v>
      </c>
      <c r="E810" s="20">
        <v>409.1</v>
      </c>
      <c r="F810" s="20">
        <v>48843.49</v>
      </c>
    </row>
    <row r="811" spans="1:6" ht="13.5" customHeight="1" x14ac:dyDescent="0.3">
      <c r="A811" s="21">
        <v>44599</v>
      </c>
      <c r="B811" s="22">
        <v>160.68</v>
      </c>
      <c r="C811" s="22">
        <v>1160.31</v>
      </c>
      <c r="D811" s="22">
        <v>182.37</v>
      </c>
      <c r="E811" s="22">
        <v>415</v>
      </c>
      <c r="F811" s="22">
        <v>49719.9</v>
      </c>
    </row>
    <row r="812" spans="1:6" ht="13.5" customHeight="1" x14ac:dyDescent="0.3">
      <c r="A812" s="19">
        <v>44600</v>
      </c>
      <c r="B812" s="20">
        <v>159.83000000000001</v>
      </c>
      <c r="C812" s="20">
        <v>1161.48</v>
      </c>
      <c r="D812" s="20">
        <v>182.37</v>
      </c>
      <c r="E812" s="20">
        <v>409.88</v>
      </c>
      <c r="F812" s="20">
        <v>49338.09</v>
      </c>
    </row>
    <row r="813" spans="1:6" ht="13.5" customHeight="1" x14ac:dyDescent="0.3">
      <c r="A813" s="21">
        <v>44601</v>
      </c>
      <c r="B813" s="22">
        <v>158.01</v>
      </c>
      <c r="C813" s="22">
        <v>1158.44</v>
      </c>
      <c r="D813" s="22">
        <v>186.29</v>
      </c>
      <c r="E813" s="22">
        <v>410.9</v>
      </c>
      <c r="F813" s="22">
        <v>48707.26</v>
      </c>
    </row>
    <row r="814" spans="1:6" ht="13.5" customHeight="1" x14ac:dyDescent="0.3">
      <c r="A814" s="19">
        <v>44602</v>
      </c>
      <c r="B814" s="20">
        <v>158.59</v>
      </c>
      <c r="C814" s="20">
        <v>1173.6500000000001</v>
      </c>
      <c r="D814" s="20">
        <v>187.91</v>
      </c>
      <c r="E814" s="20">
        <v>414.28</v>
      </c>
      <c r="F814" s="20">
        <v>48255.360000000001</v>
      </c>
    </row>
    <row r="815" spans="1:6" ht="13.5" customHeight="1" x14ac:dyDescent="0.3">
      <c r="A815" s="21">
        <v>44603</v>
      </c>
      <c r="B815" s="22">
        <v>159.91999999999999</v>
      </c>
      <c r="C815" s="22">
        <v>1181</v>
      </c>
      <c r="D815" s="22">
        <v>186.41</v>
      </c>
      <c r="E815" s="22">
        <v>403.58</v>
      </c>
      <c r="F815" s="22">
        <v>47649.74</v>
      </c>
    </row>
    <row r="816" spans="1:6" ht="13.5" customHeight="1" x14ac:dyDescent="0.3">
      <c r="A816" s="19">
        <v>44606</v>
      </c>
      <c r="B816" s="20">
        <v>163.15</v>
      </c>
      <c r="C816" s="20">
        <v>1188.83</v>
      </c>
      <c r="D816" s="20">
        <v>181.52</v>
      </c>
      <c r="E816" s="20">
        <v>399.36</v>
      </c>
      <c r="F816" s="20">
        <v>48266.45</v>
      </c>
    </row>
    <row r="817" spans="1:6" ht="13.5" customHeight="1" x14ac:dyDescent="0.3">
      <c r="A817" s="21">
        <v>44607</v>
      </c>
      <c r="B817" s="22">
        <v>161.71</v>
      </c>
      <c r="C817" s="22">
        <v>1191.3699999999999</v>
      </c>
      <c r="D817" s="22">
        <v>183.06</v>
      </c>
      <c r="E817" s="22">
        <v>412.46</v>
      </c>
      <c r="F817" s="22">
        <v>48236.55</v>
      </c>
    </row>
    <row r="818" spans="1:6" ht="13.5" customHeight="1" x14ac:dyDescent="0.3">
      <c r="A818" s="19">
        <v>44608</v>
      </c>
      <c r="B818" s="20">
        <v>161.05000000000001</v>
      </c>
      <c r="C818" s="20">
        <v>1198.18</v>
      </c>
      <c r="D818" s="20">
        <v>184.62</v>
      </c>
      <c r="E818" s="20">
        <v>403.8</v>
      </c>
      <c r="F818" s="20">
        <v>47719.56</v>
      </c>
    </row>
    <row r="819" spans="1:6" ht="13.5" customHeight="1" x14ac:dyDescent="0.3">
      <c r="A819" s="21">
        <v>44609</v>
      </c>
      <c r="B819" s="22">
        <v>161.21</v>
      </c>
      <c r="C819" s="22">
        <v>1174.53</v>
      </c>
      <c r="D819" s="22">
        <v>189.79</v>
      </c>
      <c r="E819" s="22">
        <v>407.88</v>
      </c>
      <c r="F819" s="22">
        <v>47300.6</v>
      </c>
    </row>
    <row r="820" spans="1:6" ht="13.5" customHeight="1" x14ac:dyDescent="0.3">
      <c r="A820" s="19">
        <v>44610</v>
      </c>
      <c r="B820" s="20">
        <v>160.6</v>
      </c>
      <c r="C820" s="20">
        <v>1158.3499999999999</v>
      </c>
      <c r="D820" s="20">
        <v>189.26</v>
      </c>
      <c r="E820" s="20">
        <v>410.49</v>
      </c>
      <c r="F820" s="20">
        <v>46780.800000000003</v>
      </c>
    </row>
    <row r="821" spans="1:6" ht="13.5" customHeight="1" x14ac:dyDescent="0.3">
      <c r="A821" s="21">
        <v>44613</v>
      </c>
      <c r="B821" s="22">
        <v>160.54</v>
      </c>
      <c r="C821" s="22">
        <v>1141.6300000000001</v>
      </c>
      <c r="D821" s="22">
        <v>189.56</v>
      </c>
      <c r="E821" s="22">
        <v>418.17</v>
      </c>
      <c r="F821" s="22">
        <v>47394.02</v>
      </c>
    </row>
    <row r="822" spans="1:6" ht="13.5" customHeight="1" x14ac:dyDescent="0.3">
      <c r="A822" s="19">
        <v>44614</v>
      </c>
      <c r="B822" s="20">
        <v>157.11000000000001</v>
      </c>
      <c r="C822" s="20">
        <v>1115.3</v>
      </c>
      <c r="D822" s="20">
        <v>184.24</v>
      </c>
      <c r="E822" s="20">
        <v>412.23</v>
      </c>
      <c r="F822" s="20">
        <v>46643.28</v>
      </c>
    </row>
    <row r="823" spans="1:6" ht="13.5" customHeight="1" x14ac:dyDescent="0.3">
      <c r="A823" s="21">
        <v>44615</v>
      </c>
      <c r="B823" s="22">
        <v>157.97</v>
      </c>
      <c r="C823" s="22">
        <v>1131.47</v>
      </c>
      <c r="D823" s="22">
        <v>182.55</v>
      </c>
      <c r="E823" s="22">
        <v>406.37</v>
      </c>
      <c r="F823" s="22">
        <v>46703.32</v>
      </c>
    </row>
    <row r="824" spans="1:6" ht="13.5" customHeight="1" x14ac:dyDescent="0.3">
      <c r="A824" s="19">
        <v>44616</v>
      </c>
      <c r="B824" s="20">
        <v>156.02000000000001</v>
      </c>
      <c r="C824" s="20">
        <v>1153.6500000000001</v>
      </c>
      <c r="D824" s="20">
        <v>183.33</v>
      </c>
      <c r="E824" s="20">
        <v>406.97</v>
      </c>
      <c r="F824" s="20">
        <v>46978.98</v>
      </c>
    </row>
    <row r="825" spans="1:6" ht="13.5" customHeight="1" x14ac:dyDescent="0.3">
      <c r="A825" s="21">
        <v>44617</v>
      </c>
      <c r="B825" s="22">
        <v>154</v>
      </c>
      <c r="C825" s="22">
        <v>1166.83</v>
      </c>
      <c r="D825" s="22">
        <v>182.39</v>
      </c>
      <c r="E825" s="22">
        <v>402.33</v>
      </c>
      <c r="F825" s="22">
        <v>47191.89</v>
      </c>
    </row>
    <row r="826" spans="1:6" ht="13.5" customHeight="1" x14ac:dyDescent="0.3">
      <c r="A826" s="19">
        <v>44620</v>
      </c>
      <c r="B826" s="20">
        <v>150.66</v>
      </c>
      <c r="C826" s="20">
        <v>1155.1500000000001</v>
      </c>
      <c r="D826" s="20">
        <v>179.95</v>
      </c>
      <c r="E826" s="20">
        <v>414.29</v>
      </c>
      <c r="F826" s="20">
        <v>47329.79</v>
      </c>
    </row>
    <row r="827" spans="1:6" ht="13.5" customHeight="1" x14ac:dyDescent="0.3">
      <c r="A827" s="21">
        <v>44621</v>
      </c>
      <c r="B827" s="22">
        <v>153.13</v>
      </c>
      <c r="C827" s="22">
        <v>1144.9000000000001</v>
      </c>
      <c r="D827" s="22">
        <v>184.04</v>
      </c>
      <c r="E827" s="22">
        <v>415.91</v>
      </c>
      <c r="F827" s="22">
        <v>47272.01</v>
      </c>
    </row>
    <row r="828" spans="1:6" ht="13.5" customHeight="1" x14ac:dyDescent="0.3">
      <c r="A828" s="19">
        <v>44622</v>
      </c>
      <c r="B828" s="20">
        <v>152.88</v>
      </c>
      <c r="C828" s="20">
        <v>1136.69</v>
      </c>
      <c r="D828" s="20">
        <v>188.76</v>
      </c>
      <c r="E828" s="20">
        <v>422.82</v>
      </c>
      <c r="F828" s="20">
        <v>46029.93</v>
      </c>
    </row>
    <row r="829" spans="1:6" ht="13.5" customHeight="1" x14ac:dyDescent="0.3">
      <c r="A829" s="21">
        <v>44623</v>
      </c>
      <c r="B829" s="22">
        <v>155.37</v>
      </c>
      <c r="C829" s="22">
        <v>1159.68</v>
      </c>
      <c r="D829" s="22">
        <v>185.66</v>
      </c>
      <c r="E829" s="22">
        <v>415.06</v>
      </c>
      <c r="F829" s="22">
        <v>46037.599999999999</v>
      </c>
    </row>
    <row r="830" spans="1:6" ht="13.5" customHeight="1" x14ac:dyDescent="0.3">
      <c r="A830" s="19">
        <v>44624</v>
      </c>
      <c r="B830" s="20">
        <v>156</v>
      </c>
      <c r="C830" s="20">
        <v>1171.1500000000001</v>
      </c>
      <c r="D830" s="20">
        <v>186.02</v>
      </c>
      <c r="E830" s="20">
        <v>419.89</v>
      </c>
      <c r="F830" s="20">
        <v>45794.84</v>
      </c>
    </row>
    <row r="831" spans="1:6" ht="13.5" customHeight="1" x14ac:dyDescent="0.3">
      <c r="A831" s="21">
        <v>44627</v>
      </c>
      <c r="B831" s="22">
        <v>152.37</v>
      </c>
      <c r="C831" s="22">
        <v>1207.76</v>
      </c>
      <c r="D831" s="22">
        <v>184.84</v>
      </c>
      <c r="E831" s="22">
        <v>439.84</v>
      </c>
      <c r="F831" s="22">
        <v>45125.33</v>
      </c>
    </row>
    <row r="832" spans="1:6" ht="13.5" customHeight="1" x14ac:dyDescent="0.3">
      <c r="A832" s="19">
        <v>44628</v>
      </c>
      <c r="B832" s="20">
        <v>150.13</v>
      </c>
      <c r="C832" s="20">
        <v>1187.83</v>
      </c>
      <c r="D832" s="20">
        <v>189.23</v>
      </c>
      <c r="E832" s="20">
        <v>439.6</v>
      </c>
      <c r="F832" s="20">
        <v>45881.97</v>
      </c>
    </row>
    <row r="833" spans="1:6" ht="13.5" customHeight="1" x14ac:dyDescent="0.3">
      <c r="A833" s="21">
        <v>44629</v>
      </c>
      <c r="B833" s="22">
        <v>151.75</v>
      </c>
      <c r="C833" s="22">
        <v>1183.81</v>
      </c>
      <c r="D833" s="22">
        <v>190.02</v>
      </c>
      <c r="E833" s="22">
        <v>430.49</v>
      </c>
      <c r="F833" s="22">
        <v>46552.51</v>
      </c>
    </row>
    <row r="834" spans="1:6" ht="13.5" customHeight="1" x14ac:dyDescent="0.3">
      <c r="A834" s="19">
        <v>44630</v>
      </c>
      <c r="B834" s="20">
        <v>150.19</v>
      </c>
      <c r="C834" s="20">
        <v>1158.19</v>
      </c>
      <c r="D834" s="20">
        <v>191.88</v>
      </c>
      <c r="E834" s="20">
        <v>439.96</v>
      </c>
      <c r="F834" s="20">
        <v>46372.09</v>
      </c>
    </row>
    <row r="835" spans="1:6" ht="13.5" customHeight="1" x14ac:dyDescent="0.3">
      <c r="A835" s="21">
        <v>44631</v>
      </c>
      <c r="B835" s="22">
        <v>147.97</v>
      </c>
      <c r="C835" s="22">
        <v>1129.93</v>
      </c>
      <c r="D835" s="22">
        <v>189.13</v>
      </c>
      <c r="E835" s="22">
        <v>436.23</v>
      </c>
      <c r="F835" s="22">
        <v>46576.59</v>
      </c>
    </row>
    <row r="836" spans="1:6" ht="13.5" customHeight="1" x14ac:dyDescent="0.3">
      <c r="A836" s="19">
        <v>44634</v>
      </c>
      <c r="B836" s="20">
        <v>147.65</v>
      </c>
      <c r="C836" s="20">
        <v>1127.5</v>
      </c>
      <c r="D836" s="20">
        <v>193.16</v>
      </c>
      <c r="E836" s="20">
        <v>425.81</v>
      </c>
      <c r="F836" s="20">
        <v>46595.21</v>
      </c>
    </row>
    <row r="837" spans="1:6" ht="13.5" customHeight="1" x14ac:dyDescent="0.3">
      <c r="A837" s="21">
        <v>44635</v>
      </c>
      <c r="B837" s="22">
        <v>147.33000000000001</v>
      </c>
      <c r="C837" s="22">
        <v>1121.5</v>
      </c>
      <c r="D837" s="22">
        <v>192.33</v>
      </c>
      <c r="E837" s="22">
        <v>416.94</v>
      </c>
      <c r="F837" s="22">
        <v>45613.4</v>
      </c>
    </row>
    <row r="838" spans="1:6" ht="13.5" customHeight="1" x14ac:dyDescent="0.3">
      <c r="A838" s="19">
        <v>44636</v>
      </c>
      <c r="B838" s="20">
        <v>145.31</v>
      </c>
      <c r="C838" s="20">
        <v>1112.02</v>
      </c>
      <c r="D838" s="20">
        <v>198.05</v>
      </c>
      <c r="E838" s="20">
        <v>407.83</v>
      </c>
      <c r="F838" s="20">
        <v>45407.32</v>
      </c>
    </row>
    <row r="839" spans="1:6" ht="13.5" customHeight="1" x14ac:dyDescent="0.3">
      <c r="A839" s="21">
        <v>44637</v>
      </c>
      <c r="B839" s="22">
        <v>144.69999999999999</v>
      </c>
      <c r="C839" s="22">
        <v>1082.58</v>
      </c>
      <c r="D839" s="22">
        <v>201.53</v>
      </c>
      <c r="E839" s="22">
        <v>412.05</v>
      </c>
      <c r="F839" s="22">
        <v>45871.8</v>
      </c>
    </row>
    <row r="840" spans="1:6" ht="13.5" customHeight="1" x14ac:dyDescent="0.3">
      <c r="A840" s="19">
        <v>44638</v>
      </c>
      <c r="B840" s="20">
        <v>143.79</v>
      </c>
      <c r="C840" s="20">
        <v>1086.98</v>
      </c>
      <c r="D840" s="20">
        <v>199.55</v>
      </c>
      <c r="E840" s="20">
        <v>405.63</v>
      </c>
      <c r="F840" s="20">
        <v>45830.54</v>
      </c>
    </row>
    <row r="841" spans="1:6" ht="13.5" customHeight="1" x14ac:dyDescent="0.3">
      <c r="A841" s="21">
        <v>44641</v>
      </c>
      <c r="B841" s="22">
        <v>138.66999999999999</v>
      </c>
      <c r="C841" s="22">
        <v>1082.19</v>
      </c>
      <c r="D841" s="22">
        <v>201.28</v>
      </c>
      <c r="E841" s="22">
        <v>399.16</v>
      </c>
      <c r="F841" s="22">
        <v>45328.52</v>
      </c>
    </row>
    <row r="842" spans="1:6" ht="13.5" customHeight="1" x14ac:dyDescent="0.3">
      <c r="A842" s="19">
        <v>44642</v>
      </c>
      <c r="B842" s="20">
        <v>139.68</v>
      </c>
      <c r="C842" s="20">
        <v>1100.3</v>
      </c>
      <c r="D842" s="20">
        <v>202.13</v>
      </c>
      <c r="E842" s="20">
        <v>396.54</v>
      </c>
      <c r="F842" s="20">
        <v>45926.080000000002</v>
      </c>
    </row>
    <row r="843" spans="1:6" ht="13.5" customHeight="1" x14ac:dyDescent="0.3">
      <c r="A843" s="21">
        <v>44643</v>
      </c>
      <c r="B843" s="22">
        <v>138.16</v>
      </c>
      <c r="C843" s="22">
        <v>1111.6300000000001</v>
      </c>
      <c r="D843" s="22">
        <v>201.51</v>
      </c>
      <c r="E843" s="22">
        <v>399.92</v>
      </c>
      <c r="F843" s="22">
        <v>46124.4</v>
      </c>
    </row>
    <row r="844" spans="1:6" ht="13.5" customHeight="1" x14ac:dyDescent="0.3">
      <c r="A844" s="19">
        <v>44644</v>
      </c>
      <c r="B844" s="20">
        <v>140.69999999999999</v>
      </c>
      <c r="C844" s="20">
        <v>1086.58</v>
      </c>
      <c r="D844" s="20">
        <v>203.97</v>
      </c>
      <c r="E844" s="20">
        <v>406.84</v>
      </c>
      <c r="F844" s="20">
        <v>45534.35</v>
      </c>
    </row>
    <row r="845" spans="1:6" ht="13.5" customHeight="1" x14ac:dyDescent="0.3">
      <c r="A845" s="21">
        <v>44645</v>
      </c>
      <c r="B845" s="22">
        <v>138.5</v>
      </c>
      <c r="C845" s="22">
        <v>1094.81</v>
      </c>
      <c r="D845" s="22">
        <v>203.97</v>
      </c>
      <c r="E845" s="22">
        <v>416.51</v>
      </c>
      <c r="F845" s="22">
        <v>45256.74</v>
      </c>
    </row>
    <row r="846" spans="1:6" ht="13.5" customHeight="1" x14ac:dyDescent="0.3">
      <c r="A846" s="19">
        <v>44648</v>
      </c>
      <c r="B846" s="20">
        <v>135.51</v>
      </c>
      <c r="C846" s="20">
        <v>1083.8900000000001</v>
      </c>
      <c r="D846" s="20">
        <v>204.14</v>
      </c>
      <c r="E846" s="20">
        <v>414.1</v>
      </c>
      <c r="F846" s="20">
        <v>45056.12</v>
      </c>
    </row>
    <row r="847" spans="1:6" ht="13.5" customHeight="1" x14ac:dyDescent="0.3">
      <c r="A847" s="21">
        <v>44649</v>
      </c>
      <c r="B847" s="22">
        <v>137.79</v>
      </c>
      <c r="C847" s="22">
        <v>1113.8399999999999</v>
      </c>
      <c r="D847" s="22">
        <v>202.19</v>
      </c>
      <c r="E847" s="22">
        <v>422.25</v>
      </c>
      <c r="F847" s="22">
        <v>44569.58</v>
      </c>
    </row>
    <row r="848" spans="1:6" ht="13.5" customHeight="1" x14ac:dyDescent="0.3">
      <c r="A848" s="19">
        <v>44650</v>
      </c>
      <c r="B848" s="20">
        <v>134.80000000000001</v>
      </c>
      <c r="C848" s="20">
        <v>1113.92</v>
      </c>
      <c r="D848" s="20">
        <v>199.9</v>
      </c>
      <c r="E848" s="20">
        <v>416.17</v>
      </c>
      <c r="F848" s="20">
        <v>44969.61</v>
      </c>
    </row>
    <row r="849" spans="1:6" ht="13.5" customHeight="1" x14ac:dyDescent="0.3">
      <c r="A849" s="21">
        <v>44651</v>
      </c>
      <c r="B849" s="22">
        <v>133.66</v>
      </c>
      <c r="C849" s="22">
        <v>1104.69</v>
      </c>
      <c r="D849" s="22">
        <v>200.22</v>
      </c>
      <c r="E849" s="22">
        <v>429.82</v>
      </c>
      <c r="F849" s="22">
        <v>44709.27</v>
      </c>
    </row>
    <row r="850" spans="1:6" ht="13.5" customHeight="1" x14ac:dyDescent="0.3">
      <c r="A850" s="19">
        <v>44652</v>
      </c>
      <c r="B850" s="20">
        <v>134.81</v>
      </c>
      <c r="C850" s="20">
        <v>1097.42</v>
      </c>
      <c r="D850" s="20">
        <v>200.86</v>
      </c>
      <c r="E850" s="20">
        <v>435.06</v>
      </c>
      <c r="F850" s="20">
        <v>44794.68</v>
      </c>
    </row>
    <row r="851" spans="1:6" ht="13.5" customHeight="1" x14ac:dyDescent="0.3">
      <c r="A851" s="21">
        <v>44655</v>
      </c>
      <c r="B851" s="22">
        <v>134.22999999999999</v>
      </c>
      <c r="C851" s="22">
        <v>1069.03</v>
      </c>
      <c r="D851" s="22">
        <v>204.34</v>
      </c>
      <c r="E851" s="22">
        <v>437.45</v>
      </c>
      <c r="F851" s="22">
        <v>45716.85</v>
      </c>
    </row>
    <row r="852" spans="1:6" ht="13.5" customHeight="1" x14ac:dyDescent="0.3">
      <c r="A852" s="19">
        <v>44656</v>
      </c>
      <c r="B852" s="20">
        <v>131.19999999999999</v>
      </c>
      <c r="C852" s="20">
        <v>1093.69</v>
      </c>
      <c r="D852" s="20">
        <v>200.07</v>
      </c>
      <c r="E852" s="20">
        <v>424.53</v>
      </c>
      <c r="F852" s="20">
        <v>45386.3</v>
      </c>
    </row>
    <row r="853" spans="1:6" ht="13.5" customHeight="1" x14ac:dyDescent="0.3">
      <c r="A853" s="21">
        <v>44657</v>
      </c>
      <c r="B853" s="22">
        <v>131.58000000000001</v>
      </c>
      <c r="C853" s="22">
        <v>1135.23</v>
      </c>
      <c r="D853" s="22">
        <v>200.5</v>
      </c>
      <c r="E853" s="22">
        <v>432.55</v>
      </c>
      <c r="F853" s="22">
        <v>44834.82</v>
      </c>
    </row>
    <row r="854" spans="1:6" ht="13.5" customHeight="1" x14ac:dyDescent="0.3">
      <c r="A854" s="19">
        <v>44658</v>
      </c>
      <c r="B854" s="20">
        <v>131.27000000000001</v>
      </c>
      <c r="C854" s="20">
        <v>1101.27</v>
      </c>
      <c r="D854" s="20">
        <v>205.61</v>
      </c>
      <c r="E854" s="20">
        <v>428.93</v>
      </c>
      <c r="F854" s="20">
        <v>44851.43</v>
      </c>
    </row>
    <row r="855" spans="1:6" ht="13.5" customHeight="1" x14ac:dyDescent="0.3">
      <c r="A855" s="21">
        <v>44659</v>
      </c>
      <c r="B855" s="22">
        <v>133.63999999999999</v>
      </c>
      <c r="C855" s="22">
        <v>1097.03</v>
      </c>
      <c r="D855" s="22">
        <v>203.5</v>
      </c>
      <c r="E855" s="22">
        <v>424.18</v>
      </c>
      <c r="F855" s="22">
        <v>44637.95</v>
      </c>
    </row>
    <row r="856" spans="1:6" ht="13.5" customHeight="1" x14ac:dyDescent="0.3">
      <c r="A856" s="19">
        <v>44662</v>
      </c>
      <c r="B856" s="20">
        <v>134.78</v>
      </c>
      <c r="C856" s="20">
        <v>1095.55</v>
      </c>
      <c r="D856" s="20">
        <v>200.24</v>
      </c>
      <c r="E856" s="20">
        <v>417.8</v>
      </c>
      <c r="F856" s="20">
        <v>44484.72</v>
      </c>
    </row>
    <row r="857" spans="1:6" ht="13.5" customHeight="1" x14ac:dyDescent="0.3">
      <c r="A857" s="21">
        <v>44663</v>
      </c>
      <c r="B857" s="22">
        <v>140.49</v>
      </c>
      <c r="C857" s="22">
        <v>1084.72</v>
      </c>
      <c r="D857" s="22">
        <v>197.39</v>
      </c>
      <c r="E857" s="22">
        <v>413.21</v>
      </c>
      <c r="F857" s="22">
        <v>44040.73</v>
      </c>
    </row>
    <row r="858" spans="1:6" ht="13.5" customHeight="1" x14ac:dyDescent="0.3">
      <c r="A858" s="19">
        <v>44664</v>
      </c>
      <c r="B858" s="20">
        <v>137.33000000000001</v>
      </c>
      <c r="C858" s="20">
        <v>1108.6600000000001</v>
      </c>
      <c r="D858" s="20">
        <v>199.93</v>
      </c>
      <c r="E858" s="20">
        <v>417.26</v>
      </c>
      <c r="F858" s="20">
        <v>43282.73</v>
      </c>
    </row>
    <row r="859" spans="1:6" ht="13.5" customHeight="1" x14ac:dyDescent="0.3">
      <c r="A859" s="21">
        <v>44665</v>
      </c>
      <c r="B859" s="22">
        <v>137.33000000000001</v>
      </c>
      <c r="C859" s="22">
        <v>1133.71</v>
      </c>
      <c r="D859" s="22">
        <v>196.02</v>
      </c>
      <c r="E859" s="22">
        <v>420.83</v>
      </c>
      <c r="F859" s="22">
        <v>43104.99</v>
      </c>
    </row>
    <row r="860" spans="1:6" ht="13.5" customHeight="1" x14ac:dyDescent="0.3">
      <c r="A860" s="19">
        <v>44666</v>
      </c>
      <c r="B860" s="20">
        <v>135.35</v>
      </c>
      <c r="C860" s="20">
        <v>1129.48</v>
      </c>
      <c r="D860" s="20">
        <v>196.16</v>
      </c>
      <c r="E860" s="20">
        <v>421.45</v>
      </c>
      <c r="F860" s="20">
        <v>42488.38</v>
      </c>
    </row>
    <row r="861" spans="1:6" ht="13.5" customHeight="1" x14ac:dyDescent="0.3">
      <c r="A861" s="21">
        <v>44669</v>
      </c>
      <c r="B861" s="22">
        <v>137.56</v>
      </c>
      <c r="C861" s="22">
        <v>1171.42</v>
      </c>
      <c r="D861" s="22">
        <v>194.17</v>
      </c>
      <c r="E861" s="22">
        <v>436.57</v>
      </c>
      <c r="F861" s="22">
        <v>41972.85</v>
      </c>
    </row>
    <row r="862" spans="1:6" ht="13.5" customHeight="1" x14ac:dyDescent="0.3">
      <c r="A862" s="19">
        <v>44670</v>
      </c>
      <c r="B862" s="20">
        <v>139.16999999999999</v>
      </c>
      <c r="C862" s="20">
        <v>1172.79</v>
      </c>
      <c r="D862" s="20">
        <v>192.49</v>
      </c>
      <c r="E862" s="20">
        <v>426.47</v>
      </c>
      <c r="F862" s="20">
        <v>43339.42</v>
      </c>
    </row>
    <row r="863" spans="1:6" ht="13.5" customHeight="1" x14ac:dyDescent="0.3">
      <c r="A863" s="21">
        <v>44671</v>
      </c>
      <c r="B863" s="22">
        <v>140.66</v>
      </c>
      <c r="C863" s="22">
        <v>1168.48</v>
      </c>
      <c r="D863" s="22">
        <v>191.64</v>
      </c>
      <c r="E863" s="22">
        <v>428.98</v>
      </c>
      <c r="F863" s="22">
        <v>44545.64</v>
      </c>
    </row>
    <row r="864" spans="1:6" ht="13.5" customHeight="1" x14ac:dyDescent="0.3">
      <c r="A864" s="19">
        <v>44672</v>
      </c>
      <c r="B864" s="20">
        <v>139.19</v>
      </c>
      <c r="C864" s="20">
        <v>1174.95</v>
      </c>
      <c r="D864" s="20">
        <v>190.58</v>
      </c>
      <c r="E864" s="20">
        <v>418.41</v>
      </c>
      <c r="F864" s="20">
        <v>45762.02</v>
      </c>
    </row>
    <row r="865" spans="1:6" ht="13.5" customHeight="1" x14ac:dyDescent="0.3">
      <c r="A865" s="21">
        <v>44673</v>
      </c>
      <c r="B865" s="22">
        <v>137.80000000000001</v>
      </c>
      <c r="C865" s="22">
        <v>1160.19</v>
      </c>
      <c r="D865" s="22">
        <v>189.56</v>
      </c>
      <c r="E865" s="22">
        <v>423.07</v>
      </c>
      <c r="F865" s="22">
        <v>45618.67</v>
      </c>
    </row>
    <row r="866" spans="1:6" ht="13.5" customHeight="1" x14ac:dyDescent="0.3">
      <c r="A866" s="19">
        <v>44676</v>
      </c>
      <c r="B866" s="20">
        <v>133.97</v>
      </c>
      <c r="C866" s="20">
        <v>1190.6099999999999</v>
      </c>
      <c r="D866" s="20">
        <v>189.47</v>
      </c>
      <c r="E866" s="20">
        <v>427.86</v>
      </c>
      <c r="F866" s="20">
        <v>45066.78</v>
      </c>
    </row>
    <row r="867" spans="1:6" ht="13.5" customHeight="1" x14ac:dyDescent="0.3">
      <c r="A867" s="21">
        <v>44677</v>
      </c>
      <c r="B867" s="22">
        <v>137.18</v>
      </c>
      <c r="C867" s="22">
        <v>1204.27</v>
      </c>
      <c r="D867" s="22">
        <v>190.35</v>
      </c>
      <c r="E867" s="22">
        <v>429.16</v>
      </c>
      <c r="F867" s="22">
        <v>45366.33</v>
      </c>
    </row>
    <row r="868" spans="1:6" ht="13.5" customHeight="1" x14ac:dyDescent="0.3">
      <c r="A868" s="19">
        <v>44678</v>
      </c>
      <c r="B868" s="20">
        <v>138.19</v>
      </c>
      <c r="C868" s="20">
        <v>1197.45</v>
      </c>
      <c r="D868" s="20">
        <v>189.06</v>
      </c>
      <c r="E868" s="20">
        <v>433.47</v>
      </c>
      <c r="F868" s="20">
        <v>44853.21</v>
      </c>
    </row>
    <row r="869" spans="1:6" ht="13.5" customHeight="1" x14ac:dyDescent="0.3">
      <c r="A869" s="21">
        <v>44679</v>
      </c>
      <c r="B869" s="22">
        <v>137.74</v>
      </c>
      <c r="C869" s="22">
        <v>1194.24</v>
      </c>
      <c r="D869" s="22">
        <v>190.54</v>
      </c>
      <c r="E869" s="22">
        <v>438.46</v>
      </c>
      <c r="F869" s="22">
        <v>44728.7</v>
      </c>
    </row>
    <row r="870" spans="1:6" ht="13.5" customHeight="1" x14ac:dyDescent="0.3">
      <c r="A870" s="19">
        <v>44680</v>
      </c>
      <c r="B870" s="20">
        <v>139.56</v>
      </c>
      <c r="C870" s="20">
        <v>1175.83</v>
      </c>
      <c r="D870" s="20">
        <v>189.18</v>
      </c>
      <c r="E870" s="20">
        <v>442.68</v>
      </c>
      <c r="F870" s="20">
        <v>44271.85</v>
      </c>
    </row>
    <row r="871" spans="1:6" ht="13.5" customHeight="1" x14ac:dyDescent="0.3">
      <c r="A871" s="21">
        <v>44683</v>
      </c>
      <c r="B871" s="22">
        <v>141.06</v>
      </c>
      <c r="C871" s="22">
        <v>1181.98</v>
      </c>
      <c r="D871" s="22">
        <v>187.9</v>
      </c>
      <c r="E871" s="22">
        <v>431.31</v>
      </c>
      <c r="F871" s="22">
        <v>44736.39</v>
      </c>
    </row>
    <row r="872" spans="1:6" ht="13.5" customHeight="1" x14ac:dyDescent="0.3">
      <c r="A872" s="19">
        <v>44684</v>
      </c>
      <c r="B872" s="20">
        <v>143.01</v>
      </c>
      <c r="C872" s="20">
        <v>1155.71</v>
      </c>
      <c r="D872" s="20">
        <v>188.1</v>
      </c>
      <c r="E872" s="20">
        <v>438.67</v>
      </c>
      <c r="F872" s="20">
        <v>44698.39</v>
      </c>
    </row>
    <row r="873" spans="1:6" ht="13.5" customHeight="1" x14ac:dyDescent="0.3">
      <c r="A873" s="21">
        <v>44685</v>
      </c>
      <c r="B873" s="22">
        <v>139.84</v>
      </c>
      <c r="C873" s="22">
        <v>1156.46</v>
      </c>
      <c r="D873" s="22">
        <v>183.09</v>
      </c>
      <c r="E873" s="22">
        <v>453.38</v>
      </c>
      <c r="F873" s="22">
        <v>44878.2</v>
      </c>
    </row>
    <row r="874" spans="1:6" ht="13.5" customHeight="1" x14ac:dyDescent="0.3">
      <c r="A874" s="19">
        <v>44686</v>
      </c>
      <c r="B874" s="20">
        <v>138.5</v>
      </c>
      <c r="C874" s="20">
        <v>1146.5999999999999</v>
      </c>
      <c r="D874" s="20">
        <v>180.79</v>
      </c>
      <c r="E874" s="20">
        <v>463.22</v>
      </c>
      <c r="F874" s="20">
        <v>44585.33</v>
      </c>
    </row>
    <row r="875" spans="1:6" ht="13.5" customHeight="1" x14ac:dyDescent="0.3">
      <c r="A875" s="21">
        <v>44687</v>
      </c>
      <c r="B875" s="22">
        <v>138.91999999999999</v>
      </c>
      <c r="C875" s="22">
        <v>1158.75</v>
      </c>
      <c r="D875" s="22">
        <v>178.96</v>
      </c>
      <c r="E875" s="22">
        <v>461.16</v>
      </c>
      <c r="F875" s="22">
        <v>44500.99</v>
      </c>
    </row>
    <row r="876" spans="1:6" ht="13.5" customHeight="1" x14ac:dyDescent="0.3">
      <c r="A876" s="19">
        <v>44690</v>
      </c>
      <c r="B876" s="20">
        <v>139.65</v>
      </c>
      <c r="C876" s="20">
        <v>1180.75</v>
      </c>
      <c r="D876" s="20">
        <v>176.15</v>
      </c>
      <c r="E876" s="20">
        <v>478.52</v>
      </c>
      <c r="F876" s="20">
        <v>43602.12</v>
      </c>
    </row>
    <row r="877" spans="1:6" ht="13.5" customHeight="1" x14ac:dyDescent="0.3">
      <c r="A877" s="21">
        <v>44691</v>
      </c>
      <c r="B877" s="22">
        <v>141.54</v>
      </c>
      <c r="C877" s="22">
        <v>1197.8399999999999</v>
      </c>
      <c r="D877" s="22">
        <v>175.58</v>
      </c>
      <c r="E877" s="22">
        <v>480.98</v>
      </c>
      <c r="F877" s="22">
        <v>43567.88</v>
      </c>
    </row>
    <row r="878" spans="1:6" ht="13.5" customHeight="1" x14ac:dyDescent="0.3">
      <c r="A878" s="19">
        <v>44692</v>
      </c>
      <c r="B878" s="20">
        <v>139.61000000000001</v>
      </c>
      <c r="C878" s="20">
        <v>1195.96</v>
      </c>
      <c r="D878" s="20">
        <v>173.62</v>
      </c>
      <c r="E878" s="20">
        <v>491.87</v>
      </c>
      <c r="F878" s="20">
        <v>43428.91</v>
      </c>
    </row>
    <row r="879" spans="1:6" ht="13.5" customHeight="1" x14ac:dyDescent="0.3">
      <c r="A879" s="21">
        <v>44693</v>
      </c>
      <c r="B879" s="22">
        <v>139.9</v>
      </c>
      <c r="C879" s="22">
        <v>1181.71</v>
      </c>
      <c r="D879" s="22">
        <v>171.2</v>
      </c>
      <c r="E879" s="22">
        <v>498.45</v>
      </c>
      <c r="F879" s="22">
        <v>43649.59</v>
      </c>
    </row>
    <row r="880" spans="1:6" ht="13.5" customHeight="1" x14ac:dyDescent="0.3">
      <c r="A880" s="19">
        <v>44694</v>
      </c>
      <c r="B880" s="20">
        <v>144.22</v>
      </c>
      <c r="C880" s="20">
        <v>1176.1600000000001</v>
      </c>
      <c r="D880" s="20">
        <v>174.01</v>
      </c>
      <c r="E880" s="20">
        <v>512.28</v>
      </c>
      <c r="F880" s="20">
        <v>43432.55</v>
      </c>
    </row>
    <row r="881" spans="1:6" ht="13.5" customHeight="1" x14ac:dyDescent="0.3">
      <c r="A881" s="21">
        <v>44697</v>
      </c>
      <c r="B881" s="22">
        <v>145.65</v>
      </c>
      <c r="C881" s="22">
        <v>1176.52</v>
      </c>
      <c r="D881" s="22">
        <v>179.78</v>
      </c>
      <c r="E881" s="22">
        <v>497.11</v>
      </c>
      <c r="F881" s="22">
        <v>42958.45</v>
      </c>
    </row>
    <row r="882" spans="1:6" ht="13.5" customHeight="1" x14ac:dyDescent="0.3">
      <c r="A882" s="19">
        <v>44698</v>
      </c>
      <c r="B882" s="20">
        <v>147.44999999999999</v>
      </c>
      <c r="C882" s="20">
        <v>1187.3499999999999</v>
      </c>
      <c r="D882" s="20">
        <v>182.67</v>
      </c>
      <c r="E882" s="20">
        <v>489.89</v>
      </c>
      <c r="F882" s="20">
        <v>43011.89</v>
      </c>
    </row>
    <row r="883" spans="1:6" ht="13.5" customHeight="1" x14ac:dyDescent="0.3">
      <c r="A883" s="21">
        <v>44699</v>
      </c>
      <c r="B883" s="22">
        <v>147.46</v>
      </c>
      <c r="C883" s="22">
        <v>1176.1500000000001</v>
      </c>
      <c r="D883" s="22">
        <v>183.6</v>
      </c>
      <c r="E883" s="22">
        <v>494.98</v>
      </c>
      <c r="F883" s="22">
        <v>43739.47</v>
      </c>
    </row>
    <row r="884" spans="1:6" ht="13.5" customHeight="1" x14ac:dyDescent="0.3">
      <c r="A884" s="19">
        <v>44700</v>
      </c>
      <c r="B884" s="20">
        <v>149.08000000000001</v>
      </c>
      <c r="C884" s="20">
        <v>1156.79</v>
      </c>
      <c r="D884" s="20">
        <v>186.92</v>
      </c>
      <c r="E884" s="20">
        <v>492.98</v>
      </c>
      <c r="F884" s="20">
        <v>43683.82</v>
      </c>
    </row>
    <row r="885" spans="1:6" ht="13.5" customHeight="1" x14ac:dyDescent="0.3">
      <c r="A885" s="21">
        <v>44701</v>
      </c>
      <c r="B885" s="22">
        <v>152.85</v>
      </c>
      <c r="C885" s="22">
        <v>1161.01</v>
      </c>
      <c r="D885" s="22">
        <v>187.92</v>
      </c>
      <c r="E885" s="22">
        <v>489.83</v>
      </c>
      <c r="F885" s="22">
        <v>44582.23</v>
      </c>
    </row>
    <row r="886" spans="1:6" ht="13.5" customHeight="1" x14ac:dyDescent="0.3">
      <c r="A886" s="19">
        <v>44704</v>
      </c>
      <c r="B886" s="20">
        <v>153.13</v>
      </c>
      <c r="C886" s="20">
        <v>1189.53</v>
      </c>
      <c r="D886" s="20">
        <v>187.22</v>
      </c>
      <c r="E886" s="20">
        <v>503.98</v>
      </c>
      <c r="F886" s="20">
        <v>43333.49</v>
      </c>
    </row>
    <row r="887" spans="1:6" ht="13.5" customHeight="1" x14ac:dyDescent="0.3">
      <c r="A887" s="21">
        <v>44705</v>
      </c>
      <c r="B887" s="22">
        <v>155.77000000000001</v>
      </c>
      <c r="C887" s="22">
        <v>1229.52</v>
      </c>
      <c r="D887" s="22">
        <v>187.63</v>
      </c>
      <c r="E887" s="22">
        <v>498.88</v>
      </c>
      <c r="F887" s="22">
        <v>42923.23</v>
      </c>
    </row>
    <row r="888" spans="1:6" ht="13.5" customHeight="1" x14ac:dyDescent="0.3">
      <c r="A888" s="19">
        <v>44706</v>
      </c>
      <c r="B888" s="20">
        <v>153.93</v>
      </c>
      <c r="C888" s="20">
        <v>1247.46</v>
      </c>
      <c r="D888" s="20">
        <v>186.71</v>
      </c>
      <c r="E888" s="20">
        <v>502.03</v>
      </c>
      <c r="F888" s="20">
        <v>42807.54</v>
      </c>
    </row>
    <row r="889" spans="1:6" ht="13.5" customHeight="1" x14ac:dyDescent="0.3">
      <c r="A889" s="21">
        <v>44707</v>
      </c>
      <c r="B889" s="22">
        <v>155.24</v>
      </c>
      <c r="C889" s="22">
        <v>1226.4100000000001</v>
      </c>
      <c r="D889" s="22">
        <v>180.3</v>
      </c>
      <c r="E889" s="22">
        <v>505.84</v>
      </c>
      <c r="F889" s="22">
        <v>42175.839999999997</v>
      </c>
    </row>
    <row r="890" spans="1:6" ht="13.5" customHeight="1" x14ac:dyDescent="0.3">
      <c r="A890" s="19">
        <v>44708</v>
      </c>
      <c r="B890" s="20">
        <v>157.22999999999999</v>
      </c>
      <c r="C890" s="20">
        <v>1257.6099999999999</v>
      </c>
      <c r="D890" s="20">
        <v>177.98</v>
      </c>
      <c r="E890" s="20">
        <v>503.92</v>
      </c>
      <c r="F890" s="20">
        <v>40881.43</v>
      </c>
    </row>
    <row r="891" spans="1:6" ht="13.5" customHeight="1" x14ac:dyDescent="0.3">
      <c r="A891" s="21">
        <v>44711</v>
      </c>
      <c r="B891" s="22">
        <v>155.65</v>
      </c>
      <c r="C891" s="22">
        <v>1239.5999999999999</v>
      </c>
      <c r="D891" s="22">
        <v>175.73</v>
      </c>
      <c r="E891" s="22">
        <v>482.13</v>
      </c>
      <c r="F891" s="22">
        <v>40918.410000000003</v>
      </c>
    </row>
    <row r="892" spans="1:6" ht="13.5" customHeight="1" x14ac:dyDescent="0.3">
      <c r="A892" s="19">
        <v>44712</v>
      </c>
      <c r="B892" s="20">
        <v>158.06</v>
      </c>
      <c r="C892" s="20">
        <v>1223.49</v>
      </c>
      <c r="D892" s="20">
        <v>177.14</v>
      </c>
      <c r="E892" s="20">
        <v>465.4</v>
      </c>
      <c r="F892" s="20">
        <v>40471.43</v>
      </c>
    </row>
    <row r="893" spans="1:6" ht="13.5" customHeight="1" x14ac:dyDescent="0.3">
      <c r="A893" s="21">
        <v>44713</v>
      </c>
      <c r="B893" s="22">
        <v>156.63999999999999</v>
      </c>
      <c r="C893" s="22">
        <v>1233.45</v>
      </c>
      <c r="D893" s="22">
        <v>175.86</v>
      </c>
      <c r="E893" s="22">
        <v>463.34</v>
      </c>
      <c r="F893" s="22">
        <v>40117.24</v>
      </c>
    </row>
    <row r="894" spans="1:6" ht="13.5" customHeight="1" x14ac:dyDescent="0.3">
      <c r="A894" s="19">
        <v>44714</v>
      </c>
      <c r="B894" s="20">
        <v>154.94</v>
      </c>
      <c r="C894" s="20">
        <v>1204.1500000000001</v>
      </c>
      <c r="D894" s="20">
        <v>170.95</v>
      </c>
      <c r="E894" s="20">
        <v>482.84</v>
      </c>
      <c r="F894" s="20">
        <v>40066.980000000003</v>
      </c>
    </row>
    <row r="895" spans="1:6" ht="13.5" customHeight="1" x14ac:dyDescent="0.3">
      <c r="A895" s="21">
        <v>44715</v>
      </c>
      <c r="B895" s="22">
        <v>154.97999999999999</v>
      </c>
      <c r="C895" s="22">
        <v>1221.8900000000001</v>
      </c>
      <c r="D895" s="22">
        <v>170.94</v>
      </c>
      <c r="E895" s="22">
        <v>476.5</v>
      </c>
      <c r="F895" s="22">
        <v>39982.339999999997</v>
      </c>
    </row>
    <row r="896" spans="1:6" ht="13.5" customHeight="1" x14ac:dyDescent="0.3">
      <c r="A896" s="19">
        <v>44718</v>
      </c>
      <c r="B896" s="20">
        <v>159.18</v>
      </c>
      <c r="C896" s="20">
        <v>1221.47</v>
      </c>
      <c r="D896" s="20">
        <v>171.78</v>
      </c>
      <c r="E896" s="20">
        <v>476.51</v>
      </c>
      <c r="F896" s="20">
        <v>39714.730000000003</v>
      </c>
    </row>
    <row r="897" spans="1:6" ht="13.5" customHeight="1" x14ac:dyDescent="0.3">
      <c r="A897" s="21">
        <v>44719</v>
      </c>
      <c r="B897" s="22">
        <v>159.91999999999999</v>
      </c>
      <c r="C897" s="22">
        <v>1230.79</v>
      </c>
      <c r="D897" s="22">
        <v>173.93</v>
      </c>
      <c r="E897" s="22">
        <v>495.45</v>
      </c>
      <c r="F897" s="22">
        <v>40007.85</v>
      </c>
    </row>
    <row r="898" spans="1:6" ht="13.5" customHeight="1" x14ac:dyDescent="0.3">
      <c r="A898" s="19">
        <v>44720</v>
      </c>
      <c r="B898" s="20">
        <v>162.04</v>
      </c>
      <c r="C898" s="20">
        <v>1213.6500000000001</v>
      </c>
      <c r="D898" s="20">
        <v>175</v>
      </c>
      <c r="E898" s="20">
        <v>496.04</v>
      </c>
      <c r="F898" s="20">
        <v>39665.71</v>
      </c>
    </row>
    <row r="899" spans="1:6" ht="13.5" customHeight="1" x14ac:dyDescent="0.3">
      <c r="A899" s="21">
        <v>44721</v>
      </c>
      <c r="B899" s="22">
        <v>160.44999999999999</v>
      </c>
      <c r="C899" s="22">
        <v>1232.49</v>
      </c>
      <c r="D899" s="22">
        <v>181.65</v>
      </c>
      <c r="E899" s="22">
        <v>501.06</v>
      </c>
      <c r="F899" s="22">
        <v>40191.11</v>
      </c>
    </row>
    <row r="900" spans="1:6" ht="13.5" customHeight="1" x14ac:dyDescent="0.3">
      <c r="A900" s="19">
        <v>44722</v>
      </c>
      <c r="B900" s="20">
        <v>160.66999999999999</v>
      </c>
      <c r="C900" s="20">
        <v>1244.3800000000001</v>
      </c>
      <c r="D900" s="20">
        <v>179.24</v>
      </c>
      <c r="E900" s="20">
        <v>504.24</v>
      </c>
      <c r="F900" s="20">
        <v>40763.379999999997</v>
      </c>
    </row>
    <row r="901" spans="1:6" ht="13.5" customHeight="1" x14ac:dyDescent="0.3">
      <c r="A901" s="21">
        <v>44725</v>
      </c>
      <c r="B901" s="22">
        <v>158.1</v>
      </c>
      <c r="C901" s="22">
        <v>1237.1400000000001</v>
      </c>
      <c r="D901" s="22">
        <v>183.03</v>
      </c>
      <c r="E901" s="22">
        <v>496.5</v>
      </c>
      <c r="F901" s="22">
        <v>40046.449999999997</v>
      </c>
    </row>
    <row r="902" spans="1:6" ht="13.5" customHeight="1" x14ac:dyDescent="0.3">
      <c r="A902" s="19">
        <v>44726</v>
      </c>
      <c r="B902" s="20">
        <v>156.9</v>
      </c>
      <c r="C902" s="20">
        <v>1258.51</v>
      </c>
      <c r="D902" s="20">
        <v>185.76</v>
      </c>
      <c r="E902" s="20">
        <v>488.69</v>
      </c>
      <c r="F902" s="20">
        <v>39663.42</v>
      </c>
    </row>
    <row r="903" spans="1:6" ht="13.5" customHeight="1" x14ac:dyDescent="0.3">
      <c r="A903" s="21">
        <v>44727</v>
      </c>
      <c r="B903" s="22">
        <v>158.77000000000001</v>
      </c>
      <c r="C903" s="22">
        <v>1200.2</v>
      </c>
      <c r="D903" s="22">
        <v>183.98</v>
      </c>
      <c r="E903" s="22">
        <v>484.28</v>
      </c>
      <c r="F903" s="22">
        <v>40092.6</v>
      </c>
    </row>
    <row r="904" spans="1:6" ht="13.5" customHeight="1" x14ac:dyDescent="0.3">
      <c r="A904" s="19">
        <v>44728</v>
      </c>
      <c r="B904" s="20">
        <v>158.72999999999999</v>
      </c>
      <c r="C904" s="20">
        <v>1208.5899999999999</v>
      </c>
      <c r="D904" s="20">
        <v>183.68</v>
      </c>
      <c r="E904" s="20">
        <v>484.44</v>
      </c>
      <c r="F904" s="20">
        <v>39528.06</v>
      </c>
    </row>
    <row r="905" spans="1:6" ht="13.5" customHeight="1" x14ac:dyDescent="0.3">
      <c r="A905" s="21">
        <v>44729</v>
      </c>
      <c r="B905" s="22">
        <v>161.97999999999999</v>
      </c>
      <c r="C905" s="22">
        <v>1207.02</v>
      </c>
      <c r="D905" s="22">
        <v>181.59</v>
      </c>
      <c r="E905" s="22">
        <v>477.96</v>
      </c>
      <c r="F905" s="22">
        <v>39283.67</v>
      </c>
    </row>
    <row r="906" spans="1:6" ht="13.5" customHeight="1" x14ac:dyDescent="0.3">
      <c r="A906" s="19">
        <v>44732</v>
      </c>
      <c r="B906" s="20">
        <v>161.57</v>
      </c>
      <c r="C906" s="20">
        <v>1190.81</v>
      </c>
      <c r="D906" s="20">
        <v>181.31</v>
      </c>
      <c r="E906" s="20">
        <v>473.72</v>
      </c>
      <c r="F906" s="20">
        <v>39367.919999999998</v>
      </c>
    </row>
    <row r="907" spans="1:6" ht="13.5" customHeight="1" x14ac:dyDescent="0.3">
      <c r="A907" s="21">
        <v>44733</v>
      </c>
      <c r="B907" s="22">
        <v>161.18</v>
      </c>
      <c r="C907" s="22">
        <v>1195.24</v>
      </c>
      <c r="D907" s="22">
        <v>180.12</v>
      </c>
      <c r="E907" s="22">
        <v>476.28</v>
      </c>
      <c r="F907" s="22">
        <v>39829.14</v>
      </c>
    </row>
    <row r="908" spans="1:6" ht="13.5" customHeight="1" x14ac:dyDescent="0.3">
      <c r="A908" s="19">
        <v>44734</v>
      </c>
      <c r="B908" s="20">
        <v>164.08</v>
      </c>
      <c r="C908" s="20">
        <v>1206.49</v>
      </c>
      <c r="D908" s="20">
        <v>178.93</v>
      </c>
      <c r="E908" s="20">
        <v>487.3</v>
      </c>
      <c r="F908" s="20">
        <v>40373.46</v>
      </c>
    </row>
    <row r="909" spans="1:6" ht="13.5" customHeight="1" x14ac:dyDescent="0.3">
      <c r="A909" s="21">
        <v>44735</v>
      </c>
      <c r="B909" s="22">
        <v>162.66</v>
      </c>
      <c r="C909" s="22">
        <v>1191.52</v>
      </c>
      <c r="D909" s="22">
        <v>178.98</v>
      </c>
      <c r="E909" s="22">
        <v>509.27</v>
      </c>
      <c r="F909" s="22">
        <v>40322.51</v>
      </c>
    </row>
    <row r="910" spans="1:6" ht="13.5" customHeight="1" x14ac:dyDescent="0.3">
      <c r="A910" s="19">
        <v>44736</v>
      </c>
      <c r="B910" s="20">
        <v>159.29</v>
      </c>
      <c r="C910" s="20">
        <v>1189.72</v>
      </c>
      <c r="D910" s="20">
        <v>176.13</v>
      </c>
      <c r="E910" s="20">
        <v>502.66</v>
      </c>
      <c r="F910" s="20">
        <v>40584.19</v>
      </c>
    </row>
    <row r="911" spans="1:6" ht="13.5" customHeight="1" x14ac:dyDescent="0.3">
      <c r="A911" s="21">
        <v>44739</v>
      </c>
      <c r="B911" s="22">
        <v>162.21</v>
      </c>
      <c r="C911" s="22">
        <v>1189.56</v>
      </c>
      <c r="D911" s="22">
        <v>179.32</v>
      </c>
      <c r="E911" s="22">
        <v>505.6</v>
      </c>
      <c r="F911" s="22">
        <v>40750.720000000001</v>
      </c>
    </row>
    <row r="912" spans="1:6" ht="13.5" customHeight="1" x14ac:dyDescent="0.3">
      <c r="A912" s="19">
        <v>44740</v>
      </c>
      <c r="B912" s="20">
        <v>163.19</v>
      </c>
      <c r="C912" s="20">
        <v>1198.51</v>
      </c>
      <c r="D912" s="20">
        <v>181.87</v>
      </c>
      <c r="E912" s="20">
        <v>496.46</v>
      </c>
      <c r="F912" s="20">
        <v>41517.54</v>
      </c>
    </row>
    <row r="913" spans="1:6" ht="13.5" customHeight="1" x14ac:dyDescent="0.3">
      <c r="A913" s="21">
        <v>44741</v>
      </c>
      <c r="B913" s="22">
        <v>158.35</v>
      </c>
      <c r="C913" s="22">
        <v>1225.1600000000001</v>
      </c>
      <c r="D913" s="22">
        <v>179.96</v>
      </c>
      <c r="E913" s="22">
        <v>490.89</v>
      </c>
      <c r="F913" s="22">
        <v>41526.5</v>
      </c>
    </row>
    <row r="914" spans="1:6" ht="13.5" customHeight="1" x14ac:dyDescent="0.3">
      <c r="A914" s="19">
        <v>44742</v>
      </c>
      <c r="B914" s="20">
        <v>158.5</v>
      </c>
      <c r="C914" s="20">
        <v>1215.8599999999999</v>
      </c>
      <c r="D914" s="20">
        <v>182.47</v>
      </c>
      <c r="E914" s="20">
        <v>475.16</v>
      </c>
      <c r="F914" s="20">
        <v>41477.82</v>
      </c>
    </row>
    <row r="915" spans="1:6" ht="13.5" customHeight="1" x14ac:dyDescent="0.3">
      <c r="A915" s="21">
        <v>44743</v>
      </c>
      <c r="B915" s="22">
        <v>157.66</v>
      </c>
      <c r="C915" s="22">
        <v>1244.83</v>
      </c>
      <c r="D915" s="22">
        <v>179.52</v>
      </c>
      <c r="E915" s="22">
        <v>490.89</v>
      </c>
      <c r="F915" s="22">
        <v>41399.949999999997</v>
      </c>
    </row>
    <row r="916" spans="1:6" ht="13.5" customHeight="1" x14ac:dyDescent="0.3">
      <c r="A916" s="19">
        <v>44746</v>
      </c>
      <c r="B916" s="20">
        <v>161.52000000000001</v>
      </c>
      <c r="C916" s="20">
        <v>1216.93</v>
      </c>
      <c r="D916" s="20">
        <v>174.55</v>
      </c>
      <c r="E916" s="20">
        <v>487.17</v>
      </c>
      <c r="F916" s="20">
        <v>40807.06</v>
      </c>
    </row>
    <row r="917" spans="1:6" ht="13.5" customHeight="1" x14ac:dyDescent="0.3">
      <c r="A917" s="21">
        <v>44747</v>
      </c>
      <c r="B917" s="22">
        <v>159.94</v>
      </c>
      <c r="C917" s="22">
        <v>1224.1099999999999</v>
      </c>
      <c r="D917" s="22">
        <v>175.49</v>
      </c>
      <c r="E917" s="22">
        <v>496.24</v>
      </c>
      <c r="F917" s="22">
        <v>40219.78</v>
      </c>
    </row>
    <row r="918" spans="1:6" ht="13.5" customHeight="1" x14ac:dyDescent="0.3">
      <c r="A918" s="19">
        <v>44748</v>
      </c>
      <c r="B918" s="20">
        <v>158.71</v>
      </c>
      <c r="C918" s="20">
        <v>1187.71</v>
      </c>
      <c r="D918" s="20">
        <v>177.07</v>
      </c>
      <c r="E918" s="20">
        <v>486.59</v>
      </c>
      <c r="F918" s="20">
        <v>39007.360000000001</v>
      </c>
    </row>
    <row r="919" spans="1:6" ht="13.5" customHeight="1" x14ac:dyDescent="0.3">
      <c r="A919" s="21">
        <v>44749</v>
      </c>
      <c r="B919" s="22">
        <v>156.75</v>
      </c>
      <c r="C919" s="22">
        <v>1189.92</v>
      </c>
      <c r="D919" s="22">
        <v>175.07</v>
      </c>
      <c r="E919" s="22">
        <v>465.26</v>
      </c>
      <c r="F919" s="22">
        <v>39671.629999999997</v>
      </c>
    </row>
    <row r="920" spans="1:6" ht="13.5" customHeight="1" x14ac:dyDescent="0.3">
      <c r="A920" s="19">
        <v>44750</v>
      </c>
      <c r="B920" s="20">
        <v>154.51</v>
      </c>
      <c r="C920" s="20">
        <v>1205.79</v>
      </c>
      <c r="D920" s="20">
        <v>176.59</v>
      </c>
      <c r="E920" s="20">
        <v>480.5</v>
      </c>
      <c r="F920" s="20">
        <v>40567.93</v>
      </c>
    </row>
    <row r="921" spans="1:6" ht="13.5" customHeight="1" x14ac:dyDescent="0.3">
      <c r="A921" s="21">
        <v>44753</v>
      </c>
      <c r="B921" s="22">
        <v>153.06</v>
      </c>
      <c r="C921" s="22">
        <v>1249.53</v>
      </c>
      <c r="D921" s="22">
        <v>182.12</v>
      </c>
      <c r="E921" s="22">
        <v>466.06</v>
      </c>
      <c r="F921" s="22">
        <v>39790.269999999997</v>
      </c>
    </row>
    <row r="922" spans="1:6" ht="13.5" customHeight="1" x14ac:dyDescent="0.3">
      <c r="A922" s="19">
        <v>44754</v>
      </c>
      <c r="B922" s="20">
        <v>150.06</v>
      </c>
      <c r="C922" s="20">
        <v>1251.3599999999999</v>
      </c>
      <c r="D922" s="20">
        <v>190.83</v>
      </c>
      <c r="E922" s="20">
        <v>457.17</v>
      </c>
      <c r="F922" s="20">
        <v>40187.47</v>
      </c>
    </row>
    <row r="923" spans="1:6" ht="13.5" customHeight="1" x14ac:dyDescent="0.3">
      <c r="A923" s="21">
        <v>44755</v>
      </c>
      <c r="B923" s="22">
        <v>147.97</v>
      </c>
      <c r="C923" s="22">
        <v>1235.5899999999999</v>
      </c>
      <c r="D923" s="22">
        <v>188.28</v>
      </c>
      <c r="E923" s="22">
        <v>467.78</v>
      </c>
      <c r="F923" s="22">
        <v>40384.86</v>
      </c>
    </row>
    <row r="924" spans="1:6" ht="13.5" customHeight="1" x14ac:dyDescent="0.3">
      <c r="A924" s="19">
        <v>44756</v>
      </c>
      <c r="B924" s="20">
        <v>144.72</v>
      </c>
      <c r="C924" s="20">
        <v>1258.7</v>
      </c>
      <c r="D924" s="20">
        <v>189.32</v>
      </c>
      <c r="E924" s="20">
        <v>468.8</v>
      </c>
      <c r="F924" s="20">
        <v>40306.99</v>
      </c>
    </row>
    <row r="925" spans="1:6" ht="13.5" customHeight="1" x14ac:dyDescent="0.3">
      <c r="A925" s="21">
        <v>44757</v>
      </c>
      <c r="B925" s="22">
        <v>141.76</v>
      </c>
      <c r="C925" s="22">
        <v>1260.3599999999999</v>
      </c>
      <c r="D925" s="22">
        <v>185.74</v>
      </c>
      <c r="E925" s="22">
        <v>467.37</v>
      </c>
      <c r="F925" s="22">
        <v>40605.21</v>
      </c>
    </row>
    <row r="926" spans="1:6" ht="13.5" customHeight="1" x14ac:dyDescent="0.3">
      <c r="A926" s="19">
        <v>44760</v>
      </c>
      <c r="B926" s="20">
        <v>138.74</v>
      </c>
      <c r="C926" s="20">
        <v>1263.3</v>
      </c>
      <c r="D926" s="20">
        <v>194.09</v>
      </c>
      <c r="E926" s="20">
        <v>479.39</v>
      </c>
      <c r="F926" s="20">
        <v>40572.879999999997</v>
      </c>
    </row>
    <row r="927" spans="1:6" ht="13.5" customHeight="1" x14ac:dyDescent="0.3">
      <c r="A927" s="21">
        <v>44761</v>
      </c>
      <c r="B927" s="22">
        <v>137.79</v>
      </c>
      <c r="C927" s="22">
        <v>1284.48</v>
      </c>
      <c r="D927" s="22">
        <v>192.84</v>
      </c>
      <c r="E927" s="22">
        <v>477.05</v>
      </c>
      <c r="F927" s="22">
        <v>41807.06</v>
      </c>
    </row>
    <row r="928" spans="1:6" ht="13.5" customHeight="1" x14ac:dyDescent="0.3">
      <c r="A928" s="19">
        <v>44762</v>
      </c>
      <c r="B928" s="20">
        <v>136.52000000000001</v>
      </c>
      <c r="C928" s="20">
        <v>1310.01</v>
      </c>
      <c r="D928" s="20">
        <v>195.52</v>
      </c>
      <c r="E928" s="20">
        <v>484.5</v>
      </c>
      <c r="F928" s="20">
        <v>42252.05</v>
      </c>
    </row>
    <row r="929" spans="1:6" ht="13.5" customHeight="1" x14ac:dyDescent="0.3">
      <c r="A929" s="21">
        <v>44763</v>
      </c>
      <c r="B929" s="22">
        <v>134.25</v>
      </c>
      <c r="C929" s="22">
        <v>1270.76</v>
      </c>
      <c r="D929" s="22">
        <v>195.89</v>
      </c>
      <c r="E929" s="22">
        <v>473.41</v>
      </c>
      <c r="F929" s="22">
        <v>41889.67</v>
      </c>
    </row>
    <row r="930" spans="1:6" ht="13.5" customHeight="1" x14ac:dyDescent="0.3">
      <c r="A930" s="19">
        <v>44764</v>
      </c>
      <c r="B930" s="20">
        <v>135.18</v>
      </c>
      <c r="C930" s="20">
        <v>1272.67</v>
      </c>
      <c r="D930" s="20">
        <v>192.71</v>
      </c>
      <c r="E930" s="20">
        <v>486.41</v>
      </c>
      <c r="F930" s="20">
        <v>41388.870000000003</v>
      </c>
    </row>
    <row r="931" spans="1:6" ht="13.5" customHeight="1" x14ac:dyDescent="0.3">
      <c r="A931" s="21">
        <v>44767</v>
      </c>
      <c r="B931" s="22">
        <v>135.13</v>
      </c>
      <c r="C931" s="22">
        <v>1273.06</v>
      </c>
      <c r="D931" s="22">
        <v>192.16</v>
      </c>
      <c r="E931" s="22">
        <v>481.52</v>
      </c>
      <c r="F931" s="22">
        <v>42050.84</v>
      </c>
    </row>
    <row r="932" spans="1:6" ht="13.5" customHeight="1" x14ac:dyDescent="0.3">
      <c r="A932" s="19">
        <v>44768</v>
      </c>
      <c r="B932" s="20">
        <v>134.37</v>
      </c>
      <c r="C932" s="20">
        <v>1249.81</v>
      </c>
      <c r="D932" s="20">
        <v>188.14</v>
      </c>
      <c r="E932" s="20">
        <v>483.38</v>
      </c>
      <c r="F932" s="20">
        <v>41939.25</v>
      </c>
    </row>
    <row r="933" spans="1:6" ht="13.5" customHeight="1" x14ac:dyDescent="0.3">
      <c r="A933" s="21">
        <v>44769</v>
      </c>
      <c r="B933" s="22">
        <v>133.54</v>
      </c>
      <c r="C933" s="22">
        <v>1214.75</v>
      </c>
      <c r="D933" s="22">
        <v>186.32</v>
      </c>
      <c r="E933" s="22">
        <v>477.05</v>
      </c>
      <c r="F933" s="22">
        <v>41851.24</v>
      </c>
    </row>
    <row r="934" spans="1:6" ht="13.5" customHeight="1" x14ac:dyDescent="0.3">
      <c r="A934" s="19">
        <v>44770</v>
      </c>
      <c r="B934" s="20">
        <v>136.54</v>
      </c>
      <c r="C934" s="20">
        <v>1214.04</v>
      </c>
      <c r="D934" s="20">
        <v>185.6</v>
      </c>
      <c r="E934" s="20">
        <v>469.94</v>
      </c>
      <c r="F934" s="20">
        <v>41936.99</v>
      </c>
    </row>
    <row r="935" spans="1:6" ht="13.5" customHeight="1" x14ac:dyDescent="0.3">
      <c r="A935" s="21">
        <v>44771</v>
      </c>
      <c r="B935" s="22">
        <v>137.03</v>
      </c>
      <c r="C935" s="22">
        <v>1204.83</v>
      </c>
      <c r="D935" s="22">
        <v>186.34</v>
      </c>
      <c r="E935" s="22">
        <v>467.68</v>
      </c>
      <c r="F935" s="22">
        <v>41983.59</v>
      </c>
    </row>
    <row r="936" spans="1:6" ht="13.5" customHeight="1" x14ac:dyDescent="0.3">
      <c r="A936" s="19">
        <v>44774</v>
      </c>
      <c r="B936" s="20">
        <v>137.97999999999999</v>
      </c>
      <c r="C936" s="20">
        <v>1190.1500000000001</v>
      </c>
      <c r="D936" s="20">
        <v>179.74</v>
      </c>
      <c r="E936" s="20">
        <v>476.01</v>
      </c>
      <c r="F936" s="20">
        <v>42549.01</v>
      </c>
    </row>
    <row r="937" spans="1:6" ht="13.5" customHeight="1" x14ac:dyDescent="0.3">
      <c r="A937" s="21">
        <v>44775</v>
      </c>
      <c r="B937" s="22">
        <v>133.08000000000001</v>
      </c>
      <c r="C937" s="22">
        <v>1187.98</v>
      </c>
      <c r="D937" s="22">
        <v>179.63</v>
      </c>
      <c r="E937" s="22">
        <v>474.03</v>
      </c>
      <c r="F937" s="22">
        <v>42108.5</v>
      </c>
    </row>
    <row r="938" spans="1:6" ht="13.5" customHeight="1" x14ac:dyDescent="0.3">
      <c r="A938" s="19">
        <v>44776</v>
      </c>
      <c r="B938" s="20">
        <v>131.91</v>
      </c>
      <c r="C938" s="20">
        <v>1181.33</v>
      </c>
      <c r="D938" s="20">
        <v>186.92</v>
      </c>
      <c r="E938" s="20">
        <v>476</v>
      </c>
      <c r="F938" s="20">
        <v>41025.33</v>
      </c>
    </row>
    <row r="939" spans="1:6" ht="13.5" customHeight="1" x14ac:dyDescent="0.3">
      <c r="A939" s="21">
        <v>44777</v>
      </c>
      <c r="B939" s="22">
        <v>127.99</v>
      </c>
      <c r="C939" s="22">
        <v>1182.4000000000001</v>
      </c>
      <c r="D939" s="22">
        <v>184.19</v>
      </c>
      <c r="E939" s="22">
        <v>471.98</v>
      </c>
      <c r="F939" s="22">
        <v>40781.18</v>
      </c>
    </row>
    <row r="940" spans="1:6" ht="13.5" customHeight="1" x14ac:dyDescent="0.3">
      <c r="A940" s="19">
        <v>44778</v>
      </c>
      <c r="B940" s="20">
        <v>127.27</v>
      </c>
      <c r="C940" s="20">
        <v>1215.99</v>
      </c>
      <c r="D940" s="20">
        <v>185.21</v>
      </c>
      <c r="E940" s="20">
        <v>484.02</v>
      </c>
      <c r="F940" s="20">
        <v>40428.230000000003</v>
      </c>
    </row>
    <row r="941" spans="1:6" ht="13.5" customHeight="1" x14ac:dyDescent="0.3">
      <c r="A941" s="21">
        <v>44781</v>
      </c>
      <c r="B941" s="22">
        <v>127.97</v>
      </c>
      <c r="C941" s="22">
        <v>1216.06</v>
      </c>
      <c r="D941" s="22">
        <v>184.05</v>
      </c>
      <c r="E941" s="22">
        <v>470.85</v>
      </c>
      <c r="F941" s="22">
        <v>40150.660000000003</v>
      </c>
    </row>
    <row r="942" spans="1:6" ht="13.5" customHeight="1" x14ac:dyDescent="0.3">
      <c r="A942" s="19">
        <v>44782</v>
      </c>
      <c r="B942" s="20">
        <v>126.82</v>
      </c>
      <c r="C942" s="20">
        <v>1257.1199999999999</v>
      </c>
      <c r="D942" s="20">
        <v>175.94</v>
      </c>
      <c r="E942" s="20">
        <v>456.15</v>
      </c>
      <c r="F942" s="20">
        <v>39407.71</v>
      </c>
    </row>
    <row r="943" spans="1:6" ht="13.5" customHeight="1" x14ac:dyDescent="0.3">
      <c r="A943" s="21">
        <v>44783</v>
      </c>
      <c r="B943" s="22">
        <v>127.77</v>
      </c>
      <c r="C943" s="22">
        <v>1285.45</v>
      </c>
      <c r="D943" s="22">
        <v>173.26</v>
      </c>
      <c r="E943" s="22">
        <v>468.56</v>
      </c>
      <c r="F943" s="22">
        <v>39000.480000000003</v>
      </c>
    </row>
    <row r="944" spans="1:6" ht="13.5" customHeight="1" x14ac:dyDescent="0.3">
      <c r="A944" s="19">
        <v>44784</v>
      </c>
      <c r="B944" s="20">
        <v>126</v>
      </c>
      <c r="C944" s="20">
        <v>1308.1600000000001</v>
      </c>
      <c r="D944" s="20">
        <v>171.46</v>
      </c>
      <c r="E944" s="20">
        <v>449.65</v>
      </c>
      <c r="F944" s="20">
        <v>38370.71</v>
      </c>
    </row>
    <row r="945" spans="1:6" ht="13.5" customHeight="1" x14ac:dyDescent="0.3">
      <c r="A945" s="21">
        <v>44785</v>
      </c>
      <c r="B945" s="22">
        <v>127.04</v>
      </c>
      <c r="C945" s="22">
        <v>1292.1300000000001</v>
      </c>
      <c r="D945" s="22">
        <v>173.82</v>
      </c>
      <c r="E945" s="22">
        <v>464.49</v>
      </c>
      <c r="F945" s="22">
        <v>38801.199999999997</v>
      </c>
    </row>
    <row r="946" spans="1:6" ht="13.5" customHeight="1" x14ac:dyDescent="0.3">
      <c r="A946" s="19">
        <v>44788</v>
      </c>
      <c r="B946" s="20">
        <v>124.35</v>
      </c>
      <c r="C946" s="20">
        <v>1286.21</v>
      </c>
      <c r="D946" s="20">
        <v>173.79</v>
      </c>
      <c r="E946" s="20">
        <v>464.57</v>
      </c>
      <c r="F946" s="20">
        <v>38336.370000000003</v>
      </c>
    </row>
    <row r="947" spans="1:6" ht="13.5" customHeight="1" x14ac:dyDescent="0.3">
      <c r="A947" s="21">
        <v>44789</v>
      </c>
      <c r="B947" s="22">
        <v>123.94</v>
      </c>
      <c r="C947" s="22">
        <v>1266.1099999999999</v>
      </c>
      <c r="D947" s="22">
        <v>173.25</v>
      </c>
      <c r="E947" s="22">
        <v>468.61</v>
      </c>
      <c r="F947" s="22">
        <v>38250.25</v>
      </c>
    </row>
    <row r="948" spans="1:6" ht="13.5" customHeight="1" x14ac:dyDescent="0.3">
      <c r="A948" s="19">
        <v>44790</v>
      </c>
      <c r="B948" s="20">
        <v>124.7</v>
      </c>
      <c r="C948" s="20">
        <v>1276.1500000000001</v>
      </c>
      <c r="D948" s="20">
        <v>175.16</v>
      </c>
      <c r="E948" s="20">
        <v>471.7</v>
      </c>
      <c r="F948" s="20">
        <v>38887.199999999997</v>
      </c>
    </row>
    <row r="949" spans="1:6" ht="13.5" customHeight="1" x14ac:dyDescent="0.3">
      <c r="A949" s="21">
        <v>44791</v>
      </c>
      <c r="B949" s="22">
        <v>125.66</v>
      </c>
      <c r="C949" s="22">
        <v>1275.4000000000001</v>
      </c>
      <c r="D949" s="22">
        <v>175.59</v>
      </c>
      <c r="E949" s="22">
        <v>466.06</v>
      </c>
      <c r="F949" s="22">
        <v>38751.230000000003</v>
      </c>
    </row>
    <row r="950" spans="1:6" ht="13.5" customHeight="1" x14ac:dyDescent="0.3">
      <c r="A950" s="19">
        <v>44792</v>
      </c>
      <c r="B950" s="20">
        <v>125.48</v>
      </c>
      <c r="C950" s="20">
        <v>1286.0999999999999</v>
      </c>
      <c r="D950" s="20">
        <v>175.2</v>
      </c>
      <c r="E950" s="20">
        <v>470.84</v>
      </c>
      <c r="F950" s="20">
        <v>38929.56</v>
      </c>
    </row>
    <row r="951" spans="1:6" ht="13.5" customHeight="1" x14ac:dyDescent="0.3">
      <c r="A951" s="21">
        <v>44795</v>
      </c>
      <c r="B951" s="22">
        <v>128.88999999999999</v>
      </c>
      <c r="C951" s="22">
        <v>1293.72</v>
      </c>
      <c r="D951" s="22">
        <v>177.11</v>
      </c>
      <c r="E951" s="22">
        <v>489.2</v>
      </c>
      <c r="F951" s="22">
        <v>39387.699999999997</v>
      </c>
    </row>
    <row r="952" spans="1:6" ht="13.5" customHeight="1" x14ac:dyDescent="0.3">
      <c r="A952" s="19">
        <v>44796</v>
      </c>
      <c r="B952" s="20">
        <v>128.19</v>
      </c>
      <c r="C952" s="20">
        <v>1298.32</v>
      </c>
      <c r="D952" s="20">
        <v>173.34</v>
      </c>
      <c r="E952" s="20">
        <v>500.71</v>
      </c>
      <c r="F952" s="20">
        <v>39658.65</v>
      </c>
    </row>
    <row r="953" spans="1:6" ht="13.5" customHeight="1" x14ac:dyDescent="0.3">
      <c r="A953" s="21">
        <v>44797</v>
      </c>
      <c r="B953" s="22">
        <v>127.43</v>
      </c>
      <c r="C953" s="22">
        <v>1290.92</v>
      </c>
      <c r="D953" s="22">
        <v>172.85</v>
      </c>
      <c r="E953" s="22">
        <v>494.21</v>
      </c>
      <c r="F953" s="22">
        <v>39410.58</v>
      </c>
    </row>
    <row r="954" spans="1:6" ht="13.5" customHeight="1" x14ac:dyDescent="0.3">
      <c r="A954" s="19">
        <v>44798</v>
      </c>
      <c r="B954" s="20">
        <v>122.6</v>
      </c>
      <c r="C954" s="20">
        <v>1269.54</v>
      </c>
      <c r="D954" s="20">
        <v>176.33</v>
      </c>
      <c r="E954" s="20">
        <v>506.02</v>
      </c>
      <c r="F954" s="20">
        <v>38959.040000000001</v>
      </c>
    </row>
    <row r="955" spans="1:6" ht="13.5" customHeight="1" x14ac:dyDescent="0.3">
      <c r="A955" s="21">
        <v>44799</v>
      </c>
      <c r="B955" s="22">
        <v>125.64</v>
      </c>
      <c r="C955" s="22">
        <v>1260.4000000000001</v>
      </c>
      <c r="D955" s="22">
        <v>170.46</v>
      </c>
      <c r="E955" s="22">
        <v>495.05</v>
      </c>
      <c r="F955" s="22">
        <v>39543.230000000003</v>
      </c>
    </row>
    <row r="956" spans="1:6" ht="13.5" customHeight="1" x14ac:dyDescent="0.3">
      <c r="A956" s="19">
        <v>44802</v>
      </c>
      <c r="B956" s="20">
        <v>125.04</v>
      </c>
      <c r="C956" s="20">
        <v>1277.08</v>
      </c>
      <c r="D956" s="20">
        <v>168.4</v>
      </c>
      <c r="E956" s="20">
        <v>493.25</v>
      </c>
      <c r="F956" s="20">
        <v>39641.68</v>
      </c>
    </row>
    <row r="957" spans="1:6" ht="13.5" customHeight="1" x14ac:dyDescent="0.3">
      <c r="A957" s="21">
        <v>44803</v>
      </c>
      <c r="B957" s="22">
        <v>123.04</v>
      </c>
      <c r="C957" s="22">
        <v>1274.1500000000001</v>
      </c>
      <c r="D957" s="22">
        <v>168.88</v>
      </c>
      <c r="E957" s="22">
        <v>494.84</v>
      </c>
      <c r="F957" s="22">
        <v>39333.129999999997</v>
      </c>
    </row>
    <row r="958" spans="1:6" ht="13.5" customHeight="1" x14ac:dyDescent="0.3">
      <c r="A958" s="19">
        <v>44804</v>
      </c>
      <c r="B958" s="20">
        <v>125.34</v>
      </c>
      <c r="C958" s="20">
        <v>1273.56</v>
      </c>
      <c r="D958" s="20">
        <v>169.56</v>
      </c>
      <c r="E958" s="20">
        <v>506.71</v>
      </c>
      <c r="F958" s="20">
        <v>39189.99</v>
      </c>
    </row>
    <row r="959" spans="1:6" ht="13.5" customHeight="1" x14ac:dyDescent="0.3">
      <c r="A959" s="21">
        <v>44805</v>
      </c>
      <c r="B959" s="22">
        <v>127.52</v>
      </c>
      <c r="C959" s="22">
        <v>1293.81</v>
      </c>
      <c r="D959" s="22">
        <v>168.73</v>
      </c>
      <c r="E959" s="22">
        <v>493.68</v>
      </c>
      <c r="F959" s="22">
        <v>39180.949999999997</v>
      </c>
    </row>
    <row r="960" spans="1:6" ht="13.5" customHeight="1" x14ac:dyDescent="0.3">
      <c r="A960" s="19">
        <v>44806</v>
      </c>
      <c r="B960" s="20">
        <v>127.75</v>
      </c>
      <c r="C960" s="20">
        <v>1305.71</v>
      </c>
      <c r="D960" s="20">
        <v>169.94</v>
      </c>
      <c r="E960" s="20">
        <v>503.72</v>
      </c>
      <c r="F960" s="20">
        <v>38405.14</v>
      </c>
    </row>
    <row r="961" spans="1:6" ht="13.5" customHeight="1" x14ac:dyDescent="0.3">
      <c r="A961" s="21">
        <v>44809</v>
      </c>
      <c r="B961" s="22">
        <v>125.25</v>
      </c>
      <c r="C961" s="22">
        <v>1272.52</v>
      </c>
      <c r="D961" s="22">
        <v>167.63</v>
      </c>
      <c r="E961" s="22">
        <v>500.04</v>
      </c>
      <c r="F961" s="22">
        <v>38629.07</v>
      </c>
    </row>
    <row r="962" spans="1:6" ht="13.5" customHeight="1" x14ac:dyDescent="0.3">
      <c r="A962" s="19">
        <v>44810</v>
      </c>
      <c r="B962" s="20">
        <v>126.02</v>
      </c>
      <c r="C962" s="20">
        <v>1271.47</v>
      </c>
      <c r="D962" s="20">
        <v>170.29</v>
      </c>
      <c r="E962" s="20">
        <v>484.79</v>
      </c>
      <c r="F962" s="20">
        <v>39100.379999999997</v>
      </c>
    </row>
    <row r="963" spans="1:6" ht="13.5" customHeight="1" x14ac:dyDescent="0.3">
      <c r="A963" s="21">
        <v>44811</v>
      </c>
      <c r="B963" s="22">
        <v>124.97</v>
      </c>
      <c r="C963" s="22">
        <v>1252.69</v>
      </c>
      <c r="D963" s="22">
        <v>170.88</v>
      </c>
      <c r="E963" s="22">
        <v>494.16</v>
      </c>
      <c r="F963" s="22">
        <v>38823.629999999997</v>
      </c>
    </row>
    <row r="964" spans="1:6" ht="13.5" customHeight="1" x14ac:dyDescent="0.3">
      <c r="A964" s="19">
        <v>44812</v>
      </c>
      <c r="B964" s="20">
        <v>122.99</v>
      </c>
      <c r="C964" s="20">
        <v>1252.24</v>
      </c>
      <c r="D964" s="20">
        <v>175.83</v>
      </c>
      <c r="E964" s="20">
        <v>490.51</v>
      </c>
      <c r="F964" s="20">
        <v>38467.300000000003</v>
      </c>
    </row>
    <row r="965" spans="1:6" ht="13.5" customHeight="1" x14ac:dyDescent="0.3">
      <c r="A965" s="21">
        <v>44813</v>
      </c>
      <c r="B965" s="22">
        <v>124.8</v>
      </c>
      <c r="C965" s="22">
        <v>1261.6099999999999</v>
      </c>
      <c r="D965" s="22">
        <v>178.24</v>
      </c>
      <c r="E965" s="22">
        <v>472.17</v>
      </c>
      <c r="F965" s="22">
        <v>38301.18</v>
      </c>
    </row>
    <row r="966" spans="1:6" ht="13.5" customHeight="1" x14ac:dyDescent="0.3">
      <c r="A966" s="19">
        <v>44816</v>
      </c>
      <c r="B966" s="20">
        <v>121.16</v>
      </c>
      <c r="C966" s="20">
        <v>1273.69</v>
      </c>
      <c r="D966" s="20">
        <v>179.86</v>
      </c>
      <c r="E966" s="20">
        <v>479.5</v>
      </c>
      <c r="F966" s="20">
        <v>38228.620000000003</v>
      </c>
    </row>
    <row r="967" spans="1:6" ht="13.5" customHeight="1" x14ac:dyDescent="0.3">
      <c r="A967" s="21">
        <v>44817</v>
      </c>
      <c r="B967" s="22">
        <v>122.15</v>
      </c>
      <c r="C967" s="22">
        <v>1311.83</v>
      </c>
      <c r="D967" s="22">
        <v>183.94</v>
      </c>
      <c r="E967" s="22">
        <v>464.45</v>
      </c>
      <c r="F967" s="22">
        <v>39116.57</v>
      </c>
    </row>
    <row r="968" spans="1:6" ht="13.5" customHeight="1" x14ac:dyDescent="0.3">
      <c r="A968" s="19">
        <v>44818</v>
      </c>
      <c r="B968" s="20">
        <v>122.96</v>
      </c>
      <c r="C968" s="20">
        <v>1301.02</v>
      </c>
      <c r="D968" s="20">
        <v>181.69</v>
      </c>
      <c r="E968" s="20">
        <v>461.35</v>
      </c>
      <c r="F968" s="20">
        <v>39507.68</v>
      </c>
    </row>
    <row r="969" spans="1:6" ht="13.5" customHeight="1" x14ac:dyDescent="0.3">
      <c r="A969" s="21">
        <v>44819</v>
      </c>
      <c r="B969" s="22">
        <v>126.5</v>
      </c>
      <c r="C969" s="22">
        <v>1295.03</v>
      </c>
      <c r="D969" s="22">
        <v>180.92</v>
      </c>
      <c r="E969" s="22">
        <v>451.75</v>
      </c>
      <c r="F969" s="22">
        <v>39602.1</v>
      </c>
    </row>
    <row r="970" spans="1:6" ht="13.5" customHeight="1" x14ac:dyDescent="0.3">
      <c r="A970" s="19">
        <v>44820</v>
      </c>
      <c r="B970" s="20">
        <v>127.11</v>
      </c>
      <c r="C970" s="20">
        <v>1308.9100000000001</v>
      </c>
      <c r="D970" s="20">
        <v>176.01</v>
      </c>
      <c r="E970" s="20">
        <v>445.05</v>
      </c>
      <c r="F970" s="20">
        <v>39340.629999999997</v>
      </c>
    </row>
    <row r="971" spans="1:6" ht="13.5" customHeight="1" x14ac:dyDescent="0.3">
      <c r="A971" s="21">
        <v>44823</v>
      </c>
      <c r="B971" s="22">
        <v>123.52</v>
      </c>
      <c r="C971" s="22">
        <v>1331.9</v>
      </c>
      <c r="D971" s="22">
        <v>178.49</v>
      </c>
      <c r="E971" s="22">
        <v>454.42</v>
      </c>
      <c r="F971" s="22">
        <v>39388.959999999999</v>
      </c>
    </row>
    <row r="972" spans="1:6" ht="13.5" customHeight="1" x14ac:dyDescent="0.3">
      <c r="A972" s="19">
        <v>44824</v>
      </c>
      <c r="B972" s="20">
        <v>122.13</v>
      </c>
      <c r="C972" s="20">
        <v>1308.46</v>
      </c>
      <c r="D972" s="20">
        <v>183.21</v>
      </c>
      <c r="E972" s="20">
        <v>460.09</v>
      </c>
      <c r="F972" s="20">
        <v>39320.699999999997</v>
      </c>
    </row>
    <row r="973" spans="1:6" ht="13.5" customHeight="1" x14ac:dyDescent="0.3">
      <c r="A973" s="21">
        <v>44825</v>
      </c>
      <c r="B973" s="22">
        <v>122.28</v>
      </c>
      <c r="C973" s="22">
        <v>1325.09</v>
      </c>
      <c r="D973" s="22">
        <v>181.88</v>
      </c>
      <c r="E973" s="22">
        <v>447.19</v>
      </c>
      <c r="F973" s="22">
        <v>38815.83</v>
      </c>
    </row>
    <row r="974" spans="1:6" ht="13.5" customHeight="1" x14ac:dyDescent="0.3">
      <c r="A974" s="19">
        <v>44826</v>
      </c>
      <c r="B974" s="20">
        <v>122.92</v>
      </c>
      <c r="C974" s="20">
        <v>1341.43</v>
      </c>
      <c r="D974" s="20">
        <v>178.47</v>
      </c>
      <c r="E974" s="20">
        <v>445.5</v>
      </c>
      <c r="F974" s="20">
        <v>38641.410000000003</v>
      </c>
    </row>
    <row r="975" spans="1:6" ht="13.5" customHeight="1" x14ac:dyDescent="0.3">
      <c r="A975" s="21">
        <v>44827</v>
      </c>
      <c r="B975" s="22">
        <v>124.63</v>
      </c>
      <c r="C975" s="22">
        <v>1338.67</v>
      </c>
      <c r="D975" s="22">
        <v>181.7</v>
      </c>
      <c r="E975" s="22">
        <v>446.29</v>
      </c>
      <c r="F975" s="22">
        <v>38848.49</v>
      </c>
    </row>
    <row r="976" spans="1:6" ht="13.5" customHeight="1" x14ac:dyDescent="0.3">
      <c r="A976" s="19">
        <v>44830</v>
      </c>
      <c r="B976" s="20">
        <v>121.28</v>
      </c>
      <c r="C976" s="20">
        <v>1332.83</v>
      </c>
      <c r="D976" s="20">
        <v>179.66</v>
      </c>
      <c r="E976" s="20">
        <v>457.94</v>
      </c>
      <c r="F976" s="20">
        <v>38390.71</v>
      </c>
    </row>
    <row r="977" spans="1:6" ht="13.5" customHeight="1" x14ac:dyDescent="0.3">
      <c r="A977" s="21">
        <v>44831</v>
      </c>
      <c r="B977" s="22">
        <v>120.77</v>
      </c>
      <c r="C977" s="22">
        <v>1350.85</v>
      </c>
      <c r="D977" s="22">
        <v>178.31</v>
      </c>
      <c r="E977" s="22">
        <v>462.14</v>
      </c>
      <c r="F977" s="22">
        <v>37831.370000000003</v>
      </c>
    </row>
    <row r="978" spans="1:6" ht="13.5" customHeight="1" x14ac:dyDescent="0.3">
      <c r="A978" s="19">
        <v>44832</v>
      </c>
      <c r="B978" s="20">
        <v>122.43</v>
      </c>
      <c r="C978" s="20">
        <v>1361.83</v>
      </c>
      <c r="D978" s="20">
        <v>182.7</v>
      </c>
      <c r="E978" s="20">
        <v>451.8</v>
      </c>
      <c r="F978" s="20">
        <v>37777.5</v>
      </c>
    </row>
    <row r="979" spans="1:6" ht="13.5" customHeight="1" x14ac:dyDescent="0.3">
      <c r="A979" s="21">
        <v>44833</v>
      </c>
      <c r="B979" s="22">
        <v>125.09</v>
      </c>
      <c r="C979" s="22">
        <v>1372.27</v>
      </c>
      <c r="D979" s="22">
        <v>181.74</v>
      </c>
      <c r="E979" s="22">
        <v>440.99</v>
      </c>
      <c r="F979" s="22">
        <v>37620.089999999997</v>
      </c>
    </row>
    <row r="980" spans="1:6" ht="13.5" customHeight="1" x14ac:dyDescent="0.3">
      <c r="A980" s="19">
        <v>44834</v>
      </c>
      <c r="B980" s="20">
        <v>128.35</v>
      </c>
      <c r="C980" s="20">
        <v>1355.37</v>
      </c>
      <c r="D980" s="20">
        <v>181.28</v>
      </c>
      <c r="E980" s="20">
        <v>446.73</v>
      </c>
      <c r="F980" s="20">
        <v>36899.279999999999</v>
      </c>
    </row>
    <row r="981" spans="1:6" ht="13.5" customHeight="1" x14ac:dyDescent="0.3">
      <c r="A981" s="21">
        <v>44837</v>
      </c>
      <c r="B981" s="22">
        <v>127.7</v>
      </c>
      <c r="C981" s="22">
        <v>1315</v>
      </c>
      <c r="D981" s="22">
        <v>185.95</v>
      </c>
      <c r="E981" s="22">
        <v>453.39</v>
      </c>
      <c r="F981" s="22">
        <v>37410.04</v>
      </c>
    </row>
    <row r="982" spans="1:6" ht="13.5" customHeight="1" x14ac:dyDescent="0.3">
      <c r="A982" s="19">
        <v>44838</v>
      </c>
      <c r="B982" s="20">
        <v>129.68</v>
      </c>
      <c r="C982" s="20">
        <v>1313.61</v>
      </c>
      <c r="D982" s="20">
        <v>187.76</v>
      </c>
      <c r="E982" s="20">
        <v>448.46</v>
      </c>
      <c r="F982" s="20">
        <v>37922.129999999997</v>
      </c>
    </row>
    <row r="983" spans="1:6" ht="13.5" customHeight="1" x14ac:dyDescent="0.3">
      <c r="A983" s="21">
        <v>44839</v>
      </c>
      <c r="B983" s="22">
        <v>132.80000000000001</v>
      </c>
      <c r="C983" s="22">
        <v>1308.1099999999999</v>
      </c>
      <c r="D983" s="22">
        <v>184.69</v>
      </c>
      <c r="E983" s="22">
        <v>443.37</v>
      </c>
      <c r="F983" s="22">
        <v>38832.410000000003</v>
      </c>
    </row>
    <row r="984" spans="1:6" ht="13.5" customHeight="1" x14ac:dyDescent="0.3">
      <c r="A984" s="19">
        <v>44840</v>
      </c>
      <c r="B984" s="20">
        <v>135.05000000000001</v>
      </c>
      <c r="C984" s="20">
        <v>1319.46</v>
      </c>
      <c r="D984" s="20">
        <v>189.14</v>
      </c>
      <c r="E984" s="20">
        <v>447.85</v>
      </c>
      <c r="F984" s="20">
        <v>38645.15</v>
      </c>
    </row>
    <row r="985" spans="1:6" ht="13.5" customHeight="1" x14ac:dyDescent="0.3">
      <c r="A985" s="21">
        <v>44841</v>
      </c>
      <c r="B985" s="22">
        <v>136.44</v>
      </c>
      <c r="C985" s="22">
        <v>1302.45</v>
      </c>
      <c r="D985" s="22">
        <v>184.03</v>
      </c>
      <c r="E985" s="22">
        <v>450.51</v>
      </c>
      <c r="F985" s="22">
        <v>38908.97</v>
      </c>
    </row>
    <row r="986" spans="1:6" ht="13.5" customHeight="1" x14ac:dyDescent="0.3">
      <c r="A986" s="19">
        <v>44844</v>
      </c>
      <c r="B986" s="20">
        <v>138.05000000000001</v>
      </c>
      <c r="C986" s="20">
        <v>1317.8</v>
      </c>
      <c r="D986" s="20">
        <v>187.02</v>
      </c>
      <c r="E986" s="20">
        <v>428.33</v>
      </c>
      <c r="F986" s="20">
        <v>39463.67</v>
      </c>
    </row>
    <row r="987" spans="1:6" ht="13.5" customHeight="1" x14ac:dyDescent="0.3">
      <c r="A987" s="21">
        <v>44845</v>
      </c>
      <c r="B987" s="22">
        <v>136.59</v>
      </c>
      <c r="C987" s="22">
        <v>1328.11</v>
      </c>
      <c r="D987" s="22">
        <v>188.54</v>
      </c>
      <c r="E987" s="22">
        <v>426.34</v>
      </c>
      <c r="F987" s="22">
        <v>39720.32</v>
      </c>
    </row>
    <row r="988" spans="1:6" ht="13.5" customHeight="1" x14ac:dyDescent="0.3">
      <c r="A988" s="19">
        <v>44846</v>
      </c>
      <c r="B988" s="20">
        <v>133.88999999999999</v>
      </c>
      <c r="C988" s="20">
        <v>1311.56</v>
      </c>
      <c r="D988" s="20">
        <v>187.06</v>
      </c>
      <c r="E988" s="20">
        <v>433.18</v>
      </c>
      <c r="F988" s="20">
        <v>40252.800000000003</v>
      </c>
    </row>
    <row r="989" spans="1:6" ht="13.5" customHeight="1" x14ac:dyDescent="0.3">
      <c r="A989" s="21">
        <v>44847</v>
      </c>
      <c r="B989" s="22">
        <v>135.76</v>
      </c>
      <c r="C989" s="22">
        <v>1334.21</v>
      </c>
      <c r="D989" s="22">
        <v>184.84</v>
      </c>
      <c r="E989" s="22">
        <v>421.23</v>
      </c>
      <c r="F989" s="22">
        <v>40340.17</v>
      </c>
    </row>
    <row r="990" spans="1:6" ht="13.5" customHeight="1" x14ac:dyDescent="0.3">
      <c r="A990" s="19">
        <v>44848</v>
      </c>
      <c r="B990" s="20">
        <v>135.15</v>
      </c>
      <c r="C990" s="20">
        <v>1326.93</v>
      </c>
      <c r="D990" s="20">
        <v>181.67</v>
      </c>
      <c r="E990" s="20">
        <v>428.37</v>
      </c>
      <c r="F990" s="20">
        <v>40131.879999999997</v>
      </c>
    </row>
    <row r="991" spans="1:6" ht="13.5" customHeight="1" x14ac:dyDescent="0.3">
      <c r="A991" s="21">
        <v>44851</v>
      </c>
      <c r="B991" s="22">
        <v>135.13999999999999</v>
      </c>
      <c r="C991" s="22">
        <v>1311.42</v>
      </c>
      <c r="D991" s="22">
        <v>186.69</v>
      </c>
      <c r="E991" s="22">
        <v>418.47</v>
      </c>
      <c r="F991" s="22">
        <v>40359.599999999999</v>
      </c>
    </row>
    <row r="992" spans="1:6" ht="13.5" customHeight="1" x14ac:dyDescent="0.3">
      <c r="A992" s="19">
        <v>44852</v>
      </c>
      <c r="B992" s="20">
        <v>134.1</v>
      </c>
      <c r="C992" s="20">
        <v>1318</v>
      </c>
      <c r="D992" s="20">
        <v>187.13</v>
      </c>
      <c r="E992" s="20">
        <v>420.5</v>
      </c>
      <c r="F992" s="20">
        <v>40599.160000000003</v>
      </c>
    </row>
    <row r="993" spans="1:6" ht="13.5" customHeight="1" x14ac:dyDescent="0.3">
      <c r="A993" s="21">
        <v>44853</v>
      </c>
      <c r="B993" s="22">
        <v>133.41</v>
      </c>
      <c r="C993" s="22">
        <v>1318.44</v>
      </c>
      <c r="D993" s="22">
        <v>185.35</v>
      </c>
      <c r="E993" s="22">
        <v>413.98</v>
      </c>
      <c r="F993" s="22">
        <v>40927.019999999997</v>
      </c>
    </row>
    <row r="994" spans="1:6" ht="13.5" customHeight="1" x14ac:dyDescent="0.3">
      <c r="A994" s="19">
        <v>44854</v>
      </c>
      <c r="B994" s="20">
        <v>133.88</v>
      </c>
      <c r="C994" s="20">
        <v>1298.18</v>
      </c>
      <c r="D994" s="20">
        <v>187.1</v>
      </c>
      <c r="E994" s="20">
        <v>401.54</v>
      </c>
      <c r="F994" s="20">
        <v>41447.870000000003</v>
      </c>
    </row>
    <row r="995" spans="1:6" ht="13.5" customHeight="1" x14ac:dyDescent="0.3">
      <c r="A995" s="21">
        <v>44855</v>
      </c>
      <c r="B995" s="22">
        <v>132.03</v>
      </c>
      <c r="C995" s="22">
        <v>1313.15</v>
      </c>
      <c r="D995" s="22">
        <v>190.72</v>
      </c>
      <c r="E995" s="22">
        <v>403.41</v>
      </c>
      <c r="F995" s="22">
        <v>41537.339999999997</v>
      </c>
    </row>
    <row r="996" spans="1:6" ht="13.5" customHeight="1" x14ac:dyDescent="0.3">
      <c r="A996" s="19">
        <v>44858</v>
      </c>
      <c r="B996" s="20">
        <v>132.19</v>
      </c>
      <c r="C996" s="20">
        <v>1313.72</v>
      </c>
      <c r="D996" s="20">
        <v>191.75</v>
      </c>
      <c r="E996" s="20">
        <v>402.82</v>
      </c>
      <c r="F996" s="20">
        <v>41451.129999999997</v>
      </c>
    </row>
    <row r="997" spans="1:6" ht="13.5" customHeight="1" x14ac:dyDescent="0.3">
      <c r="A997" s="21">
        <v>44859</v>
      </c>
      <c r="B997" s="22">
        <v>132.69</v>
      </c>
      <c r="C997" s="22">
        <v>1296.94</v>
      </c>
      <c r="D997" s="22">
        <v>193.93</v>
      </c>
      <c r="E997" s="22">
        <v>414.6</v>
      </c>
      <c r="F997" s="22">
        <v>42019.82</v>
      </c>
    </row>
    <row r="998" spans="1:6" ht="13.5" customHeight="1" x14ac:dyDescent="0.3">
      <c r="A998" s="19">
        <v>44860</v>
      </c>
      <c r="B998" s="20">
        <v>132.59</v>
      </c>
      <c r="C998" s="20">
        <v>1257.5899999999999</v>
      </c>
      <c r="D998" s="20">
        <v>196.92</v>
      </c>
      <c r="E998" s="20">
        <v>421.31</v>
      </c>
      <c r="F998" s="20">
        <v>41963.64</v>
      </c>
    </row>
    <row r="999" spans="1:6" ht="13.5" customHeight="1" x14ac:dyDescent="0.3">
      <c r="A999" s="21">
        <v>44861</v>
      </c>
      <c r="B999" s="22">
        <v>131.26</v>
      </c>
      <c r="C999" s="22">
        <v>1267.79</v>
      </c>
      <c r="D999" s="22">
        <v>197.18</v>
      </c>
      <c r="E999" s="22">
        <v>408.87</v>
      </c>
      <c r="F999" s="22">
        <v>41588.11</v>
      </c>
    </row>
    <row r="1000" spans="1:6" ht="13.5" customHeight="1" x14ac:dyDescent="0.3">
      <c r="A1000" s="19">
        <v>44862</v>
      </c>
      <c r="B1000" s="20">
        <v>132.74</v>
      </c>
      <c r="C1000" s="20">
        <v>1270.76</v>
      </c>
      <c r="D1000" s="20">
        <v>198.25</v>
      </c>
      <c r="E1000" s="20">
        <v>411.6</v>
      </c>
      <c r="F1000" s="20">
        <v>42050.04</v>
      </c>
    </row>
    <row r="1001" spans="1:6" ht="13.5" customHeight="1" x14ac:dyDescent="0.3">
      <c r="A1001" s="21">
        <v>44865</v>
      </c>
      <c r="B1001" s="22">
        <v>136.22</v>
      </c>
      <c r="C1001" s="22">
        <v>1274.19</v>
      </c>
      <c r="D1001" s="22">
        <v>197.96</v>
      </c>
      <c r="E1001" s="22">
        <v>419.43</v>
      </c>
      <c r="F1001" s="22">
        <v>41047.58</v>
      </c>
    </row>
    <row r="1002" spans="1:6" ht="13.5" customHeight="1" x14ac:dyDescent="0.3">
      <c r="A1002" s="19">
        <v>44866</v>
      </c>
      <c r="B1002" s="20">
        <v>135.13</v>
      </c>
      <c r="C1002" s="20">
        <v>1305.9000000000001</v>
      </c>
      <c r="D1002" s="20">
        <v>194.95</v>
      </c>
      <c r="E1002" s="20">
        <v>426.35</v>
      </c>
      <c r="F1002" s="20">
        <v>41583.730000000003</v>
      </c>
    </row>
    <row r="1003" spans="1:6" ht="13.5" customHeight="1" x14ac:dyDescent="0.3">
      <c r="A1003" s="21">
        <v>44867</v>
      </c>
      <c r="B1003" s="22">
        <v>137.47999999999999</v>
      </c>
      <c r="C1003" s="22">
        <v>1249.3</v>
      </c>
      <c r="D1003" s="22">
        <v>191.14</v>
      </c>
      <c r="E1003" s="22">
        <v>441.55</v>
      </c>
      <c r="F1003" s="22">
        <v>41997.3</v>
      </c>
    </row>
    <row r="1004" spans="1:6" ht="13.5" customHeight="1" x14ac:dyDescent="0.3">
      <c r="A1004" s="19">
        <v>44868</v>
      </c>
      <c r="B1004" s="20">
        <v>139.22</v>
      </c>
      <c r="C1004" s="20">
        <v>1278.02</v>
      </c>
      <c r="D1004" s="20">
        <v>192.57</v>
      </c>
      <c r="E1004" s="20">
        <v>458.05</v>
      </c>
      <c r="F1004" s="20">
        <v>42012.51</v>
      </c>
    </row>
    <row r="1005" spans="1:6" ht="13.5" customHeight="1" x14ac:dyDescent="0.3">
      <c r="A1005" s="21">
        <v>44869</v>
      </c>
      <c r="B1005" s="22">
        <v>134.15</v>
      </c>
      <c r="C1005" s="22">
        <v>1309.52</v>
      </c>
      <c r="D1005" s="22">
        <v>190.5</v>
      </c>
      <c r="E1005" s="22">
        <v>452.16</v>
      </c>
      <c r="F1005" s="22">
        <v>42571.61</v>
      </c>
    </row>
    <row r="1006" spans="1:6" ht="13.5" customHeight="1" x14ac:dyDescent="0.3">
      <c r="A1006" s="19">
        <v>44872</v>
      </c>
      <c r="B1006" s="20">
        <v>132.78</v>
      </c>
      <c r="C1006" s="20">
        <v>1287.6600000000001</v>
      </c>
      <c r="D1006" s="20">
        <v>190.51</v>
      </c>
      <c r="E1006" s="20">
        <v>455.69</v>
      </c>
      <c r="F1006" s="20">
        <v>42393.06</v>
      </c>
    </row>
    <row r="1007" spans="1:6" ht="13.5" customHeight="1" x14ac:dyDescent="0.3">
      <c r="A1007" s="21">
        <v>44873</v>
      </c>
      <c r="B1007" s="22">
        <v>131.65</v>
      </c>
      <c r="C1007" s="22">
        <v>1311.47</v>
      </c>
      <c r="D1007" s="22">
        <v>189.84</v>
      </c>
      <c r="E1007" s="22">
        <v>476.59</v>
      </c>
      <c r="F1007" s="22">
        <v>42552.53</v>
      </c>
    </row>
    <row r="1008" spans="1:6" ht="13.5" customHeight="1" x14ac:dyDescent="0.3">
      <c r="A1008" s="19">
        <v>44874</v>
      </c>
      <c r="B1008" s="20">
        <v>133.12</v>
      </c>
      <c r="C1008" s="20">
        <v>1293.47</v>
      </c>
      <c r="D1008" s="20">
        <v>192.82</v>
      </c>
      <c r="E1008" s="20">
        <v>488.32</v>
      </c>
      <c r="F1008" s="20">
        <v>41874.79</v>
      </c>
    </row>
    <row r="1009" spans="1:6" ht="13.5" customHeight="1" x14ac:dyDescent="0.3">
      <c r="A1009" s="21">
        <v>44875</v>
      </c>
      <c r="B1009" s="22">
        <v>133.51</v>
      </c>
      <c r="C1009" s="22">
        <v>1270.46</v>
      </c>
      <c r="D1009" s="22">
        <v>193.74</v>
      </c>
      <c r="E1009" s="22">
        <v>482.37</v>
      </c>
      <c r="F1009" s="22">
        <v>41303.760000000002</v>
      </c>
    </row>
    <row r="1010" spans="1:6" ht="13.5" customHeight="1" x14ac:dyDescent="0.3">
      <c r="A1010" s="19">
        <v>44876</v>
      </c>
      <c r="B1010" s="20">
        <v>134.43</v>
      </c>
      <c r="C1010" s="20">
        <v>1268.94</v>
      </c>
      <c r="D1010" s="20">
        <v>194.76</v>
      </c>
      <c r="E1010" s="20">
        <v>468.7</v>
      </c>
      <c r="F1010" s="20">
        <v>41526.93</v>
      </c>
    </row>
    <row r="1011" spans="1:6" ht="13.5" customHeight="1" x14ac:dyDescent="0.3">
      <c r="A1011" s="21">
        <v>44879</v>
      </c>
      <c r="B1011" s="22">
        <v>135.65</v>
      </c>
      <c r="C1011" s="22">
        <v>1310.5999999999999</v>
      </c>
      <c r="D1011" s="22">
        <v>193.96</v>
      </c>
      <c r="E1011" s="22">
        <v>455.14</v>
      </c>
      <c r="F1011" s="22">
        <v>41348.120000000003</v>
      </c>
    </row>
    <row r="1012" spans="1:6" ht="13.5" customHeight="1" x14ac:dyDescent="0.3">
      <c r="A1012" s="19">
        <v>44880</v>
      </c>
      <c r="B1012" s="20">
        <v>134.01</v>
      </c>
      <c r="C1012" s="20">
        <v>1319.74</v>
      </c>
      <c r="D1012" s="20">
        <v>193.61</v>
      </c>
      <c r="E1012" s="20">
        <v>461</v>
      </c>
      <c r="F1012" s="20">
        <v>40826.28</v>
      </c>
    </row>
    <row r="1013" spans="1:6" ht="13.5" customHeight="1" x14ac:dyDescent="0.3">
      <c r="A1013" s="21">
        <v>44881</v>
      </c>
      <c r="B1013" s="22">
        <v>132.66</v>
      </c>
      <c r="C1013" s="22">
        <v>1321.69</v>
      </c>
      <c r="D1013" s="22">
        <v>192.65</v>
      </c>
      <c r="E1013" s="22">
        <v>460.28</v>
      </c>
      <c r="F1013" s="22">
        <v>41270.51</v>
      </c>
    </row>
    <row r="1014" spans="1:6" ht="13.5" customHeight="1" x14ac:dyDescent="0.3">
      <c r="A1014" s="19">
        <v>44882</v>
      </c>
      <c r="B1014" s="20">
        <v>130.46</v>
      </c>
      <c r="C1014" s="20">
        <v>1343.12</v>
      </c>
      <c r="D1014" s="20">
        <v>193.48</v>
      </c>
      <c r="E1014" s="20">
        <v>458.9</v>
      </c>
      <c r="F1014" s="20">
        <v>41247</v>
      </c>
    </row>
    <row r="1015" spans="1:6" ht="13.5" customHeight="1" x14ac:dyDescent="0.3">
      <c r="A1015" s="21">
        <v>44883</v>
      </c>
      <c r="B1015" s="22">
        <v>130.19</v>
      </c>
      <c r="C1015" s="22">
        <v>1329.18</v>
      </c>
      <c r="D1015" s="22">
        <v>188.31</v>
      </c>
      <c r="E1015" s="22">
        <v>454.1</v>
      </c>
      <c r="F1015" s="22">
        <v>40949.949999999997</v>
      </c>
    </row>
    <row r="1016" spans="1:6" ht="13.5" customHeight="1" x14ac:dyDescent="0.3">
      <c r="A1016" s="19">
        <v>44886</v>
      </c>
      <c r="B1016" s="20">
        <v>130.02000000000001</v>
      </c>
      <c r="C1016" s="20">
        <v>1365.08</v>
      </c>
      <c r="D1016" s="20">
        <v>188.32</v>
      </c>
      <c r="E1016" s="20">
        <v>446.93</v>
      </c>
      <c r="F1016" s="20">
        <v>40888.800000000003</v>
      </c>
    </row>
    <row r="1017" spans="1:6" ht="13.5" customHeight="1" x14ac:dyDescent="0.3">
      <c r="A1017" s="21">
        <v>44887</v>
      </c>
      <c r="B1017" s="22">
        <v>130.37</v>
      </c>
      <c r="C1017" s="22">
        <v>1403.71</v>
      </c>
      <c r="D1017" s="22">
        <v>189.49</v>
      </c>
      <c r="E1017" s="22">
        <v>452.35</v>
      </c>
      <c r="F1017" s="22">
        <v>41600.9</v>
      </c>
    </row>
    <row r="1018" spans="1:6" ht="13.5" customHeight="1" x14ac:dyDescent="0.3">
      <c r="A1018" s="19">
        <v>44888</v>
      </c>
      <c r="B1018" s="20">
        <v>129.09</v>
      </c>
      <c r="C1018" s="20">
        <v>1415.17</v>
      </c>
      <c r="D1018" s="20">
        <v>190.74</v>
      </c>
      <c r="E1018" s="20">
        <v>452.33</v>
      </c>
      <c r="F1018" s="20">
        <v>42124.62</v>
      </c>
    </row>
    <row r="1019" spans="1:6" ht="13.5" customHeight="1" x14ac:dyDescent="0.3">
      <c r="A1019" s="21">
        <v>44889</v>
      </c>
      <c r="B1019" s="22">
        <v>130.76</v>
      </c>
      <c r="C1019" s="22">
        <v>1396.33</v>
      </c>
      <c r="D1019" s="22">
        <v>187.58</v>
      </c>
      <c r="E1019" s="22">
        <v>456.23</v>
      </c>
      <c r="F1019" s="22">
        <v>42164.63</v>
      </c>
    </row>
    <row r="1020" spans="1:6" ht="13.5" customHeight="1" x14ac:dyDescent="0.3">
      <c r="A1020" s="19">
        <v>44890</v>
      </c>
      <c r="B1020" s="20">
        <v>132.46</v>
      </c>
      <c r="C1020" s="20">
        <v>1423.57</v>
      </c>
      <c r="D1020" s="20">
        <v>186.41</v>
      </c>
      <c r="E1020" s="20">
        <v>442.33</v>
      </c>
      <c r="F1020" s="20">
        <v>42487.3</v>
      </c>
    </row>
    <row r="1021" spans="1:6" ht="13.5" customHeight="1" x14ac:dyDescent="0.3">
      <c r="A1021" s="21">
        <v>44893</v>
      </c>
      <c r="B1021" s="22">
        <v>135.34</v>
      </c>
      <c r="C1021" s="22">
        <v>1431.81</v>
      </c>
      <c r="D1021" s="22">
        <v>185.36</v>
      </c>
      <c r="E1021" s="22">
        <v>457.5</v>
      </c>
      <c r="F1021" s="22">
        <v>42222.57</v>
      </c>
    </row>
    <row r="1022" spans="1:6" ht="13.5" customHeight="1" x14ac:dyDescent="0.3">
      <c r="A1022" s="19">
        <v>44894</v>
      </c>
      <c r="B1022" s="20">
        <v>136.72</v>
      </c>
      <c r="C1022" s="20">
        <v>1448.92</v>
      </c>
      <c r="D1022" s="20">
        <v>183.86</v>
      </c>
      <c r="E1022" s="20">
        <v>467.91</v>
      </c>
      <c r="F1022" s="20">
        <v>43099.08</v>
      </c>
    </row>
    <row r="1023" spans="1:6" ht="13.5" customHeight="1" x14ac:dyDescent="0.3">
      <c r="A1023" s="21">
        <v>44895</v>
      </c>
      <c r="B1023" s="22">
        <v>137.11000000000001</v>
      </c>
      <c r="C1023" s="22">
        <v>1478.83</v>
      </c>
      <c r="D1023" s="22">
        <v>180.41</v>
      </c>
      <c r="E1023" s="22">
        <v>477.6</v>
      </c>
      <c r="F1023" s="22">
        <v>43754.38</v>
      </c>
    </row>
    <row r="1024" spans="1:6" ht="13.5" customHeight="1" x14ac:dyDescent="0.3">
      <c r="A1024" s="19">
        <v>44896</v>
      </c>
      <c r="B1024" s="20">
        <v>138.43</v>
      </c>
      <c r="C1024" s="20">
        <v>1491.1</v>
      </c>
      <c r="D1024" s="20">
        <v>177.4</v>
      </c>
      <c r="E1024" s="20">
        <v>459.2</v>
      </c>
      <c r="F1024" s="20">
        <v>43591.95</v>
      </c>
    </row>
    <row r="1025" spans="1:6" ht="13.5" customHeight="1" x14ac:dyDescent="0.3">
      <c r="A1025" s="21">
        <v>44897</v>
      </c>
      <c r="B1025" s="22">
        <v>139.65</v>
      </c>
      <c r="C1025" s="22">
        <v>1468.25</v>
      </c>
      <c r="D1025" s="22">
        <v>177.49</v>
      </c>
      <c r="E1025" s="22">
        <v>467.15</v>
      </c>
      <c r="F1025" s="22">
        <v>43706.239999999998</v>
      </c>
    </row>
    <row r="1026" spans="1:6" ht="13.5" customHeight="1" x14ac:dyDescent="0.3">
      <c r="A1026" s="19">
        <v>44900</v>
      </c>
      <c r="B1026" s="20">
        <v>138.43</v>
      </c>
      <c r="C1026" s="20">
        <v>1507.72</v>
      </c>
      <c r="D1026" s="20">
        <v>178.64</v>
      </c>
      <c r="E1026" s="20">
        <v>454.72</v>
      </c>
      <c r="F1026" s="20">
        <v>44178.69</v>
      </c>
    </row>
    <row r="1027" spans="1:6" ht="13.5" customHeight="1" x14ac:dyDescent="0.3">
      <c r="A1027" s="21">
        <v>44901</v>
      </c>
      <c r="B1027" s="22">
        <v>140.94999999999999</v>
      </c>
      <c r="C1027" s="22">
        <v>1516.04</v>
      </c>
      <c r="D1027" s="22">
        <v>179.13</v>
      </c>
      <c r="E1027" s="22">
        <v>458.62</v>
      </c>
      <c r="F1027" s="22">
        <v>44677.81</v>
      </c>
    </row>
    <row r="1028" spans="1:6" ht="13.5" customHeight="1" x14ac:dyDescent="0.3">
      <c r="A1028" s="19">
        <v>44902</v>
      </c>
      <c r="B1028" s="20">
        <v>144.35</v>
      </c>
      <c r="C1028" s="20">
        <v>1525.61</v>
      </c>
      <c r="D1028" s="20">
        <v>176.74</v>
      </c>
      <c r="E1028" s="20">
        <v>468.92</v>
      </c>
      <c r="F1028" s="20">
        <v>45204.5</v>
      </c>
    </row>
    <row r="1029" spans="1:6" ht="13.5" customHeight="1" x14ac:dyDescent="0.3">
      <c r="A1029" s="21">
        <v>44903</v>
      </c>
      <c r="B1029" s="22">
        <v>148.35</v>
      </c>
      <c r="C1029" s="22">
        <v>1543.07</v>
      </c>
      <c r="D1029" s="22">
        <v>177.88</v>
      </c>
      <c r="E1029" s="22">
        <v>478.64</v>
      </c>
      <c r="F1029" s="22">
        <v>45571.76</v>
      </c>
    </row>
    <row r="1030" spans="1:6" ht="13.5" customHeight="1" x14ac:dyDescent="0.3">
      <c r="A1030" s="19">
        <v>44904</v>
      </c>
      <c r="B1030" s="20">
        <v>148.47</v>
      </c>
      <c r="C1030" s="20">
        <v>1552.47</v>
      </c>
      <c r="D1030" s="20">
        <v>177.39</v>
      </c>
      <c r="E1030" s="20">
        <v>485.43</v>
      </c>
      <c r="F1030" s="20">
        <v>45766.6</v>
      </c>
    </row>
    <row r="1031" spans="1:6" ht="13.5" customHeight="1" x14ac:dyDescent="0.3">
      <c r="A1031" s="21">
        <v>44907</v>
      </c>
      <c r="B1031" s="22">
        <v>149.18</v>
      </c>
      <c r="C1031" s="22">
        <v>1573.88</v>
      </c>
      <c r="D1031" s="22">
        <v>176.08</v>
      </c>
      <c r="E1031" s="22">
        <v>502.66</v>
      </c>
      <c r="F1031" s="22">
        <v>44956.04</v>
      </c>
    </row>
    <row r="1032" spans="1:6" ht="13.5" customHeight="1" x14ac:dyDescent="0.3">
      <c r="A1032" s="19">
        <v>44908</v>
      </c>
      <c r="B1032" s="20">
        <v>150.09</v>
      </c>
      <c r="C1032" s="20">
        <v>1580.3</v>
      </c>
      <c r="D1032" s="20">
        <v>173.58</v>
      </c>
      <c r="E1032" s="20">
        <v>504.47</v>
      </c>
      <c r="F1032" s="20">
        <v>45717.919999999998</v>
      </c>
    </row>
    <row r="1033" spans="1:6" ht="13.5" customHeight="1" x14ac:dyDescent="0.3">
      <c r="A1033" s="21">
        <v>44909</v>
      </c>
      <c r="B1033" s="22">
        <v>150.13999999999999</v>
      </c>
      <c r="C1033" s="22">
        <v>1576.29</v>
      </c>
      <c r="D1033" s="22">
        <v>172.26</v>
      </c>
      <c r="E1033" s="22">
        <v>497.01</v>
      </c>
      <c r="F1033" s="22">
        <v>45559.34</v>
      </c>
    </row>
    <row r="1034" spans="1:6" ht="13.5" customHeight="1" x14ac:dyDescent="0.3">
      <c r="A1034" s="19">
        <v>44910</v>
      </c>
      <c r="B1034" s="20">
        <v>151.47</v>
      </c>
      <c r="C1034" s="20">
        <v>1561.93</v>
      </c>
      <c r="D1034" s="20">
        <v>174.27</v>
      </c>
      <c r="E1034" s="20">
        <v>492.29</v>
      </c>
      <c r="F1034" s="20">
        <v>45702.15</v>
      </c>
    </row>
    <row r="1035" spans="1:6" ht="13.5" customHeight="1" x14ac:dyDescent="0.3">
      <c r="A1035" s="21">
        <v>44911</v>
      </c>
      <c r="B1035" s="22">
        <v>151.27000000000001</v>
      </c>
      <c r="C1035" s="22">
        <v>1548.77</v>
      </c>
      <c r="D1035" s="22">
        <v>173.84</v>
      </c>
      <c r="E1035" s="22">
        <v>492.71</v>
      </c>
      <c r="F1035" s="22">
        <v>45704.15</v>
      </c>
    </row>
    <row r="1036" spans="1:6" ht="13.5" customHeight="1" x14ac:dyDescent="0.3">
      <c r="A1036" s="19">
        <v>44914</v>
      </c>
      <c r="B1036" s="20">
        <v>150.91</v>
      </c>
      <c r="C1036" s="20">
        <v>1541.82</v>
      </c>
      <c r="D1036" s="20">
        <v>173.57</v>
      </c>
      <c r="E1036" s="20">
        <v>500.75</v>
      </c>
      <c r="F1036" s="20">
        <v>46265.78</v>
      </c>
    </row>
    <row r="1037" spans="1:6" ht="13.5" customHeight="1" x14ac:dyDescent="0.3">
      <c r="A1037" s="21">
        <v>44915</v>
      </c>
      <c r="B1037" s="22">
        <v>154.63</v>
      </c>
      <c r="C1037" s="22">
        <v>1569.65</v>
      </c>
      <c r="D1037" s="22">
        <v>170.9</v>
      </c>
      <c r="E1037" s="22">
        <v>490.93</v>
      </c>
      <c r="F1037" s="22">
        <v>46060.25</v>
      </c>
    </row>
    <row r="1038" spans="1:6" ht="13.5" customHeight="1" x14ac:dyDescent="0.3">
      <c r="A1038" s="19">
        <v>44916</v>
      </c>
      <c r="B1038" s="20">
        <v>155.04</v>
      </c>
      <c r="C1038" s="20">
        <v>1561.25</v>
      </c>
      <c r="D1038" s="20">
        <v>178.48</v>
      </c>
      <c r="E1038" s="20">
        <v>498.73</v>
      </c>
      <c r="F1038" s="20">
        <v>45468.49</v>
      </c>
    </row>
    <row r="1039" spans="1:6" ht="13.5" customHeight="1" x14ac:dyDescent="0.3">
      <c r="A1039" s="21">
        <v>44917</v>
      </c>
      <c r="B1039" s="22">
        <v>155.22999999999999</v>
      </c>
      <c r="C1039" s="22">
        <v>1559.13</v>
      </c>
      <c r="D1039" s="22">
        <v>172.19</v>
      </c>
      <c r="E1039" s="22">
        <v>498.74</v>
      </c>
      <c r="F1039" s="22">
        <v>46241.24</v>
      </c>
    </row>
    <row r="1040" spans="1:6" ht="13.5" customHeight="1" x14ac:dyDescent="0.3">
      <c r="A1040" s="19">
        <v>44918</v>
      </c>
      <c r="B1040" s="20">
        <v>157.18</v>
      </c>
      <c r="C1040" s="20">
        <v>1557.27</v>
      </c>
      <c r="D1040" s="20">
        <v>166.75</v>
      </c>
      <c r="E1040" s="20">
        <v>494.64</v>
      </c>
      <c r="F1040" s="20">
        <v>46623.09</v>
      </c>
    </row>
    <row r="1041" spans="1:6" ht="13.5" customHeight="1" x14ac:dyDescent="0.3">
      <c r="A1041" s="21">
        <v>44921</v>
      </c>
      <c r="B1041" s="22">
        <v>157.55000000000001</v>
      </c>
      <c r="C1041" s="22">
        <v>1572.87</v>
      </c>
      <c r="D1041" s="22">
        <v>165.44</v>
      </c>
      <c r="E1041" s="22">
        <v>486.15</v>
      </c>
      <c r="F1041" s="22">
        <v>47456.12</v>
      </c>
    </row>
    <row r="1042" spans="1:6" ht="13.5" customHeight="1" x14ac:dyDescent="0.3">
      <c r="A1042" s="19">
        <v>44922</v>
      </c>
      <c r="B1042" s="20">
        <v>158.24</v>
      </c>
      <c r="C1042" s="20">
        <v>1591.81</v>
      </c>
      <c r="D1042" s="20">
        <v>166.03</v>
      </c>
      <c r="E1042" s="20">
        <v>482.05</v>
      </c>
      <c r="F1042" s="20">
        <v>47448.83</v>
      </c>
    </row>
    <row r="1043" spans="1:6" ht="13.5" customHeight="1" x14ac:dyDescent="0.3">
      <c r="A1043" s="21">
        <v>44923</v>
      </c>
      <c r="B1043" s="22">
        <v>158.15</v>
      </c>
      <c r="C1043" s="22">
        <v>1648.19</v>
      </c>
      <c r="D1043" s="22">
        <v>170.73</v>
      </c>
      <c r="E1043" s="22">
        <v>485.06</v>
      </c>
      <c r="F1043" s="22">
        <v>47648.87</v>
      </c>
    </row>
    <row r="1044" spans="1:6" ht="13.5" customHeight="1" x14ac:dyDescent="0.3">
      <c r="A1044" s="19">
        <v>44924</v>
      </c>
      <c r="B1044" s="20">
        <v>155.53</v>
      </c>
      <c r="C1044" s="20">
        <v>1608.67</v>
      </c>
      <c r="D1044" s="20">
        <v>172.18</v>
      </c>
      <c r="E1044" s="20">
        <v>483.5</v>
      </c>
      <c r="F1044" s="20">
        <v>48153.67</v>
      </c>
    </row>
    <row r="1045" spans="1:6" ht="13.5" customHeight="1" x14ac:dyDescent="0.3">
      <c r="A1045" s="21">
        <v>44925</v>
      </c>
      <c r="B1045" s="22">
        <v>155.51</v>
      </c>
      <c r="C1045" s="22">
        <v>1603.16</v>
      </c>
      <c r="D1045" s="22">
        <v>173.06</v>
      </c>
      <c r="E1045" s="22">
        <v>490.63</v>
      </c>
      <c r="F1045" s="22">
        <v>47614.29</v>
      </c>
    </row>
    <row r="1046" spans="1:6" ht="13.5" customHeight="1" x14ac:dyDescent="0.3">
      <c r="A1046" s="19">
        <v>44928</v>
      </c>
      <c r="B1046" s="20">
        <v>153.11000000000001</v>
      </c>
      <c r="C1046" s="20">
        <v>1620.32</v>
      </c>
      <c r="D1046" s="20">
        <v>175.64</v>
      </c>
      <c r="E1046" s="20">
        <v>475.92</v>
      </c>
      <c r="F1046" s="20">
        <v>46795.56</v>
      </c>
    </row>
    <row r="1047" spans="1:6" ht="13.5" customHeight="1" x14ac:dyDescent="0.3">
      <c r="A1047" s="21">
        <v>44929</v>
      </c>
      <c r="B1047" s="22">
        <v>153.6</v>
      </c>
      <c r="C1047" s="22">
        <v>1573.12</v>
      </c>
      <c r="D1047" s="22">
        <v>175.97</v>
      </c>
      <c r="E1047" s="22">
        <v>462.93</v>
      </c>
      <c r="F1047" s="22">
        <v>46374.75</v>
      </c>
    </row>
    <row r="1048" spans="1:6" ht="13.5" customHeight="1" x14ac:dyDescent="0.3">
      <c r="A1048" s="19">
        <v>44930</v>
      </c>
      <c r="B1048" s="20">
        <v>151.13999999999999</v>
      </c>
      <c r="C1048" s="20">
        <v>1622.38</v>
      </c>
      <c r="D1048" s="20">
        <v>170.62</v>
      </c>
      <c r="E1048" s="20">
        <v>454.07</v>
      </c>
      <c r="F1048" s="20">
        <v>46055.24</v>
      </c>
    </row>
    <row r="1049" spans="1:6" ht="13.5" customHeight="1" x14ac:dyDescent="0.3">
      <c r="A1049" s="21">
        <v>44931</v>
      </c>
      <c r="B1049" s="22">
        <v>153.1</v>
      </c>
      <c r="C1049" s="22">
        <v>1620.02</v>
      </c>
      <c r="D1049" s="22">
        <v>171.38</v>
      </c>
      <c r="E1049" s="22">
        <v>463.81</v>
      </c>
      <c r="F1049" s="22">
        <v>47002.03</v>
      </c>
    </row>
    <row r="1050" spans="1:6" ht="13.5" customHeight="1" x14ac:dyDescent="0.3">
      <c r="A1050" s="19">
        <v>44932</v>
      </c>
      <c r="B1050" s="20">
        <v>154.74</v>
      </c>
      <c r="C1050" s="20">
        <v>1598.3</v>
      </c>
      <c r="D1050" s="20">
        <v>172.03</v>
      </c>
      <c r="E1050" s="20">
        <v>462.81</v>
      </c>
      <c r="F1050" s="20">
        <v>48387.82</v>
      </c>
    </row>
    <row r="1051" spans="1:6" ht="13.5" customHeight="1" x14ac:dyDescent="0.3">
      <c r="A1051" s="21">
        <v>44935</v>
      </c>
      <c r="B1051" s="22">
        <v>155.38999999999999</v>
      </c>
      <c r="C1051" s="22">
        <v>1626.62</v>
      </c>
      <c r="D1051" s="22">
        <v>177.98</v>
      </c>
      <c r="E1051" s="22">
        <v>463.36</v>
      </c>
      <c r="F1051" s="22">
        <v>48290.16</v>
      </c>
    </row>
    <row r="1052" spans="1:6" ht="13.5" customHeight="1" x14ac:dyDescent="0.3">
      <c r="A1052" s="19">
        <v>44936</v>
      </c>
      <c r="B1052" s="20">
        <v>155.22999999999999</v>
      </c>
      <c r="C1052" s="20">
        <v>1564.52</v>
      </c>
      <c r="D1052" s="20">
        <v>176.03</v>
      </c>
      <c r="E1052" s="20">
        <v>468.76</v>
      </c>
      <c r="F1052" s="20">
        <v>48358.22</v>
      </c>
    </row>
    <row r="1053" spans="1:6" ht="13.5" customHeight="1" x14ac:dyDescent="0.3">
      <c r="A1053" s="21">
        <v>44937</v>
      </c>
      <c r="B1053" s="22">
        <v>156.16999999999999</v>
      </c>
      <c r="C1053" s="22">
        <v>1571.31</v>
      </c>
      <c r="D1053" s="22">
        <v>179.58</v>
      </c>
      <c r="E1053" s="22">
        <v>474.8</v>
      </c>
      <c r="F1053" s="22">
        <v>48200.26</v>
      </c>
    </row>
    <row r="1054" spans="1:6" ht="13.5" customHeight="1" x14ac:dyDescent="0.3">
      <c r="A1054" s="19">
        <v>44938</v>
      </c>
      <c r="B1054" s="20">
        <v>151.97</v>
      </c>
      <c r="C1054" s="20">
        <v>1544.76</v>
      </c>
      <c r="D1054" s="20">
        <v>175.81</v>
      </c>
      <c r="E1054" s="20">
        <v>470.23</v>
      </c>
      <c r="F1054" s="20">
        <v>48084.43</v>
      </c>
    </row>
    <row r="1055" spans="1:6" ht="13.5" customHeight="1" x14ac:dyDescent="0.3">
      <c r="A1055" s="21">
        <v>44939</v>
      </c>
      <c r="B1055" s="22">
        <v>149.71</v>
      </c>
      <c r="C1055" s="22">
        <v>1545.28</v>
      </c>
      <c r="D1055" s="22">
        <v>180.12</v>
      </c>
      <c r="E1055" s="22">
        <v>457.77</v>
      </c>
      <c r="F1055" s="22">
        <v>48288.160000000003</v>
      </c>
    </row>
    <row r="1056" spans="1:6" ht="13.5" customHeight="1" x14ac:dyDescent="0.3">
      <c r="A1056" s="19">
        <v>44942</v>
      </c>
      <c r="B1056" s="20">
        <v>149.44999999999999</v>
      </c>
      <c r="C1056" s="20">
        <v>1556.39</v>
      </c>
      <c r="D1056" s="20">
        <v>180.57</v>
      </c>
      <c r="E1056" s="20">
        <v>454.89</v>
      </c>
      <c r="F1056" s="20">
        <v>48491.86</v>
      </c>
    </row>
    <row r="1057" spans="1:6" ht="13.5" customHeight="1" x14ac:dyDescent="0.3">
      <c r="A1057" s="21">
        <v>44943</v>
      </c>
      <c r="B1057" s="22">
        <v>150.21</v>
      </c>
      <c r="C1057" s="22">
        <v>1579.08</v>
      </c>
      <c r="D1057" s="22">
        <v>183.02</v>
      </c>
      <c r="E1057" s="22">
        <v>441.97</v>
      </c>
      <c r="F1057" s="22">
        <v>48315.37</v>
      </c>
    </row>
    <row r="1058" spans="1:6" ht="13.5" customHeight="1" x14ac:dyDescent="0.3">
      <c r="A1058" s="19">
        <v>44944</v>
      </c>
      <c r="B1058" s="20">
        <v>150.09</v>
      </c>
      <c r="C1058" s="20">
        <v>1591.47</v>
      </c>
      <c r="D1058" s="20">
        <v>185.12</v>
      </c>
      <c r="E1058" s="20">
        <v>441.62</v>
      </c>
      <c r="F1058" s="20">
        <v>48272.06</v>
      </c>
    </row>
    <row r="1059" spans="1:6" ht="13.5" customHeight="1" x14ac:dyDescent="0.3">
      <c r="A1059" s="21">
        <v>44945</v>
      </c>
      <c r="B1059" s="22">
        <v>148.05000000000001</v>
      </c>
      <c r="C1059" s="22">
        <v>1650.99</v>
      </c>
      <c r="D1059" s="22">
        <v>187.17</v>
      </c>
      <c r="E1059" s="22">
        <v>435.43</v>
      </c>
      <c r="F1059" s="22">
        <v>47958.49</v>
      </c>
    </row>
    <row r="1060" spans="1:6" ht="13.5" customHeight="1" x14ac:dyDescent="0.3">
      <c r="A1060" s="19">
        <v>44946</v>
      </c>
      <c r="B1060" s="20">
        <v>148.37</v>
      </c>
      <c r="C1060" s="20">
        <v>1653.77</v>
      </c>
      <c r="D1060" s="20">
        <v>187.53</v>
      </c>
      <c r="E1060" s="20">
        <v>438</v>
      </c>
      <c r="F1060" s="20">
        <v>47577.440000000002</v>
      </c>
    </row>
    <row r="1061" spans="1:6" ht="13.5" customHeight="1" x14ac:dyDescent="0.3">
      <c r="A1061" s="21">
        <v>44949</v>
      </c>
      <c r="B1061" s="22">
        <v>147.47999999999999</v>
      </c>
      <c r="C1061" s="22">
        <v>1644.78</v>
      </c>
      <c r="D1061" s="22">
        <v>185.67</v>
      </c>
      <c r="E1061" s="22">
        <v>439.83</v>
      </c>
      <c r="F1061" s="22">
        <v>47378.49</v>
      </c>
    </row>
    <row r="1062" spans="1:6" ht="13.5" customHeight="1" x14ac:dyDescent="0.3">
      <c r="A1062" s="19">
        <v>44950</v>
      </c>
      <c r="B1062" s="20">
        <v>145.35</v>
      </c>
      <c r="C1062" s="20">
        <v>1681.34</v>
      </c>
      <c r="D1062" s="20">
        <v>185.28</v>
      </c>
      <c r="E1062" s="20">
        <v>437.02</v>
      </c>
      <c r="F1062" s="20">
        <v>47766.879999999997</v>
      </c>
    </row>
    <row r="1063" spans="1:6" ht="13.5" customHeight="1" x14ac:dyDescent="0.3">
      <c r="A1063" s="21">
        <v>44951</v>
      </c>
      <c r="B1063" s="22">
        <v>146.06</v>
      </c>
      <c r="C1063" s="22">
        <v>1680.4</v>
      </c>
      <c r="D1063" s="22">
        <v>183.12</v>
      </c>
      <c r="E1063" s="22">
        <v>442.47</v>
      </c>
      <c r="F1063" s="22">
        <v>48047.14</v>
      </c>
    </row>
    <row r="1064" spans="1:6" ht="13.5" customHeight="1" x14ac:dyDescent="0.3">
      <c r="A1064" s="19">
        <v>44952</v>
      </c>
      <c r="B1064" s="20">
        <v>145.68</v>
      </c>
      <c r="C1064" s="20">
        <v>1693.8</v>
      </c>
      <c r="D1064" s="20">
        <v>182.86</v>
      </c>
      <c r="E1064" s="20">
        <v>466.4</v>
      </c>
      <c r="F1064" s="20">
        <v>47778.28</v>
      </c>
    </row>
    <row r="1065" spans="1:6" ht="13.5" customHeight="1" x14ac:dyDescent="0.3">
      <c r="A1065" s="21">
        <v>44953</v>
      </c>
      <c r="B1065" s="22">
        <v>148.13999999999999</v>
      </c>
      <c r="C1065" s="22">
        <v>1577.17</v>
      </c>
      <c r="D1065" s="22">
        <v>178.3</v>
      </c>
      <c r="E1065" s="22">
        <v>450.36</v>
      </c>
      <c r="F1065" s="22">
        <v>48321.52</v>
      </c>
    </row>
    <row r="1066" spans="1:6" ht="13.5" customHeight="1" x14ac:dyDescent="0.3">
      <c r="A1066" s="19">
        <v>44956</v>
      </c>
      <c r="B1066" s="20">
        <v>149.55000000000001</v>
      </c>
      <c r="C1066" s="20">
        <v>1590.72</v>
      </c>
      <c r="D1066" s="20">
        <v>178.86</v>
      </c>
      <c r="E1066" s="20">
        <v>471.23</v>
      </c>
      <c r="F1066" s="20">
        <v>48371.79</v>
      </c>
    </row>
    <row r="1067" spans="1:6" ht="13.5" customHeight="1" x14ac:dyDescent="0.3">
      <c r="A1067" s="21">
        <v>44957</v>
      </c>
      <c r="B1067" s="22">
        <v>151.12</v>
      </c>
      <c r="C1067" s="22">
        <v>1589.57</v>
      </c>
      <c r="D1067" s="22">
        <v>181.68</v>
      </c>
      <c r="E1067" s="22">
        <v>462.79</v>
      </c>
      <c r="F1067" s="22">
        <v>48913.87</v>
      </c>
    </row>
    <row r="1068" spans="1:6" ht="13.5" customHeight="1" x14ac:dyDescent="0.3">
      <c r="A1068" s="19">
        <v>44958</v>
      </c>
      <c r="B1068" s="20">
        <v>151.84</v>
      </c>
      <c r="C1068" s="20">
        <v>1578.32</v>
      </c>
      <c r="D1068" s="20">
        <v>185.19</v>
      </c>
      <c r="E1068" s="20">
        <v>451.17</v>
      </c>
      <c r="F1068" s="20">
        <v>48825.86</v>
      </c>
    </row>
    <row r="1069" spans="1:6" ht="13.5" customHeight="1" x14ac:dyDescent="0.3">
      <c r="A1069" s="21">
        <v>44959</v>
      </c>
      <c r="B1069" s="22">
        <v>150.11000000000001</v>
      </c>
      <c r="C1069" s="22">
        <v>1560.99</v>
      </c>
      <c r="D1069" s="22">
        <v>189.1</v>
      </c>
      <c r="E1069" s="22">
        <v>443.18</v>
      </c>
      <c r="F1069" s="22">
        <v>49840.6</v>
      </c>
    </row>
    <row r="1070" spans="1:6" ht="13.5" customHeight="1" x14ac:dyDescent="0.3">
      <c r="A1070" s="19">
        <v>44960</v>
      </c>
      <c r="B1070" s="20">
        <v>148.21</v>
      </c>
      <c r="C1070" s="20">
        <v>1586.79</v>
      </c>
      <c r="D1070" s="20">
        <v>189.63</v>
      </c>
      <c r="E1070" s="20">
        <v>449.54</v>
      </c>
      <c r="F1070" s="20">
        <v>50648.1</v>
      </c>
    </row>
    <row r="1071" spans="1:6" ht="13.5" customHeight="1" x14ac:dyDescent="0.3">
      <c r="A1071" s="21">
        <v>44963</v>
      </c>
      <c r="B1071" s="22">
        <v>145.24</v>
      </c>
      <c r="C1071" s="22">
        <v>1530.59</v>
      </c>
      <c r="D1071" s="22">
        <v>189.24</v>
      </c>
      <c r="E1071" s="22">
        <v>451.59</v>
      </c>
      <c r="F1071" s="22">
        <v>51083.3</v>
      </c>
    </row>
    <row r="1072" spans="1:6" ht="13.5" customHeight="1" x14ac:dyDescent="0.3">
      <c r="A1072" s="19">
        <v>44964</v>
      </c>
      <c r="B1072" s="20">
        <v>151.08000000000001</v>
      </c>
      <c r="C1072" s="20">
        <v>1616.52</v>
      </c>
      <c r="D1072" s="20">
        <v>188.56</v>
      </c>
      <c r="E1072" s="20">
        <v>446.51</v>
      </c>
      <c r="F1072" s="20">
        <v>51936.68</v>
      </c>
    </row>
    <row r="1073" spans="1:6" ht="13.5" customHeight="1" x14ac:dyDescent="0.3">
      <c r="A1073" s="21">
        <v>44965</v>
      </c>
      <c r="B1073" s="22">
        <v>148.87</v>
      </c>
      <c r="C1073" s="22">
        <v>1650.39</v>
      </c>
      <c r="D1073" s="22">
        <v>189.8</v>
      </c>
      <c r="E1073" s="22">
        <v>441.83</v>
      </c>
      <c r="F1073" s="22">
        <v>51575</v>
      </c>
    </row>
    <row r="1074" spans="1:6" ht="13.5" customHeight="1" x14ac:dyDescent="0.3">
      <c r="A1074" s="19">
        <v>44966</v>
      </c>
      <c r="B1074" s="20">
        <v>148.47999999999999</v>
      </c>
      <c r="C1074" s="20">
        <v>1662.13</v>
      </c>
      <c r="D1074" s="20">
        <v>192.01</v>
      </c>
      <c r="E1074" s="20">
        <v>435.7</v>
      </c>
      <c r="F1074" s="20">
        <v>52611</v>
      </c>
    </row>
    <row r="1075" spans="1:6" ht="13.5" customHeight="1" x14ac:dyDescent="0.3">
      <c r="A1075" s="21">
        <v>44967</v>
      </c>
      <c r="B1075" s="22">
        <v>147.79</v>
      </c>
      <c r="C1075" s="22">
        <v>1718.84</v>
      </c>
      <c r="D1075" s="22">
        <v>193.11</v>
      </c>
      <c r="E1075" s="22">
        <v>440.78</v>
      </c>
      <c r="F1075" s="22">
        <v>51899.35</v>
      </c>
    </row>
    <row r="1076" spans="1:6" ht="13.5" customHeight="1" x14ac:dyDescent="0.3">
      <c r="A1076" s="19">
        <v>44970</v>
      </c>
      <c r="B1076" s="20">
        <v>147.26</v>
      </c>
      <c r="C1076" s="20">
        <v>1728.19</v>
      </c>
      <c r="D1076" s="20">
        <v>189.1</v>
      </c>
      <c r="E1076" s="20">
        <v>451.44</v>
      </c>
      <c r="F1076" s="20">
        <v>51964.959999999999</v>
      </c>
    </row>
    <row r="1077" spans="1:6" ht="13.5" customHeight="1" x14ac:dyDescent="0.3">
      <c r="A1077" s="21">
        <v>44971</v>
      </c>
      <c r="B1077" s="22">
        <v>146.11000000000001</v>
      </c>
      <c r="C1077" s="22">
        <v>1701.94</v>
      </c>
      <c r="D1077" s="22">
        <v>193.28</v>
      </c>
      <c r="E1077" s="22">
        <v>449.48</v>
      </c>
      <c r="F1077" s="22">
        <v>51622.07</v>
      </c>
    </row>
    <row r="1078" spans="1:6" ht="13.5" customHeight="1" x14ac:dyDescent="0.3">
      <c r="A1078" s="19">
        <v>44972</v>
      </c>
      <c r="B1078" s="20">
        <v>142.38</v>
      </c>
      <c r="C1078" s="20">
        <v>1733.78</v>
      </c>
      <c r="D1078" s="20">
        <v>194.81</v>
      </c>
      <c r="E1078" s="20">
        <v>443.92</v>
      </c>
      <c r="F1078" s="20">
        <v>50524.58</v>
      </c>
    </row>
    <row r="1079" spans="1:6" ht="13.5" customHeight="1" x14ac:dyDescent="0.3">
      <c r="A1079" s="21">
        <v>44973</v>
      </c>
      <c r="B1079" s="22">
        <v>140.44999999999999</v>
      </c>
      <c r="C1079" s="22">
        <v>1684.78</v>
      </c>
      <c r="D1079" s="22">
        <v>197.92</v>
      </c>
      <c r="E1079" s="22">
        <v>440.98</v>
      </c>
      <c r="F1079" s="22">
        <v>49799.88</v>
      </c>
    </row>
    <row r="1080" spans="1:6" ht="13.5" customHeight="1" x14ac:dyDescent="0.3">
      <c r="A1080" s="19">
        <v>44974</v>
      </c>
      <c r="B1080" s="20">
        <v>137.79</v>
      </c>
      <c r="C1080" s="20">
        <v>1703.62</v>
      </c>
      <c r="D1080" s="20">
        <v>198.16</v>
      </c>
      <c r="E1080" s="20">
        <v>421.96</v>
      </c>
      <c r="F1080" s="20">
        <v>49571.92</v>
      </c>
    </row>
    <row r="1081" spans="1:6" ht="13.5" customHeight="1" x14ac:dyDescent="0.3">
      <c r="A1081" s="21">
        <v>44977</v>
      </c>
      <c r="B1081" s="22">
        <v>137.59</v>
      </c>
      <c r="C1081" s="22">
        <v>1740.63</v>
      </c>
      <c r="D1081" s="22">
        <v>197.43</v>
      </c>
      <c r="E1081" s="22">
        <v>421.73</v>
      </c>
      <c r="F1081" s="22">
        <v>49863.48</v>
      </c>
    </row>
    <row r="1082" spans="1:6" ht="13.5" customHeight="1" x14ac:dyDescent="0.3">
      <c r="A1082" s="19">
        <v>44978</v>
      </c>
      <c r="B1082" s="20">
        <v>136.33000000000001</v>
      </c>
      <c r="C1082" s="20">
        <v>1758.09</v>
      </c>
      <c r="D1082" s="20">
        <v>203.53</v>
      </c>
      <c r="E1082" s="20">
        <v>424.98</v>
      </c>
      <c r="F1082" s="20">
        <v>49671.94</v>
      </c>
    </row>
    <row r="1083" spans="1:6" ht="13.5" customHeight="1" x14ac:dyDescent="0.3">
      <c r="A1083" s="21">
        <v>44979</v>
      </c>
      <c r="B1083" s="22">
        <v>135.08000000000001</v>
      </c>
      <c r="C1083" s="22">
        <v>1714.14</v>
      </c>
      <c r="D1083" s="22">
        <v>200.18</v>
      </c>
      <c r="E1083" s="22">
        <v>422.22</v>
      </c>
      <c r="F1083" s="22">
        <v>50217.97</v>
      </c>
    </row>
    <row r="1084" spans="1:6" ht="13.5" customHeight="1" x14ac:dyDescent="0.3">
      <c r="A1084" s="19">
        <v>44980</v>
      </c>
      <c r="B1084" s="20">
        <v>135.52000000000001</v>
      </c>
      <c r="C1084" s="20">
        <v>1721.36</v>
      </c>
      <c r="D1084" s="20">
        <v>194.94</v>
      </c>
      <c r="E1084" s="20">
        <v>418.39</v>
      </c>
      <c r="F1084" s="20">
        <v>50049.32</v>
      </c>
    </row>
    <row r="1085" spans="1:6" ht="13.5" customHeight="1" x14ac:dyDescent="0.3">
      <c r="A1085" s="21">
        <v>44981</v>
      </c>
      <c r="B1085" s="22">
        <v>134.47</v>
      </c>
      <c r="C1085" s="22">
        <v>1718.65</v>
      </c>
      <c r="D1085" s="22">
        <v>201.14</v>
      </c>
      <c r="E1085" s="22">
        <v>427.45</v>
      </c>
      <c r="F1085" s="22">
        <v>49541.81</v>
      </c>
    </row>
    <row r="1086" spans="1:6" ht="13.5" customHeight="1" x14ac:dyDescent="0.3">
      <c r="A1086" s="19">
        <v>44984</v>
      </c>
      <c r="B1086" s="20">
        <v>136.25</v>
      </c>
      <c r="C1086" s="20">
        <v>1697.17</v>
      </c>
      <c r="D1086" s="20">
        <v>201.99</v>
      </c>
      <c r="E1086" s="20">
        <v>430.19</v>
      </c>
      <c r="F1086" s="20">
        <v>50322.96</v>
      </c>
    </row>
    <row r="1087" spans="1:6" ht="13.5" customHeight="1" x14ac:dyDescent="0.3">
      <c r="A1087" s="21">
        <v>44985</v>
      </c>
      <c r="B1087" s="22">
        <v>135.57</v>
      </c>
      <c r="C1087" s="22">
        <v>1628.97</v>
      </c>
      <c r="D1087" s="22">
        <v>200.7</v>
      </c>
      <c r="E1087" s="22">
        <v>433.55</v>
      </c>
      <c r="F1087" s="22">
        <v>51029.62</v>
      </c>
    </row>
    <row r="1088" spans="1:6" ht="13.5" customHeight="1" x14ac:dyDescent="0.3">
      <c r="A1088" s="19">
        <v>44986</v>
      </c>
      <c r="B1088" s="20">
        <v>136.03</v>
      </c>
      <c r="C1088" s="20">
        <v>1595.88</v>
      </c>
      <c r="D1088" s="20">
        <v>198.93</v>
      </c>
      <c r="E1088" s="20">
        <v>437.87</v>
      </c>
      <c r="F1088" s="20">
        <v>50905.51</v>
      </c>
    </row>
    <row r="1089" spans="1:6" ht="13.5" customHeight="1" x14ac:dyDescent="0.3">
      <c r="A1089" s="21">
        <v>44987</v>
      </c>
      <c r="B1089" s="22">
        <v>133.58000000000001</v>
      </c>
      <c r="C1089" s="22">
        <v>1582.73</v>
      </c>
      <c r="D1089" s="22">
        <v>192.73</v>
      </c>
      <c r="E1089" s="22">
        <v>439.27</v>
      </c>
      <c r="F1089" s="22">
        <v>49992.86</v>
      </c>
    </row>
    <row r="1090" spans="1:6" ht="13.5" customHeight="1" x14ac:dyDescent="0.3">
      <c r="A1090" s="19">
        <v>44988</v>
      </c>
      <c r="B1090" s="20">
        <v>134.84</v>
      </c>
      <c r="C1090" s="20">
        <v>1615.1</v>
      </c>
      <c r="D1090" s="20">
        <v>198.47</v>
      </c>
      <c r="E1090" s="20">
        <v>450.38</v>
      </c>
      <c r="F1090" s="20">
        <v>49392.67</v>
      </c>
    </row>
    <row r="1091" spans="1:6" ht="13.5" customHeight="1" x14ac:dyDescent="0.3">
      <c r="A1091" s="21">
        <v>44991</v>
      </c>
      <c r="B1091" s="22">
        <v>134.12</v>
      </c>
      <c r="C1091" s="22">
        <v>1694.49</v>
      </c>
      <c r="D1091" s="22">
        <v>200.76</v>
      </c>
      <c r="E1091" s="22">
        <v>438.94</v>
      </c>
      <c r="F1091" s="22">
        <v>49120.79</v>
      </c>
    </row>
    <row r="1092" spans="1:6" ht="13.5" customHeight="1" x14ac:dyDescent="0.3">
      <c r="A1092" s="19">
        <v>44992</v>
      </c>
      <c r="B1092" s="20">
        <v>134.91999999999999</v>
      </c>
      <c r="C1092" s="20">
        <v>1721.11</v>
      </c>
      <c r="D1092" s="20">
        <v>202.45</v>
      </c>
      <c r="E1092" s="20">
        <v>438.89</v>
      </c>
      <c r="F1092" s="20">
        <v>49180.49</v>
      </c>
    </row>
    <row r="1093" spans="1:6" ht="13.5" customHeight="1" x14ac:dyDescent="0.3">
      <c r="A1093" s="21">
        <v>44993</v>
      </c>
      <c r="B1093" s="22">
        <v>135.58000000000001</v>
      </c>
      <c r="C1093" s="22">
        <v>1698.2</v>
      </c>
      <c r="D1093" s="22">
        <v>205.16</v>
      </c>
      <c r="E1093" s="22">
        <v>420.16</v>
      </c>
      <c r="F1093" s="22">
        <v>49866.35</v>
      </c>
    </row>
    <row r="1094" spans="1:6" ht="13.5" customHeight="1" x14ac:dyDescent="0.3">
      <c r="A1094" s="19">
        <v>44994</v>
      </c>
      <c r="B1094" s="20">
        <v>135.30000000000001</v>
      </c>
      <c r="C1094" s="20">
        <v>1686.6</v>
      </c>
      <c r="D1094" s="20">
        <v>202.28</v>
      </c>
      <c r="E1094" s="20">
        <v>417.02</v>
      </c>
      <c r="F1094" s="20">
        <v>49924.65</v>
      </c>
    </row>
    <row r="1095" spans="1:6" ht="13.5" customHeight="1" x14ac:dyDescent="0.3">
      <c r="A1095" s="21">
        <v>44995</v>
      </c>
      <c r="B1095" s="22">
        <v>135.75</v>
      </c>
      <c r="C1095" s="22">
        <v>1719.8</v>
      </c>
      <c r="D1095" s="22">
        <v>203.82</v>
      </c>
      <c r="E1095" s="22">
        <v>433.01</v>
      </c>
      <c r="F1095" s="22">
        <v>50107.12</v>
      </c>
    </row>
    <row r="1096" spans="1:6" ht="13.5" customHeight="1" x14ac:dyDescent="0.3">
      <c r="A1096" s="19">
        <v>44998</v>
      </c>
      <c r="B1096" s="20">
        <v>135.07</v>
      </c>
      <c r="C1096" s="20">
        <v>1739.44</v>
      </c>
      <c r="D1096" s="20">
        <v>207.39</v>
      </c>
      <c r="E1096" s="20">
        <v>422.7</v>
      </c>
      <c r="F1096" s="20">
        <v>50369.79</v>
      </c>
    </row>
    <row r="1097" spans="1:6" ht="13.5" customHeight="1" x14ac:dyDescent="0.3">
      <c r="A1097" s="21">
        <v>44999</v>
      </c>
      <c r="B1097" s="22">
        <v>137.63</v>
      </c>
      <c r="C1097" s="22">
        <v>1752.47</v>
      </c>
      <c r="D1097" s="22">
        <v>200.27</v>
      </c>
      <c r="E1097" s="22">
        <v>414.09</v>
      </c>
      <c r="F1097" s="22">
        <v>49713.66</v>
      </c>
    </row>
    <row r="1098" spans="1:6" ht="13.5" customHeight="1" x14ac:dyDescent="0.3">
      <c r="A1098" s="19">
        <v>45000</v>
      </c>
      <c r="B1098" s="20">
        <v>139.46</v>
      </c>
      <c r="C1098" s="20">
        <v>1760.87</v>
      </c>
      <c r="D1098" s="20">
        <v>202.23</v>
      </c>
      <c r="E1098" s="20">
        <v>413.7</v>
      </c>
      <c r="F1098" s="20">
        <v>50365.71</v>
      </c>
    </row>
    <row r="1099" spans="1:6" ht="13.5" customHeight="1" x14ac:dyDescent="0.3">
      <c r="A1099" s="21">
        <v>45001</v>
      </c>
      <c r="B1099" s="22">
        <v>140.43</v>
      </c>
      <c r="C1099" s="22">
        <v>1799.17</v>
      </c>
      <c r="D1099" s="22">
        <v>204.69</v>
      </c>
      <c r="E1099" s="22">
        <v>420.65</v>
      </c>
      <c r="F1099" s="22">
        <v>51251.71</v>
      </c>
    </row>
    <row r="1100" spans="1:6" ht="13.5" customHeight="1" x14ac:dyDescent="0.3">
      <c r="A1100" s="19">
        <v>45002</v>
      </c>
      <c r="B1100" s="20">
        <v>138.18</v>
      </c>
      <c r="C1100" s="20">
        <v>1871.2</v>
      </c>
      <c r="D1100" s="20">
        <v>205.1</v>
      </c>
      <c r="E1100" s="20">
        <v>426.26</v>
      </c>
      <c r="F1100" s="20">
        <v>51574.7</v>
      </c>
    </row>
    <row r="1101" spans="1:6" ht="13.5" customHeight="1" x14ac:dyDescent="0.3">
      <c r="A1101" s="21">
        <v>45005</v>
      </c>
      <c r="B1101" s="22">
        <v>136.12</v>
      </c>
      <c r="C1101" s="22">
        <v>1872.63</v>
      </c>
      <c r="D1101" s="22">
        <v>202.32</v>
      </c>
      <c r="E1101" s="22">
        <v>422.08</v>
      </c>
      <c r="F1101" s="22">
        <v>52498.34</v>
      </c>
    </row>
    <row r="1102" spans="1:6" ht="13.5" customHeight="1" x14ac:dyDescent="0.3">
      <c r="A1102" s="19">
        <v>45006</v>
      </c>
      <c r="B1102" s="20">
        <v>134.91</v>
      </c>
      <c r="C1102" s="20">
        <v>1878.99</v>
      </c>
      <c r="D1102" s="20">
        <v>201.87</v>
      </c>
      <c r="E1102" s="20">
        <v>435.82</v>
      </c>
      <c r="F1102" s="20">
        <v>52368.18</v>
      </c>
    </row>
    <row r="1103" spans="1:6" ht="13.5" customHeight="1" x14ac:dyDescent="0.3">
      <c r="A1103" s="21">
        <v>45007</v>
      </c>
      <c r="B1103" s="22">
        <v>134.5</v>
      </c>
      <c r="C1103" s="22">
        <v>1896.82</v>
      </c>
      <c r="D1103" s="22">
        <v>200.5</v>
      </c>
      <c r="E1103" s="22">
        <v>435.55</v>
      </c>
      <c r="F1103" s="22">
        <v>52391.42</v>
      </c>
    </row>
    <row r="1104" spans="1:6" ht="13.5" customHeight="1" x14ac:dyDescent="0.3">
      <c r="A1104" s="19">
        <v>45008</v>
      </c>
      <c r="B1104" s="20">
        <v>135.37</v>
      </c>
      <c r="C1104" s="20">
        <v>1882.49</v>
      </c>
      <c r="D1104" s="20">
        <v>201.72</v>
      </c>
      <c r="E1104" s="20">
        <v>445.13</v>
      </c>
      <c r="F1104" s="20">
        <v>53223.91</v>
      </c>
    </row>
    <row r="1105" spans="1:6" ht="13.5" customHeight="1" x14ac:dyDescent="0.3">
      <c r="A1105" s="21">
        <v>45009</v>
      </c>
      <c r="B1105" s="22">
        <v>133.74</v>
      </c>
      <c r="C1105" s="22">
        <v>1810.81</v>
      </c>
      <c r="D1105" s="22">
        <v>200.11</v>
      </c>
      <c r="E1105" s="22">
        <v>458.75</v>
      </c>
      <c r="F1105" s="22">
        <v>53139.98</v>
      </c>
    </row>
    <row r="1106" spans="1:6" ht="13.5" customHeight="1" x14ac:dyDescent="0.3">
      <c r="A1106" s="19">
        <v>45012</v>
      </c>
      <c r="B1106" s="20">
        <v>135.96</v>
      </c>
      <c r="C1106" s="20">
        <v>1827.65</v>
      </c>
      <c r="D1106" s="20">
        <v>202.6</v>
      </c>
      <c r="E1106" s="20">
        <v>450.44</v>
      </c>
      <c r="F1106" s="20">
        <v>52789.78</v>
      </c>
    </row>
    <row r="1107" spans="1:6" ht="13.5" customHeight="1" x14ac:dyDescent="0.3">
      <c r="A1107" s="21">
        <v>45013</v>
      </c>
      <c r="B1107" s="22">
        <v>136.01</v>
      </c>
      <c r="C1107" s="22">
        <v>1805.09</v>
      </c>
      <c r="D1107" s="22">
        <v>201.03</v>
      </c>
      <c r="E1107" s="22">
        <v>437.93</v>
      </c>
      <c r="F1107" s="22">
        <v>53876.02</v>
      </c>
    </row>
    <row r="1108" spans="1:6" ht="13.5" customHeight="1" x14ac:dyDescent="0.3">
      <c r="A1108" s="19">
        <v>45014</v>
      </c>
      <c r="B1108" s="20">
        <v>132.26</v>
      </c>
      <c r="C1108" s="20">
        <v>1848.09</v>
      </c>
      <c r="D1108" s="20">
        <v>199.46</v>
      </c>
      <c r="E1108" s="20">
        <v>442.57</v>
      </c>
      <c r="F1108" s="20">
        <v>53800.89</v>
      </c>
    </row>
    <row r="1109" spans="1:6" ht="13.5" customHeight="1" x14ac:dyDescent="0.3">
      <c r="A1109" s="21">
        <v>45015</v>
      </c>
      <c r="B1109" s="22">
        <v>131.43</v>
      </c>
      <c r="C1109" s="22">
        <v>1855.13</v>
      </c>
      <c r="D1109" s="22">
        <v>203.21</v>
      </c>
      <c r="E1109" s="22">
        <v>444.34</v>
      </c>
      <c r="F1109" s="22">
        <v>53330.04</v>
      </c>
    </row>
    <row r="1110" spans="1:6" ht="13.5" customHeight="1" x14ac:dyDescent="0.3">
      <c r="A1110" s="19">
        <v>45016</v>
      </c>
      <c r="B1110" s="20">
        <v>126.76</v>
      </c>
      <c r="C1110" s="20">
        <v>1905.23</v>
      </c>
      <c r="D1110" s="20">
        <v>202.78</v>
      </c>
      <c r="E1110" s="20">
        <v>444.84</v>
      </c>
      <c r="F1110" s="20">
        <v>53342.29</v>
      </c>
    </row>
    <row r="1111" spans="1:6" ht="13.5" customHeight="1" x14ac:dyDescent="0.3">
      <c r="A1111" s="21">
        <v>45019</v>
      </c>
      <c r="B1111" s="22">
        <v>125.48</v>
      </c>
      <c r="C1111" s="22">
        <v>1877.55</v>
      </c>
      <c r="D1111" s="22">
        <v>204.55</v>
      </c>
      <c r="E1111" s="22">
        <v>447.31</v>
      </c>
      <c r="F1111" s="22">
        <v>52065.36</v>
      </c>
    </row>
    <row r="1112" spans="1:6" ht="13.5" customHeight="1" x14ac:dyDescent="0.3">
      <c r="A1112" s="19">
        <v>45020</v>
      </c>
      <c r="B1112" s="20">
        <v>124.57</v>
      </c>
      <c r="C1112" s="20">
        <v>1916.13</v>
      </c>
      <c r="D1112" s="20">
        <v>200.46</v>
      </c>
      <c r="E1112" s="20">
        <v>446.67</v>
      </c>
      <c r="F1112" s="20">
        <v>52701.04</v>
      </c>
    </row>
    <row r="1113" spans="1:6" ht="13.5" customHeight="1" x14ac:dyDescent="0.3">
      <c r="A1113" s="21">
        <v>45021</v>
      </c>
      <c r="B1113" s="22">
        <v>123.55</v>
      </c>
      <c r="C1113" s="22">
        <v>1862.13</v>
      </c>
      <c r="D1113" s="22">
        <v>205.34</v>
      </c>
      <c r="E1113" s="22">
        <v>460.06</v>
      </c>
      <c r="F1113" s="22">
        <v>53525.37</v>
      </c>
    </row>
    <row r="1114" spans="1:6" ht="13.5" customHeight="1" x14ac:dyDescent="0.3">
      <c r="A1114" s="19">
        <v>45022</v>
      </c>
      <c r="B1114" s="20">
        <v>123.03</v>
      </c>
      <c r="C1114" s="20">
        <v>1894.03</v>
      </c>
      <c r="D1114" s="20">
        <v>200.72</v>
      </c>
      <c r="E1114" s="20">
        <v>434.11</v>
      </c>
      <c r="F1114" s="20">
        <v>52789.55</v>
      </c>
    </row>
    <row r="1115" spans="1:6" ht="13.5" customHeight="1" x14ac:dyDescent="0.3">
      <c r="A1115" s="21">
        <v>45023</v>
      </c>
      <c r="B1115" s="22">
        <v>122.4</v>
      </c>
      <c r="C1115" s="22">
        <v>1887.23</v>
      </c>
      <c r="D1115" s="22">
        <v>201.11</v>
      </c>
      <c r="E1115" s="22">
        <v>444.74</v>
      </c>
      <c r="F1115" s="22">
        <v>52406.53</v>
      </c>
    </row>
    <row r="1116" spans="1:6" ht="13.5" customHeight="1" x14ac:dyDescent="0.3">
      <c r="A1116" s="19">
        <v>45026</v>
      </c>
      <c r="B1116" s="20">
        <v>121.43</v>
      </c>
      <c r="C1116" s="20">
        <v>1919.56</v>
      </c>
      <c r="D1116" s="20">
        <v>200.48</v>
      </c>
      <c r="E1116" s="20">
        <v>447.13</v>
      </c>
      <c r="F1116" s="20">
        <v>53529.31</v>
      </c>
    </row>
    <row r="1117" spans="1:6" ht="13.5" customHeight="1" x14ac:dyDescent="0.3">
      <c r="A1117" s="21">
        <v>45027</v>
      </c>
      <c r="B1117" s="22">
        <v>124</v>
      </c>
      <c r="C1117" s="22">
        <v>1908.58</v>
      </c>
      <c r="D1117" s="22">
        <v>198.15</v>
      </c>
      <c r="E1117" s="22">
        <v>446.26</v>
      </c>
      <c r="F1117" s="22">
        <v>54134.96</v>
      </c>
    </row>
    <row r="1118" spans="1:6" ht="13.5" customHeight="1" x14ac:dyDescent="0.3">
      <c r="A1118" s="19">
        <v>45028</v>
      </c>
      <c r="B1118" s="20">
        <v>126.13</v>
      </c>
      <c r="C1118" s="20">
        <v>1932.69</v>
      </c>
      <c r="D1118" s="20">
        <v>197.37</v>
      </c>
      <c r="E1118" s="20">
        <v>438.25</v>
      </c>
      <c r="F1118" s="20">
        <v>53951.02</v>
      </c>
    </row>
    <row r="1119" spans="1:6" ht="13.5" customHeight="1" x14ac:dyDescent="0.3">
      <c r="A1119" s="21">
        <v>45029</v>
      </c>
      <c r="B1119" s="22">
        <v>124.17</v>
      </c>
      <c r="C1119" s="22">
        <v>1950.97</v>
      </c>
      <c r="D1119" s="22">
        <v>201.29</v>
      </c>
      <c r="E1119" s="22">
        <v>448.67</v>
      </c>
      <c r="F1119" s="22">
        <v>53868.160000000003</v>
      </c>
    </row>
    <row r="1120" spans="1:6" ht="13.5" customHeight="1" x14ac:dyDescent="0.3">
      <c r="A1120" s="19">
        <v>45030</v>
      </c>
      <c r="B1120" s="20">
        <v>126.37</v>
      </c>
      <c r="C1120" s="20">
        <v>1965.32</v>
      </c>
      <c r="D1120" s="20">
        <v>206.88</v>
      </c>
      <c r="E1120" s="20">
        <v>439.04</v>
      </c>
      <c r="F1120" s="20">
        <v>54132.54</v>
      </c>
    </row>
    <row r="1121" spans="1:6" ht="13.5" customHeight="1" x14ac:dyDescent="0.3">
      <c r="A1121" s="21">
        <v>45033</v>
      </c>
      <c r="B1121" s="22">
        <v>123.57</v>
      </c>
      <c r="C1121" s="22">
        <v>1981.84</v>
      </c>
      <c r="D1121" s="22">
        <v>206.19</v>
      </c>
      <c r="E1121" s="22">
        <v>440.15</v>
      </c>
      <c r="F1121" s="22">
        <v>55023.8</v>
      </c>
    </row>
    <row r="1122" spans="1:6" ht="13.5" customHeight="1" x14ac:dyDescent="0.3">
      <c r="A1122" s="19">
        <v>45034</v>
      </c>
      <c r="B1122" s="20">
        <v>122.21</v>
      </c>
      <c r="C1122" s="20">
        <v>2041.76</v>
      </c>
      <c r="D1122" s="20">
        <v>205.11</v>
      </c>
      <c r="E1122" s="20">
        <v>449.82</v>
      </c>
      <c r="F1122" s="20">
        <v>55526.89</v>
      </c>
    </row>
    <row r="1123" spans="1:6" ht="13.5" customHeight="1" x14ac:dyDescent="0.3">
      <c r="A1123" s="21">
        <v>45035</v>
      </c>
      <c r="B1123" s="22">
        <v>124.84</v>
      </c>
      <c r="C1123" s="22">
        <v>2022.76</v>
      </c>
      <c r="D1123" s="22">
        <v>199.13</v>
      </c>
      <c r="E1123" s="22">
        <v>435.97</v>
      </c>
      <c r="F1123" s="22">
        <v>55902.5</v>
      </c>
    </row>
    <row r="1124" spans="1:6" ht="13.5" customHeight="1" x14ac:dyDescent="0.3">
      <c r="A1124" s="19">
        <v>45036</v>
      </c>
      <c r="B1124" s="20">
        <v>121</v>
      </c>
      <c r="C1124" s="20">
        <v>2074.0300000000002</v>
      </c>
      <c r="D1124" s="20">
        <v>204.58</v>
      </c>
      <c r="E1124" s="20">
        <v>438.78</v>
      </c>
      <c r="F1124" s="20">
        <v>55793.18</v>
      </c>
    </row>
    <row r="1125" spans="1:6" ht="13.5" customHeight="1" x14ac:dyDescent="0.3">
      <c r="A1125" s="21">
        <v>45037</v>
      </c>
      <c r="B1125" s="22">
        <v>122</v>
      </c>
      <c r="C1125" s="22">
        <v>2062.31</v>
      </c>
      <c r="D1125" s="22">
        <v>201.23</v>
      </c>
      <c r="E1125" s="22">
        <v>441.56</v>
      </c>
      <c r="F1125" s="22">
        <v>56789.42</v>
      </c>
    </row>
    <row r="1126" spans="1:6" ht="13.5" customHeight="1" x14ac:dyDescent="0.3">
      <c r="A1126" s="19">
        <v>45040</v>
      </c>
      <c r="B1126" s="20">
        <v>119.92</v>
      </c>
      <c r="C1126" s="20">
        <v>2107.4499999999998</v>
      </c>
      <c r="D1126" s="20">
        <v>198.43</v>
      </c>
      <c r="E1126" s="20">
        <v>445.34</v>
      </c>
      <c r="F1126" s="20">
        <v>57184.57</v>
      </c>
    </row>
    <row r="1127" spans="1:6" ht="13.5" customHeight="1" x14ac:dyDescent="0.3">
      <c r="A1127" s="21">
        <v>45041</v>
      </c>
      <c r="B1127" s="22">
        <v>119.72</v>
      </c>
      <c r="C1127" s="22">
        <v>2195.67</v>
      </c>
      <c r="D1127" s="22">
        <v>198.83</v>
      </c>
      <c r="E1127" s="22">
        <v>441.63</v>
      </c>
      <c r="F1127" s="22">
        <v>56492.74</v>
      </c>
    </row>
    <row r="1128" spans="1:6" ht="13.5" customHeight="1" x14ac:dyDescent="0.3">
      <c r="A1128" s="19">
        <v>45042</v>
      </c>
      <c r="B1128" s="20">
        <v>119.46</v>
      </c>
      <c r="C1128" s="20">
        <v>2166.06</v>
      </c>
      <c r="D1128" s="20">
        <v>201.21</v>
      </c>
      <c r="E1128" s="20">
        <v>446.73</v>
      </c>
      <c r="F1128" s="20">
        <v>56263.78</v>
      </c>
    </row>
    <row r="1129" spans="1:6" ht="13.5" customHeight="1" x14ac:dyDescent="0.3">
      <c r="A1129" s="21">
        <v>45043</v>
      </c>
      <c r="B1129" s="22">
        <v>122.31</v>
      </c>
      <c r="C1129" s="22">
        <v>2084.98</v>
      </c>
      <c r="D1129" s="22">
        <v>206.12</v>
      </c>
      <c r="E1129" s="22">
        <v>455.71</v>
      </c>
      <c r="F1129" s="22">
        <v>57433.62</v>
      </c>
    </row>
    <row r="1130" spans="1:6" ht="13.5" customHeight="1" x14ac:dyDescent="0.3">
      <c r="A1130" s="19">
        <v>45044</v>
      </c>
      <c r="B1130" s="20">
        <v>120.97</v>
      </c>
      <c r="C1130" s="20">
        <v>2092.2399999999998</v>
      </c>
      <c r="D1130" s="20">
        <v>213.26</v>
      </c>
      <c r="E1130" s="20">
        <v>453.34</v>
      </c>
      <c r="F1130" s="20">
        <v>56270.89</v>
      </c>
    </row>
    <row r="1131" spans="1:6" ht="13.5" customHeight="1" x14ac:dyDescent="0.3">
      <c r="A1131" s="21">
        <v>45047</v>
      </c>
      <c r="B1131" s="22">
        <v>120.9</v>
      </c>
      <c r="C1131" s="22">
        <v>2067.96</v>
      </c>
      <c r="D1131" s="22">
        <v>215.87</v>
      </c>
      <c r="E1131" s="22">
        <v>471.41</v>
      </c>
      <c r="F1131" s="22">
        <v>55615.44</v>
      </c>
    </row>
    <row r="1132" spans="1:6" ht="13.5" customHeight="1" x14ac:dyDescent="0.3">
      <c r="A1132" s="19">
        <v>45048</v>
      </c>
      <c r="B1132" s="20">
        <v>121.98</v>
      </c>
      <c r="C1132" s="20">
        <v>2049.9899999999998</v>
      </c>
      <c r="D1132" s="20">
        <v>214.33</v>
      </c>
      <c r="E1132" s="20">
        <v>461.51</v>
      </c>
      <c r="F1132" s="20">
        <v>55980.89</v>
      </c>
    </row>
    <row r="1133" spans="1:6" ht="13.5" customHeight="1" x14ac:dyDescent="0.3">
      <c r="A1133" s="21">
        <v>45049</v>
      </c>
      <c r="B1133" s="22">
        <v>121.6</v>
      </c>
      <c r="C1133" s="22">
        <v>2039.3</v>
      </c>
      <c r="D1133" s="22">
        <v>212.2</v>
      </c>
      <c r="E1133" s="22">
        <v>455.81</v>
      </c>
      <c r="F1133" s="22">
        <v>55913.56</v>
      </c>
    </row>
    <row r="1134" spans="1:6" ht="13.5" customHeight="1" x14ac:dyDescent="0.3">
      <c r="A1134" s="19">
        <v>45050</v>
      </c>
      <c r="B1134" s="20">
        <v>120.25</v>
      </c>
      <c r="C1134" s="20">
        <v>2021.31</v>
      </c>
      <c r="D1134" s="20">
        <v>211.68</v>
      </c>
      <c r="E1134" s="20">
        <v>466.39</v>
      </c>
      <c r="F1134" s="20">
        <v>55214.11</v>
      </c>
    </row>
    <row r="1135" spans="1:6" ht="13.5" customHeight="1" x14ac:dyDescent="0.3">
      <c r="A1135" s="21">
        <v>45051</v>
      </c>
      <c r="B1135" s="22">
        <v>120.19</v>
      </c>
      <c r="C1135" s="22">
        <v>2073.54</v>
      </c>
      <c r="D1135" s="22">
        <v>214.45</v>
      </c>
      <c r="E1135" s="22">
        <v>464.7</v>
      </c>
      <c r="F1135" s="22">
        <v>53040.41</v>
      </c>
    </row>
    <row r="1136" spans="1:6" ht="13.5" customHeight="1" x14ac:dyDescent="0.3">
      <c r="A1136" s="19">
        <v>45054</v>
      </c>
      <c r="B1136" s="20">
        <v>120.38</v>
      </c>
      <c r="C1136" s="20">
        <v>2115.9299999999998</v>
      </c>
      <c r="D1136" s="20">
        <v>217.76</v>
      </c>
      <c r="E1136" s="20">
        <v>456.69</v>
      </c>
      <c r="F1136" s="20">
        <v>52860.03</v>
      </c>
    </row>
    <row r="1137" spans="1:6" ht="13.5" customHeight="1" x14ac:dyDescent="0.3">
      <c r="A1137" s="21">
        <v>45055</v>
      </c>
      <c r="B1137" s="22">
        <v>121.9</v>
      </c>
      <c r="C1137" s="22">
        <v>2160.4499999999998</v>
      </c>
      <c r="D1137" s="22">
        <v>219.96</v>
      </c>
      <c r="E1137" s="22">
        <v>453.06</v>
      </c>
      <c r="F1137" s="22">
        <v>53586.27</v>
      </c>
    </row>
    <row r="1138" spans="1:6" ht="13.5" customHeight="1" x14ac:dyDescent="0.3">
      <c r="A1138" s="19">
        <v>45056</v>
      </c>
      <c r="B1138" s="20">
        <v>120.34</v>
      </c>
      <c r="C1138" s="20">
        <v>2249.84</v>
      </c>
      <c r="D1138" s="20">
        <v>213.49</v>
      </c>
      <c r="E1138" s="20">
        <v>466.24</v>
      </c>
      <c r="F1138" s="20">
        <v>52997.47</v>
      </c>
    </row>
    <row r="1139" spans="1:6" ht="13.5" customHeight="1" x14ac:dyDescent="0.3">
      <c r="A1139" s="21">
        <v>45057</v>
      </c>
      <c r="B1139" s="22">
        <v>119.63</v>
      </c>
      <c r="C1139" s="22">
        <v>2220.6</v>
      </c>
      <c r="D1139" s="22">
        <v>211.67</v>
      </c>
      <c r="E1139" s="22">
        <v>473.46</v>
      </c>
      <c r="F1139" s="22">
        <v>52327.09</v>
      </c>
    </row>
    <row r="1140" spans="1:6" ht="13.5" customHeight="1" x14ac:dyDescent="0.3">
      <c r="A1140" s="19">
        <v>45058</v>
      </c>
      <c r="B1140" s="20">
        <v>120.21</v>
      </c>
      <c r="C1140" s="20">
        <v>2124.12</v>
      </c>
      <c r="D1140" s="20">
        <v>216.61</v>
      </c>
      <c r="E1140" s="20">
        <v>465.39</v>
      </c>
      <c r="F1140" s="20">
        <v>52805.36</v>
      </c>
    </row>
    <row r="1141" spans="1:6" ht="13.5" customHeight="1" x14ac:dyDescent="0.3">
      <c r="A1141" s="21">
        <v>45061</v>
      </c>
      <c r="B1141" s="22">
        <v>119.97</v>
      </c>
      <c r="C1141" s="22">
        <v>2201.1999999999998</v>
      </c>
      <c r="D1141" s="22">
        <v>214.87</v>
      </c>
      <c r="E1141" s="22">
        <v>449.14</v>
      </c>
      <c r="F1141" s="22">
        <v>53664.03</v>
      </c>
    </row>
    <row r="1142" spans="1:6" ht="13.5" customHeight="1" x14ac:dyDescent="0.3">
      <c r="A1142" s="19">
        <v>45062</v>
      </c>
      <c r="B1142" s="20">
        <v>119.7</v>
      </c>
      <c r="C1142" s="20">
        <v>2212.2399999999998</v>
      </c>
      <c r="D1142" s="20">
        <v>214.69</v>
      </c>
      <c r="E1142" s="20">
        <v>462.02</v>
      </c>
      <c r="F1142" s="20">
        <v>53148.22</v>
      </c>
    </row>
    <row r="1143" spans="1:6" ht="13.5" customHeight="1" x14ac:dyDescent="0.3">
      <c r="A1143" s="21">
        <v>45063</v>
      </c>
      <c r="B1143" s="22">
        <v>119.71</v>
      </c>
      <c r="C1143" s="22">
        <v>2211.38</v>
      </c>
      <c r="D1143" s="22">
        <v>223.99</v>
      </c>
      <c r="E1143" s="22">
        <v>464.38</v>
      </c>
      <c r="F1143" s="22">
        <v>52957.63</v>
      </c>
    </row>
    <row r="1144" spans="1:6" ht="13.5" customHeight="1" x14ac:dyDescent="0.3">
      <c r="A1144" s="19">
        <v>45064</v>
      </c>
      <c r="B1144" s="20">
        <v>118.59</v>
      </c>
      <c r="C1144" s="20">
        <v>2142.38</v>
      </c>
      <c r="D1144" s="20">
        <v>223.82</v>
      </c>
      <c r="E1144" s="20">
        <v>460.89</v>
      </c>
      <c r="F1144" s="20">
        <v>52065</v>
      </c>
    </row>
    <row r="1145" spans="1:6" ht="13.5" customHeight="1" x14ac:dyDescent="0.3">
      <c r="A1145" s="21">
        <v>45065</v>
      </c>
      <c r="B1145" s="22">
        <v>117.31</v>
      </c>
      <c r="C1145" s="22">
        <v>2092.5700000000002</v>
      </c>
      <c r="D1145" s="22">
        <v>228.93</v>
      </c>
      <c r="E1145" s="22">
        <v>453.21</v>
      </c>
      <c r="F1145" s="22">
        <v>52082.68</v>
      </c>
    </row>
    <row r="1146" spans="1:6" ht="13.5" customHeight="1" x14ac:dyDescent="0.3">
      <c r="A1146" s="19">
        <v>45068</v>
      </c>
      <c r="B1146" s="20">
        <v>118.07</v>
      </c>
      <c r="C1146" s="20">
        <v>2119.36</v>
      </c>
      <c r="D1146" s="20">
        <v>235.65</v>
      </c>
      <c r="E1146" s="20">
        <v>435.68</v>
      </c>
      <c r="F1146" s="20">
        <v>51659.33</v>
      </c>
    </row>
    <row r="1147" spans="1:6" ht="13.5" customHeight="1" x14ac:dyDescent="0.3">
      <c r="A1147" s="21">
        <v>45069</v>
      </c>
      <c r="B1147" s="22">
        <v>116.31</v>
      </c>
      <c r="C1147" s="22">
        <v>2115.27</v>
      </c>
      <c r="D1147" s="22">
        <v>238.55</v>
      </c>
      <c r="E1147" s="22">
        <v>425</v>
      </c>
      <c r="F1147" s="22">
        <v>51578.32</v>
      </c>
    </row>
    <row r="1148" spans="1:6" ht="13.5" customHeight="1" x14ac:dyDescent="0.3">
      <c r="A1148" s="19">
        <v>45070</v>
      </c>
      <c r="B1148" s="20">
        <v>118.23</v>
      </c>
      <c r="C1148" s="20">
        <v>2036.2</v>
      </c>
      <c r="D1148" s="20">
        <v>237.01</v>
      </c>
      <c r="E1148" s="20">
        <v>427.62</v>
      </c>
      <c r="F1148" s="20">
        <v>50164.45</v>
      </c>
    </row>
    <row r="1149" spans="1:6" ht="13.5" customHeight="1" x14ac:dyDescent="0.3">
      <c r="A1149" s="21">
        <v>45071</v>
      </c>
      <c r="B1149" s="22">
        <v>118.62</v>
      </c>
      <c r="C1149" s="22">
        <v>2003.64</v>
      </c>
      <c r="D1149" s="22">
        <v>228.6</v>
      </c>
      <c r="E1149" s="22">
        <v>423.83</v>
      </c>
      <c r="F1149" s="22">
        <v>50703.72</v>
      </c>
    </row>
    <row r="1150" spans="1:6" ht="13.5" customHeight="1" x14ac:dyDescent="0.3">
      <c r="A1150" s="19">
        <v>45072</v>
      </c>
      <c r="B1150" s="20">
        <v>116.56</v>
      </c>
      <c r="C1150" s="20">
        <v>2041.91</v>
      </c>
      <c r="D1150" s="20">
        <v>225.6</v>
      </c>
      <c r="E1150" s="20">
        <v>437.21</v>
      </c>
      <c r="F1150" s="20">
        <v>49660.79</v>
      </c>
    </row>
    <row r="1151" spans="1:6" ht="13.5" customHeight="1" x14ac:dyDescent="0.3">
      <c r="A1151" s="21">
        <v>45075</v>
      </c>
      <c r="B1151" s="22">
        <v>117.05</v>
      </c>
      <c r="C1151" s="22">
        <v>2089.1799999999998</v>
      </c>
      <c r="D1151" s="22">
        <v>227.97</v>
      </c>
      <c r="E1151" s="22">
        <v>445.01</v>
      </c>
      <c r="F1151" s="22">
        <v>48918.64</v>
      </c>
    </row>
    <row r="1152" spans="1:6" ht="13.5" customHeight="1" x14ac:dyDescent="0.3">
      <c r="A1152" s="19">
        <v>45076</v>
      </c>
      <c r="B1152" s="20">
        <v>117.36</v>
      </c>
      <c r="C1152" s="20">
        <v>2098.31</v>
      </c>
      <c r="D1152" s="20">
        <v>230.19</v>
      </c>
      <c r="E1152" s="20">
        <v>440.25</v>
      </c>
      <c r="F1152" s="20">
        <v>48802.5</v>
      </c>
    </row>
    <row r="1153" spans="1:6" ht="13.5" customHeight="1" x14ac:dyDescent="0.3">
      <c r="A1153" s="21">
        <v>45077</v>
      </c>
      <c r="B1153" s="22">
        <v>118.64</v>
      </c>
      <c r="C1153" s="22">
        <v>2204.4499999999998</v>
      </c>
      <c r="D1153" s="22">
        <v>234.53</v>
      </c>
      <c r="E1153" s="22">
        <v>432.74</v>
      </c>
      <c r="F1153" s="22">
        <v>47702.64</v>
      </c>
    </row>
    <row r="1154" spans="1:6" ht="13.5" customHeight="1" x14ac:dyDescent="0.3">
      <c r="A1154" s="19">
        <v>45078</v>
      </c>
      <c r="B1154" s="20">
        <v>120.58</v>
      </c>
      <c r="C1154" s="20">
        <v>2245.6799999999998</v>
      </c>
      <c r="D1154" s="20">
        <v>230.54</v>
      </c>
      <c r="E1154" s="20">
        <v>443.5</v>
      </c>
      <c r="F1154" s="20">
        <v>46846.15</v>
      </c>
    </row>
    <row r="1155" spans="1:6" ht="13.5" customHeight="1" x14ac:dyDescent="0.3">
      <c r="A1155" s="21">
        <v>45079</v>
      </c>
      <c r="B1155" s="22">
        <v>120.01</v>
      </c>
      <c r="C1155" s="22">
        <v>2318.7199999999998</v>
      </c>
      <c r="D1155" s="22">
        <v>231.35</v>
      </c>
      <c r="E1155" s="22">
        <v>440.58</v>
      </c>
      <c r="F1155" s="22">
        <v>46361.45</v>
      </c>
    </row>
    <row r="1156" spans="1:6" ht="13.5" customHeight="1" x14ac:dyDescent="0.3">
      <c r="A1156" s="19">
        <v>45082</v>
      </c>
      <c r="B1156" s="20">
        <v>118.87</v>
      </c>
      <c r="C1156" s="20">
        <v>2374.63</v>
      </c>
      <c r="D1156" s="20">
        <v>223.97</v>
      </c>
      <c r="E1156" s="20">
        <v>462.8</v>
      </c>
      <c r="F1156" s="20">
        <v>45411.27</v>
      </c>
    </row>
    <row r="1157" spans="1:6" ht="13.5" customHeight="1" x14ac:dyDescent="0.3">
      <c r="A1157" s="21">
        <v>45083</v>
      </c>
      <c r="B1157" s="22">
        <v>117.91</v>
      </c>
      <c r="C1157" s="22">
        <v>2410.86</v>
      </c>
      <c r="D1157" s="22">
        <v>220.95</v>
      </c>
      <c r="E1157" s="22">
        <v>463.87</v>
      </c>
      <c r="F1157" s="22">
        <v>45063.79</v>
      </c>
    </row>
    <row r="1158" spans="1:6" ht="13.5" customHeight="1" x14ac:dyDescent="0.3">
      <c r="A1158" s="19">
        <v>45084</v>
      </c>
      <c r="B1158" s="20">
        <v>116.34</v>
      </c>
      <c r="C1158" s="20">
        <v>2355.35</v>
      </c>
      <c r="D1158" s="20">
        <v>222.88</v>
      </c>
      <c r="E1158" s="20">
        <v>452.12</v>
      </c>
      <c r="F1158" s="20">
        <v>45026.16</v>
      </c>
    </row>
    <row r="1159" spans="1:6" ht="13.5" customHeight="1" x14ac:dyDescent="0.3">
      <c r="A1159" s="21">
        <v>45085</v>
      </c>
      <c r="B1159" s="22">
        <v>115.18</v>
      </c>
      <c r="C1159" s="22">
        <v>2290.27</v>
      </c>
      <c r="D1159" s="22">
        <v>215.31</v>
      </c>
      <c r="E1159" s="22">
        <v>434.9</v>
      </c>
      <c r="F1159" s="22">
        <v>45911.92</v>
      </c>
    </row>
    <row r="1160" spans="1:6" ht="13.5" customHeight="1" x14ac:dyDescent="0.3">
      <c r="A1160" s="19">
        <v>45086</v>
      </c>
      <c r="B1160" s="20">
        <v>115.67</v>
      </c>
      <c r="C1160" s="20">
        <v>2261.6799999999998</v>
      </c>
      <c r="D1160" s="20">
        <v>218.16</v>
      </c>
      <c r="E1160" s="20">
        <v>429.06</v>
      </c>
      <c r="F1160" s="20">
        <v>46381.01</v>
      </c>
    </row>
    <row r="1161" spans="1:6" ht="13.5" customHeight="1" x14ac:dyDescent="0.3">
      <c r="A1161" s="21">
        <v>45089</v>
      </c>
      <c r="B1161" s="22">
        <v>115.73</v>
      </c>
      <c r="C1161" s="22">
        <v>2273.33</v>
      </c>
      <c r="D1161" s="22">
        <v>224.54</v>
      </c>
      <c r="E1161" s="22">
        <v>440.99</v>
      </c>
      <c r="F1161" s="22">
        <v>45104.18</v>
      </c>
    </row>
    <row r="1162" spans="1:6" ht="13.5" customHeight="1" x14ac:dyDescent="0.3">
      <c r="A1162" s="19">
        <v>45090</v>
      </c>
      <c r="B1162" s="20">
        <v>114.98</v>
      </c>
      <c r="C1162" s="20">
        <v>2274.73</v>
      </c>
      <c r="D1162" s="20">
        <v>219.55</v>
      </c>
      <c r="E1162" s="20">
        <v>439.14</v>
      </c>
      <c r="F1162" s="20">
        <v>45011.87</v>
      </c>
    </row>
    <row r="1163" spans="1:6" ht="13.5" customHeight="1" x14ac:dyDescent="0.3">
      <c r="A1163" s="21">
        <v>45091</v>
      </c>
      <c r="B1163" s="22">
        <v>113.84</v>
      </c>
      <c r="C1163" s="22">
        <v>2291.12</v>
      </c>
      <c r="D1163" s="22">
        <v>218.74</v>
      </c>
      <c r="E1163" s="22">
        <v>418.6</v>
      </c>
      <c r="F1163" s="22">
        <v>44587.25</v>
      </c>
    </row>
    <row r="1164" spans="1:6" ht="13.5" customHeight="1" x14ac:dyDescent="0.3">
      <c r="A1164" s="19">
        <v>45092</v>
      </c>
      <c r="B1164" s="20">
        <v>114.42</v>
      </c>
      <c r="C1164" s="20">
        <v>2291.67</v>
      </c>
      <c r="D1164" s="20">
        <v>224.75</v>
      </c>
      <c r="E1164" s="20">
        <v>413.85</v>
      </c>
      <c r="F1164" s="20">
        <v>44833.53</v>
      </c>
    </row>
    <row r="1165" spans="1:6" ht="13.5" customHeight="1" x14ac:dyDescent="0.3">
      <c r="A1165" s="21">
        <v>45093</v>
      </c>
      <c r="B1165" s="22">
        <v>113.66</v>
      </c>
      <c r="C1165" s="22">
        <v>2312.35</v>
      </c>
      <c r="D1165" s="22">
        <v>226.61</v>
      </c>
      <c r="E1165" s="22">
        <v>411.78</v>
      </c>
      <c r="F1165" s="22">
        <v>44675.22</v>
      </c>
    </row>
    <row r="1166" spans="1:6" ht="13.5" customHeight="1" x14ac:dyDescent="0.3">
      <c r="A1166" s="19">
        <v>45096</v>
      </c>
      <c r="B1166" s="20">
        <v>112.06</v>
      </c>
      <c r="C1166" s="20">
        <v>2354</v>
      </c>
      <c r="D1166" s="20">
        <v>228.12</v>
      </c>
      <c r="E1166" s="20">
        <v>422.64</v>
      </c>
      <c r="F1166" s="20">
        <v>44868.67</v>
      </c>
    </row>
    <row r="1167" spans="1:6" ht="13.5" customHeight="1" x14ac:dyDescent="0.3">
      <c r="A1167" s="21">
        <v>45097</v>
      </c>
      <c r="B1167" s="22">
        <v>111.86</v>
      </c>
      <c r="C1167" s="22">
        <v>2355.7399999999998</v>
      </c>
      <c r="D1167" s="22">
        <v>228.59</v>
      </c>
      <c r="E1167" s="22">
        <v>426.29</v>
      </c>
      <c r="F1167" s="22">
        <v>45215.5</v>
      </c>
    </row>
    <row r="1168" spans="1:6" ht="13.5" customHeight="1" x14ac:dyDescent="0.3">
      <c r="A1168" s="19">
        <v>45098</v>
      </c>
      <c r="B1168" s="20">
        <v>111.49</v>
      </c>
      <c r="C1168" s="20">
        <v>2345.17</v>
      </c>
      <c r="D1168" s="20">
        <v>223.75</v>
      </c>
      <c r="E1168" s="20">
        <v>425.29</v>
      </c>
      <c r="F1168" s="20">
        <v>45031.79</v>
      </c>
    </row>
    <row r="1169" spans="1:6" ht="13.5" customHeight="1" x14ac:dyDescent="0.3">
      <c r="A1169" s="21">
        <v>45099</v>
      </c>
      <c r="B1169" s="22">
        <v>109.87</v>
      </c>
      <c r="C1169" s="22">
        <v>2238.14</v>
      </c>
      <c r="D1169" s="22">
        <v>223.35</v>
      </c>
      <c r="E1169" s="22">
        <v>427.93</v>
      </c>
      <c r="F1169" s="22">
        <v>44203.24</v>
      </c>
    </row>
    <row r="1170" spans="1:6" ht="13.5" customHeight="1" x14ac:dyDescent="0.3">
      <c r="A1170" s="19">
        <v>45100</v>
      </c>
      <c r="B1170" s="20">
        <v>111.16</v>
      </c>
      <c r="C1170" s="20">
        <v>2273.9</v>
      </c>
      <c r="D1170" s="20">
        <v>227.97</v>
      </c>
      <c r="E1170" s="20">
        <v>446.12</v>
      </c>
      <c r="F1170" s="20">
        <v>44011.040000000001</v>
      </c>
    </row>
    <row r="1171" spans="1:6" ht="13.5" customHeight="1" x14ac:dyDescent="0.3">
      <c r="A1171" s="21">
        <v>45103</v>
      </c>
      <c r="B1171" s="22">
        <v>112.5</v>
      </c>
      <c r="C1171" s="22">
        <v>2244.2399999999998</v>
      </c>
      <c r="D1171" s="22">
        <v>228.37</v>
      </c>
      <c r="E1171" s="22">
        <v>455.26</v>
      </c>
      <c r="F1171" s="22">
        <v>44337.34</v>
      </c>
    </row>
    <row r="1172" spans="1:6" ht="13.5" customHeight="1" x14ac:dyDescent="0.3">
      <c r="A1172" s="19">
        <v>45104</v>
      </c>
      <c r="B1172" s="20">
        <v>112.6</v>
      </c>
      <c r="C1172" s="20">
        <v>2209.59</v>
      </c>
      <c r="D1172" s="20">
        <v>231.06</v>
      </c>
      <c r="E1172" s="20">
        <v>449.1</v>
      </c>
      <c r="F1172" s="20">
        <v>44639.19</v>
      </c>
    </row>
    <row r="1173" spans="1:6" ht="13.5" customHeight="1" x14ac:dyDescent="0.3">
      <c r="A1173" s="21">
        <v>45105</v>
      </c>
      <c r="B1173" s="22">
        <v>112.84</v>
      </c>
      <c r="C1173" s="22">
        <v>2244.7199999999998</v>
      </c>
      <c r="D1173" s="22">
        <v>229.83</v>
      </c>
      <c r="E1173" s="22">
        <v>455.12</v>
      </c>
      <c r="F1173" s="22">
        <v>44560.46</v>
      </c>
    </row>
    <row r="1174" spans="1:6" ht="13.5" customHeight="1" x14ac:dyDescent="0.3">
      <c r="A1174" s="19">
        <v>45106</v>
      </c>
      <c r="B1174" s="20">
        <v>113.7</v>
      </c>
      <c r="C1174" s="20">
        <v>2282.42</v>
      </c>
      <c r="D1174" s="20">
        <v>226.77</v>
      </c>
      <c r="E1174" s="20">
        <v>465.07</v>
      </c>
      <c r="F1174" s="20">
        <v>44913.14</v>
      </c>
    </row>
    <row r="1175" spans="1:6" ht="13.5" customHeight="1" x14ac:dyDescent="0.3">
      <c r="A1175" s="21">
        <v>45107</v>
      </c>
      <c r="B1175" s="22">
        <v>113.69</v>
      </c>
      <c r="C1175" s="22">
        <v>2311.15</v>
      </c>
      <c r="D1175" s="22">
        <v>225.32</v>
      </c>
      <c r="E1175" s="22">
        <v>485.76</v>
      </c>
      <c r="F1175" s="22">
        <v>44879.519999999997</v>
      </c>
    </row>
    <row r="1176" spans="1:6" ht="13.5" customHeight="1" x14ac:dyDescent="0.3">
      <c r="A1176" s="19">
        <v>45110</v>
      </c>
      <c r="B1176" s="20">
        <v>115.13</v>
      </c>
      <c r="C1176" s="20">
        <v>2351.38</v>
      </c>
      <c r="D1176" s="20">
        <v>221.67</v>
      </c>
      <c r="E1176" s="20">
        <v>488.63</v>
      </c>
      <c r="F1176" s="20">
        <v>44237.32</v>
      </c>
    </row>
    <row r="1177" spans="1:6" ht="13.5" customHeight="1" x14ac:dyDescent="0.3">
      <c r="A1177" s="21">
        <v>45111</v>
      </c>
      <c r="B1177" s="22">
        <v>117.81</v>
      </c>
      <c r="C1177" s="22">
        <v>2307.4</v>
      </c>
      <c r="D1177" s="22">
        <v>217</v>
      </c>
      <c r="E1177" s="22">
        <v>485.88</v>
      </c>
      <c r="F1177" s="22">
        <v>44339.96</v>
      </c>
    </row>
    <row r="1178" spans="1:6" ht="13.5" customHeight="1" x14ac:dyDescent="0.3">
      <c r="A1178" s="19">
        <v>45112</v>
      </c>
      <c r="B1178" s="20">
        <v>117.98</v>
      </c>
      <c r="C1178" s="20">
        <v>2299.4499999999998</v>
      </c>
      <c r="D1178" s="20">
        <v>217.02</v>
      </c>
      <c r="E1178" s="20">
        <v>489.39</v>
      </c>
      <c r="F1178" s="20">
        <v>44775.6</v>
      </c>
    </row>
    <row r="1179" spans="1:6" ht="13.5" customHeight="1" x14ac:dyDescent="0.3">
      <c r="A1179" s="21">
        <v>45113</v>
      </c>
      <c r="B1179" s="22">
        <v>118.73</v>
      </c>
      <c r="C1179" s="22">
        <v>2278.5100000000002</v>
      </c>
      <c r="D1179" s="22">
        <v>216.33</v>
      </c>
      <c r="E1179" s="22">
        <v>485.21</v>
      </c>
      <c r="F1179" s="22">
        <v>45456.86</v>
      </c>
    </row>
    <row r="1180" spans="1:6" ht="13.5" customHeight="1" x14ac:dyDescent="0.3">
      <c r="A1180" s="19">
        <v>45114</v>
      </c>
      <c r="B1180" s="20">
        <v>120.21</v>
      </c>
      <c r="C1180" s="20">
        <v>2349.38</v>
      </c>
      <c r="D1180" s="20">
        <v>213.21</v>
      </c>
      <c r="E1180" s="20">
        <v>486.83</v>
      </c>
      <c r="F1180" s="20">
        <v>45171.26</v>
      </c>
    </row>
    <row r="1181" spans="1:6" ht="13.5" customHeight="1" x14ac:dyDescent="0.3">
      <c r="A1181" s="21">
        <v>45117</v>
      </c>
      <c r="B1181" s="22">
        <v>119.68</v>
      </c>
      <c r="C1181" s="22">
        <v>2386.58</v>
      </c>
      <c r="D1181" s="22">
        <v>215.63</v>
      </c>
      <c r="E1181" s="22">
        <v>479.65</v>
      </c>
      <c r="F1181" s="22">
        <v>45250.41</v>
      </c>
    </row>
    <row r="1182" spans="1:6" ht="13.5" customHeight="1" x14ac:dyDescent="0.3">
      <c r="A1182" s="19">
        <v>45118</v>
      </c>
      <c r="B1182" s="20">
        <v>117.85</v>
      </c>
      <c r="C1182" s="20">
        <v>2377.73</v>
      </c>
      <c r="D1182" s="20">
        <v>212.55</v>
      </c>
      <c r="E1182" s="20">
        <v>480.09</v>
      </c>
      <c r="F1182" s="20">
        <v>45144.06</v>
      </c>
    </row>
    <row r="1183" spans="1:6" ht="13.5" customHeight="1" x14ac:dyDescent="0.3">
      <c r="A1183" s="21">
        <v>45119</v>
      </c>
      <c r="B1183" s="22">
        <v>119.37</v>
      </c>
      <c r="C1183" s="22">
        <v>2414.44</v>
      </c>
      <c r="D1183" s="22">
        <v>214.06</v>
      </c>
      <c r="E1183" s="22">
        <v>467.1</v>
      </c>
      <c r="F1183" s="22">
        <v>44469.32</v>
      </c>
    </row>
    <row r="1184" spans="1:6" ht="13.5" customHeight="1" x14ac:dyDescent="0.3">
      <c r="A1184" s="19">
        <v>45120</v>
      </c>
      <c r="B1184" s="20">
        <v>116.81</v>
      </c>
      <c r="C1184" s="20">
        <v>2431.83</v>
      </c>
      <c r="D1184" s="20">
        <v>215.83</v>
      </c>
      <c r="E1184" s="20">
        <v>474.78</v>
      </c>
      <c r="F1184" s="20">
        <v>44646.07</v>
      </c>
    </row>
    <row r="1185" spans="1:6" ht="13.5" customHeight="1" x14ac:dyDescent="0.3">
      <c r="A1185" s="21">
        <v>45121</v>
      </c>
      <c r="B1185" s="22">
        <v>119.74</v>
      </c>
      <c r="C1185" s="22">
        <v>2428.2399999999998</v>
      </c>
      <c r="D1185" s="22">
        <v>221.57</v>
      </c>
      <c r="E1185" s="22">
        <v>482.17</v>
      </c>
      <c r="F1185" s="22">
        <v>44188.59</v>
      </c>
    </row>
    <row r="1186" spans="1:6" ht="13.5" customHeight="1" x14ac:dyDescent="0.3">
      <c r="A1186" s="19">
        <v>45124</v>
      </c>
      <c r="B1186" s="20">
        <v>121.23</v>
      </c>
      <c r="C1186" s="20">
        <v>2449.6799999999998</v>
      </c>
      <c r="D1186" s="20">
        <v>222.86</v>
      </c>
      <c r="E1186" s="20">
        <v>467.35</v>
      </c>
      <c r="F1186" s="20">
        <v>44238.98</v>
      </c>
    </row>
    <row r="1187" spans="1:6" ht="13.5" customHeight="1" x14ac:dyDescent="0.3">
      <c r="A1187" s="21">
        <v>45125</v>
      </c>
      <c r="B1187" s="22">
        <v>121.58</v>
      </c>
      <c r="C1187" s="22">
        <v>2487.89</v>
      </c>
      <c r="D1187" s="22">
        <v>225.72</v>
      </c>
      <c r="E1187" s="22">
        <v>474.18</v>
      </c>
      <c r="F1187" s="22">
        <v>43919.93</v>
      </c>
    </row>
    <row r="1188" spans="1:6" ht="13.5" customHeight="1" x14ac:dyDescent="0.3">
      <c r="A1188" s="19">
        <v>45126</v>
      </c>
      <c r="B1188" s="20">
        <v>121.7</v>
      </c>
      <c r="C1188" s="20">
        <v>2483.14</v>
      </c>
      <c r="D1188" s="20">
        <v>226.07</v>
      </c>
      <c r="E1188" s="20">
        <v>469.38</v>
      </c>
      <c r="F1188" s="20">
        <v>43640.56</v>
      </c>
    </row>
    <row r="1189" spans="1:6" ht="13.5" customHeight="1" x14ac:dyDescent="0.3">
      <c r="A1189" s="21">
        <v>45127</v>
      </c>
      <c r="B1189" s="22">
        <v>124.7</v>
      </c>
      <c r="C1189" s="22">
        <v>2429.84</v>
      </c>
      <c r="D1189" s="22">
        <v>221.15</v>
      </c>
      <c r="E1189" s="22">
        <v>482.13</v>
      </c>
      <c r="F1189" s="22">
        <v>43625.59</v>
      </c>
    </row>
    <row r="1190" spans="1:6" ht="13.5" customHeight="1" x14ac:dyDescent="0.3">
      <c r="A1190" s="19">
        <v>45128</v>
      </c>
      <c r="B1190" s="20">
        <v>123.1</v>
      </c>
      <c r="C1190" s="20">
        <v>2446.4899999999998</v>
      </c>
      <c r="D1190" s="20">
        <v>224.22</v>
      </c>
      <c r="E1190" s="20">
        <v>491.52</v>
      </c>
      <c r="F1190" s="20">
        <v>43681.120000000003</v>
      </c>
    </row>
    <row r="1191" spans="1:6" ht="13.5" customHeight="1" x14ac:dyDescent="0.3">
      <c r="A1191" s="21">
        <v>45131</v>
      </c>
      <c r="B1191" s="22">
        <v>121.16</v>
      </c>
      <c r="C1191" s="22">
        <v>2436.5500000000002</v>
      </c>
      <c r="D1191" s="22">
        <v>230.24</v>
      </c>
      <c r="E1191" s="22">
        <v>501.85</v>
      </c>
      <c r="F1191" s="22">
        <v>43941.919999999998</v>
      </c>
    </row>
    <row r="1192" spans="1:6" ht="13.5" customHeight="1" x14ac:dyDescent="0.3">
      <c r="A1192" s="19">
        <v>45132</v>
      </c>
      <c r="B1192" s="20">
        <v>120.2</v>
      </c>
      <c r="C1192" s="20">
        <v>2388.7800000000002</v>
      </c>
      <c r="D1192" s="20">
        <v>229.88</v>
      </c>
      <c r="E1192" s="20">
        <v>507.69</v>
      </c>
      <c r="F1192" s="20">
        <v>43754.06</v>
      </c>
    </row>
    <row r="1193" spans="1:6" ht="13.5" customHeight="1" x14ac:dyDescent="0.3">
      <c r="A1193" s="21">
        <v>45133</v>
      </c>
      <c r="B1193" s="22">
        <v>119.8</v>
      </c>
      <c r="C1193" s="22">
        <v>2357.83</v>
      </c>
      <c r="D1193" s="22">
        <v>237.55</v>
      </c>
      <c r="E1193" s="22">
        <v>497.93</v>
      </c>
      <c r="F1193" s="22">
        <v>43629.66</v>
      </c>
    </row>
    <row r="1194" spans="1:6" ht="13.5" customHeight="1" x14ac:dyDescent="0.3">
      <c r="A1194" s="19">
        <v>45134</v>
      </c>
      <c r="B1194" s="20">
        <v>118.16</v>
      </c>
      <c r="C1194" s="20">
        <v>2348.86</v>
      </c>
      <c r="D1194" s="20">
        <v>241.1</v>
      </c>
      <c r="E1194" s="20">
        <v>478.62</v>
      </c>
      <c r="F1194" s="20">
        <v>43826.35</v>
      </c>
    </row>
    <row r="1195" spans="1:6" ht="13.5" customHeight="1" x14ac:dyDescent="0.3">
      <c r="A1195" s="21">
        <v>45135</v>
      </c>
      <c r="B1195" s="22">
        <v>118.45</v>
      </c>
      <c r="C1195" s="22">
        <v>2351.38</v>
      </c>
      <c r="D1195" s="22">
        <v>248.79</v>
      </c>
      <c r="E1195" s="22">
        <v>480.07</v>
      </c>
      <c r="F1195" s="22">
        <v>43633.13</v>
      </c>
    </row>
    <row r="1196" spans="1:6" ht="13.5" customHeight="1" x14ac:dyDescent="0.3">
      <c r="A1196" s="19">
        <v>45138</v>
      </c>
      <c r="B1196" s="20">
        <v>118.71</v>
      </c>
      <c r="C1196" s="20">
        <v>2376.08</v>
      </c>
      <c r="D1196" s="20">
        <v>248.18</v>
      </c>
      <c r="E1196" s="20">
        <v>468.75</v>
      </c>
      <c r="F1196" s="20">
        <v>43659.12</v>
      </c>
    </row>
    <row r="1197" spans="1:6" ht="13.5" customHeight="1" x14ac:dyDescent="0.3">
      <c r="A1197" s="21">
        <v>45139</v>
      </c>
      <c r="B1197" s="22">
        <v>117.41</v>
      </c>
      <c r="C1197" s="22">
        <v>2368.59</v>
      </c>
      <c r="D1197" s="22">
        <v>244.82</v>
      </c>
      <c r="E1197" s="22">
        <v>470.66</v>
      </c>
      <c r="F1197" s="22">
        <v>43389.86</v>
      </c>
    </row>
    <row r="1198" spans="1:6" ht="13.5" customHeight="1" x14ac:dyDescent="0.3">
      <c r="A1198" s="19">
        <v>45140</v>
      </c>
      <c r="B1198" s="20">
        <v>120.06</v>
      </c>
      <c r="C1198" s="20">
        <v>2388.79</v>
      </c>
      <c r="D1198" s="20">
        <v>245.14</v>
      </c>
      <c r="E1198" s="20">
        <v>457.64</v>
      </c>
      <c r="F1198" s="20">
        <v>43379.82</v>
      </c>
    </row>
    <row r="1199" spans="1:6" ht="13.5" customHeight="1" x14ac:dyDescent="0.3">
      <c r="A1199" s="21">
        <v>45141</v>
      </c>
      <c r="B1199" s="22">
        <v>117.78</v>
      </c>
      <c r="C1199" s="22">
        <v>2374.48</v>
      </c>
      <c r="D1199" s="22">
        <v>242.43</v>
      </c>
      <c r="E1199" s="22">
        <v>464.62</v>
      </c>
      <c r="F1199" s="22">
        <v>43800.33</v>
      </c>
    </row>
    <row r="1200" spans="1:6" ht="13.5" customHeight="1" x14ac:dyDescent="0.3">
      <c r="A1200" s="19">
        <v>45142</v>
      </c>
      <c r="B1200" s="20">
        <v>115.73</v>
      </c>
      <c r="C1200" s="20">
        <v>2398.75</v>
      </c>
      <c r="D1200" s="20">
        <v>243.28</v>
      </c>
      <c r="E1200" s="20">
        <v>469.37</v>
      </c>
      <c r="F1200" s="20">
        <v>44219.01</v>
      </c>
    </row>
    <row r="1201" spans="1:6" ht="13.5" customHeight="1" x14ac:dyDescent="0.3">
      <c r="A1201" s="21">
        <v>45145</v>
      </c>
      <c r="B1201" s="22">
        <v>116.37</v>
      </c>
      <c r="C1201" s="22">
        <v>2417.23</v>
      </c>
      <c r="D1201" s="22">
        <v>242.45</v>
      </c>
      <c r="E1201" s="22">
        <v>458.24</v>
      </c>
      <c r="F1201" s="22">
        <v>44644.47</v>
      </c>
    </row>
    <row r="1202" spans="1:6" ht="13.5" customHeight="1" x14ac:dyDescent="0.3">
      <c r="A1202" s="19">
        <v>45146</v>
      </c>
      <c r="B1202" s="20">
        <v>116.08</v>
      </c>
      <c r="C1202" s="20">
        <v>2442.94</v>
      </c>
      <c r="D1202" s="20">
        <v>243.18</v>
      </c>
      <c r="E1202" s="20">
        <v>450.11</v>
      </c>
      <c r="F1202" s="20">
        <v>45274.25</v>
      </c>
    </row>
    <row r="1203" spans="1:6" ht="13.5" customHeight="1" x14ac:dyDescent="0.3">
      <c r="A1203" s="21">
        <v>45147</v>
      </c>
      <c r="B1203" s="22">
        <v>116.79</v>
      </c>
      <c r="C1203" s="22">
        <v>2506.3200000000002</v>
      </c>
      <c r="D1203" s="22">
        <v>242.93</v>
      </c>
      <c r="E1203" s="22">
        <v>453.93</v>
      </c>
      <c r="F1203" s="22">
        <v>45367.47</v>
      </c>
    </row>
    <row r="1204" spans="1:6" ht="13.5" customHeight="1" x14ac:dyDescent="0.3">
      <c r="A1204" s="19">
        <v>45148</v>
      </c>
      <c r="B1204" s="20">
        <v>115.82</v>
      </c>
      <c r="C1204" s="20">
        <v>2495.31</v>
      </c>
      <c r="D1204" s="20">
        <v>239.3</v>
      </c>
      <c r="E1204" s="20">
        <v>461.74</v>
      </c>
      <c r="F1204" s="20">
        <v>45893.89</v>
      </c>
    </row>
    <row r="1205" spans="1:6" ht="13.5" customHeight="1" x14ac:dyDescent="0.3">
      <c r="A1205" s="21">
        <v>45149</v>
      </c>
      <c r="B1205" s="22">
        <v>114.2</v>
      </c>
      <c r="C1205" s="22">
        <v>2426.67</v>
      </c>
      <c r="D1205" s="22">
        <v>237.4</v>
      </c>
      <c r="E1205" s="22">
        <v>463.96</v>
      </c>
      <c r="F1205" s="22">
        <v>45742.57</v>
      </c>
    </row>
    <row r="1206" spans="1:6" ht="13.5" customHeight="1" x14ac:dyDescent="0.3">
      <c r="A1206" s="19">
        <v>45152</v>
      </c>
      <c r="B1206" s="20">
        <v>113.21</v>
      </c>
      <c r="C1206" s="20">
        <v>2424.7800000000002</v>
      </c>
      <c r="D1206" s="20">
        <v>242.24</v>
      </c>
      <c r="E1206" s="20">
        <v>458.1</v>
      </c>
      <c r="F1206" s="20">
        <v>46281.34</v>
      </c>
    </row>
    <row r="1207" spans="1:6" ht="13.5" customHeight="1" x14ac:dyDescent="0.3">
      <c r="A1207" s="21">
        <v>45153</v>
      </c>
      <c r="B1207" s="22">
        <v>112.18</v>
      </c>
      <c r="C1207" s="22">
        <v>2460.84</v>
      </c>
      <c r="D1207" s="22">
        <v>242.09</v>
      </c>
      <c r="E1207" s="22">
        <v>459.72</v>
      </c>
      <c r="F1207" s="22">
        <v>46694.15</v>
      </c>
    </row>
    <row r="1208" spans="1:6" ht="13.5" customHeight="1" x14ac:dyDescent="0.3">
      <c r="A1208" s="19">
        <v>45154</v>
      </c>
      <c r="B1208" s="20">
        <v>113.03</v>
      </c>
      <c r="C1208" s="20">
        <v>2463.39</v>
      </c>
      <c r="D1208" s="20">
        <v>237.08</v>
      </c>
      <c r="E1208" s="20">
        <v>457.97</v>
      </c>
      <c r="F1208" s="20">
        <v>47591.64</v>
      </c>
    </row>
    <row r="1209" spans="1:6" ht="13.5" customHeight="1" x14ac:dyDescent="0.3">
      <c r="A1209" s="21">
        <v>45155</v>
      </c>
      <c r="B1209" s="22">
        <v>112.31</v>
      </c>
      <c r="C1209" s="22">
        <v>2478.6799999999998</v>
      </c>
      <c r="D1209" s="22">
        <v>229.64</v>
      </c>
      <c r="E1209" s="22">
        <v>453.56</v>
      </c>
      <c r="F1209" s="22">
        <v>48058.42</v>
      </c>
    </row>
    <row r="1210" spans="1:6" ht="13.5" customHeight="1" x14ac:dyDescent="0.3">
      <c r="A1210" s="19">
        <v>45156</v>
      </c>
      <c r="B1210" s="20">
        <v>113.53</v>
      </c>
      <c r="C1210" s="20">
        <v>2404.84</v>
      </c>
      <c r="D1210" s="20">
        <v>228.57</v>
      </c>
      <c r="E1210" s="20">
        <v>441.7</v>
      </c>
      <c r="F1210" s="20">
        <v>48445.1</v>
      </c>
    </row>
    <row r="1211" spans="1:6" ht="13.5" customHeight="1" x14ac:dyDescent="0.3">
      <c r="A1211" s="21">
        <v>45159</v>
      </c>
      <c r="B1211" s="22">
        <v>114.49</v>
      </c>
      <c r="C1211" s="22">
        <v>2370.89</v>
      </c>
      <c r="D1211" s="22">
        <v>229.66</v>
      </c>
      <c r="E1211" s="22">
        <v>442.26</v>
      </c>
      <c r="F1211" s="22">
        <v>48636.19</v>
      </c>
    </row>
    <row r="1212" spans="1:6" ht="13.5" customHeight="1" x14ac:dyDescent="0.3">
      <c r="A1212" s="19">
        <v>45160</v>
      </c>
      <c r="B1212" s="20">
        <v>116.18</v>
      </c>
      <c r="C1212" s="20">
        <v>2394.83</v>
      </c>
      <c r="D1212" s="20">
        <v>225.48</v>
      </c>
      <c r="E1212" s="20">
        <v>435.63</v>
      </c>
      <c r="F1212" s="20">
        <v>48376.17</v>
      </c>
    </row>
    <row r="1213" spans="1:6" ht="13.5" customHeight="1" x14ac:dyDescent="0.3">
      <c r="A1213" s="21">
        <v>45161</v>
      </c>
      <c r="B1213" s="22">
        <v>117.67</v>
      </c>
      <c r="C1213" s="22">
        <v>2429.11</v>
      </c>
      <c r="D1213" s="22">
        <v>219.22</v>
      </c>
      <c r="E1213" s="22">
        <v>434.78</v>
      </c>
      <c r="F1213" s="22">
        <v>48038.45</v>
      </c>
    </row>
    <row r="1214" spans="1:6" ht="13.5" customHeight="1" x14ac:dyDescent="0.3">
      <c r="A1214" s="19">
        <v>45162</v>
      </c>
      <c r="B1214" s="20">
        <v>118.99</v>
      </c>
      <c r="C1214" s="20">
        <v>2398.4</v>
      </c>
      <c r="D1214" s="20">
        <v>221.25</v>
      </c>
      <c r="E1214" s="20">
        <v>418.44</v>
      </c>
      <c r="F1214" s="20">
        <v>48517.59</v>
      </c>
    </row>
    <row r="1215" spans="1:6" ht="13.5" customHeight="1" x14ac:dyDescent="0.3">
      <c r="A1215" s="21">
        <v>45163</v>
      </c>
      <c r="B1215" s="22">
        <v>120.29</v>
      </c>
      <c r="C1215" s="22">
        <v>2415.35</v>
      </c>
      <c r="D1215" s="22">
        <v>232.46</v>
      </c>
      <c r="E1215" s="22">
        <v>425.25</v>
      </c>
      <c r="F1215" s="22">
        <v>47829.99</v>
      </c>
    </row>
    <row r="1216" spans="1:6" ht="13.5" customHeight="1" x14ac:dyDescent="0.3">
      <c r="A1216" s="19">
        <v>45166</v>
      </c>
      <c r="B1216" s="20">
        <v>119.47</v>
      </c>
      <c r="C1216" s="20">
        <v>2386.5</v>
      </c>
      <c r="D1216" s="20">
        <v>235.75</v>
      </c>
      <c r="E1216" s="20">
        <v>420.94</v>
      </c>
      <c r="F1216" s="20">
        <v>48695.360000000001</v>
      </c>
    </row>
    <row r="1217" spans="1:6" ht="13.5" customHeight="1" x14ac:dyDescent="0.3">
      <c r="A1217" s="21">
        <v>45167</v>
      </c>
      <c r="B1217" s="22">
        <v>119.07</v>
      </c>
      <c r="C1217" s="22">
        <v>2339.41</v>
      </c>
      <c r="D1217" s="22">
        <v>232.14</v>
      </c>
      <c r="E1217" s="22">
        <v>421.77</v>
      </c>
      <c r="F1217" s="22">
        <v>48826.66</v>
      </c>
    </row>
    <row r="1218" spans="1:6" ht="13.5" customHeight="1" x14ac:dyDescent="0.3">
      <c r="A1218" s="19">
        <v>45168</v>
      </c>
      <c r="B1218" s="20">
        <v>116.09</v>
      </c>
      <c r="C1218" s="20">
        <v>2343.73</v>
      </c>
      <c r="D1218" s="20">
        <v>231.8</v>
      </c>
      <c r="E1218" s="20">
        <v>433.93</v>
      </c>
      <c r="F1218" s="20">
        <v>49184.4</v>
      </c>
    </row>
    <row r="1219" spans="1:6" ht="13.5" customHeight="1" x14ac:dyDescent="0.3">
      <c r="A1219" s="21">
        <v>45169</v>
      </c>
      <c r="B1219" s="22">
        <v>116.6</v>
      </c>
      <c r="C1219" s="22">
        <v>2354.1</v>
      </c>
      <c r="D1219" s="22">
        <v>231.46</v>
      </c>
      <c r="E1219" s="22">
        <v>446.88</v>
      </c>
      <c r="F1219" s="22">
        <v>49742.879999999997</v>
      </c>
    </row>
    <row r="1220" spans="1:6" ht="13.5" customHeight="1" x14ac:dyDescent="0.3">
      <c r="A1220" s="19">
        <v>45170</v>
      </c>
      <c r="B1220" s="20">
        <v>115.55</v>
      </c>
      <c r="C1220" s="20">
        <v>2371.96</v>
      </c>
      <c r="D1220" s="20">
        <v>226.92</v>
      </c>
      <c r="E1220" s="20">
        <v>452.68</v>
      </c>
      <c r="F1220" s="20">
        <v>49902.04</v>
      </c>
    </row>
    <row r="1221" spans="1:6" ht="13.5" customHeight="1" x14ac:dyDescent="0.3">
      <c r="A1221" s="21">
        <v>45173</v>
      </c>
      <c r="B1221" s="22">
        <v>116.23</v>
      </c>
      <c r="C1221" s="22">
        <v>2403.91</v>
      </c>
      <c r="D1221" s="22">
        <v>221.99</v>
      </c>
      <c r="E1221" s="22">
        <v>444.16</v>
      </c>
      <c r="F1221" s="22">
        <v>49873.42</v>
      </c>
    </row>
    <row r="1222" spans="1:6" ht="13.5" customHeight="1" x14ac:dyDescent="0.3">
      <c r="A1222" s="19">
        <v>45174</v>
      </c>
      <c r="B1222" s="20">
        <v>117.11</v>
      </c>
      <c r="C1222" s="20">
        <v>2476.46</v>
      </c>
      <c r="D1222" s="20">
        <v>221.58</v>
      </c>
      <c r="E1222" s="20">
        <v>443.63</v>
      </c>
      <c r="F1222" s="20">
        <v>48675.91</v>
      </c>
    </row>
    <row r="1223" spans="1:6" ht="13.5" customHeight="1" x14ac:dyDescent="0.3">
      <c r="A1223" s="21">
        <v>45175</v>
      </c>
      <c r="B1223" s="22">
        <v>114.96</v>
      </c>
      <c r="C1223" s="22">
        <v>2519.37</v>
      </c>
      <c r="D1223" s="22">
        <v>224.43</v>
      </c>
      <c r="E1223" s="22">
        <v>446.36</v>
      </c>
      <c r="F1223" s="22">
        <v>48889.69</v>
      </c>
    </row>
    <row r="1224" spans="1:6" ht="13.5" customHeight="1" x14ac:dyDescent="0.3">
      <c r="A1224" s="19">
        <v>45176</v>
      </c>
      <c r="B1224" s="20">
        <v>113.38</v>
      </c>
      <c r="C1224" s="20">
        <v>2504.84</v>
      </c>
      <c r="D1224" s="20">
        <v>225.41</v>
      </c>
      <c r="E1224" s="20">
        <v>448.85</v>
      </c>
      <c r="F1224" s="20">
        <v>49219.34</v>
      </c>
    </row>
    <row r="1225" spans="1:6" ht="13.5" customHeight="1" x14ac:dyDescent="0.3">
      <c r="A1225" s="21">
        <v>45177</v>
      </c>
      <c r="B1225" s="22">
        <v>112.86</v>
      </c>
      <c r="C1225" s="22">
        <v>2547.84</v>
      </c>
      <c r="D1225" s="22">
        <v>223.07</v>
      </c>
      <c r="E1225" s="22">
        <v>450.25</v>
      </c>
      <c r="F1225" s="22">
        <v>48418.239999999998</v>
      </c>
    </row>
    <row r="1226" spans="1:6" ht="13.5" customHeight="1" x14ac:dyDescent="0.3">
      <c r="A1226" s="19">
        <v>45180</v>
      </c>
      <c r="B1226" s="20">
        <v>112.09</v>
      </c>
      <c r="C1226" s="20">
        <v>2483.41</v>
      </c>
      <c r="D1226" s="20">
        <v>224.95</v>
      </c>
      <c r="E1226" s="20">
        <v>457.45</v>
      </c>
      <c r="F1226" s="20">
        <v>48540.9</v>
      </c>
    </row>
    <row r="1227" spans="1:6" ht="13.5" customHeight="1" x14ac:dyDescent="0.3">
      <c r="A1227" s="21">
        <v>45181</v>
      </c>
      <c r="B1227" s="22">
        <v>112.39</v>
      </c>
      <c r="C1227" s="22">
        <v>2489.3000000000002</v>
      </c>
      <c r="D1227" s="22">
        <v>226.89</v>
      </c>
      <c r="E1227" s="22">
        <v>463.36</v>
      </c>
      <c r="F1227" s="22">
        <v>48501.2</v>
      </c>
    </row>
    <row r="1228" spans="1:6" ht="13.5" customHeight="1" x14ac:dyDescent="0.3">
      <c r="A1228" s="19">
        <v>45182</v>
      </c>
      <c r="B1228" s="20">
        <v>110.62</v>
      </c>
      <c r="C1228" s="20">
        <v>2537.04</v>
      </c>
      <c r="D1228" s="20">
        <v>223.46</v>
      </c>
      <c r="E1228" s="20">
        <v>474.25</v>
      </c>
      <c r="F1228" s="20">
        <v>49090.71</v>
      </c>
    </row>
    <row r="1229" spans="1:6" ht="13.5" customHeight="1" x14ac:dyDescent="0.3">
      <c r="A1229" s="21">
        <v>45183</v>
      </c>
      <c r="B1229" s="22">
        <v>110.73</v>
      </c>
      <c r="C1229" s="22">
        <v>2568.94</v>
      </c>
      <c r="D1229" s="22">
        <v>219.27</v>
      </c>
      <c r="E1229" s="22">
        <v>481.85</v>
      </c>
      <c r="F1229" s="22">
        <v>48158.95</v>
      </c>
    </row>
    <row r="1230" spans="1:6" ht="13.5" customHeight="1" x14ac:dyDescent="0.3">
      <c r="A1230" s="19">
        <v>45184</v>
      </c>
      <c r="B1230" s="20">
        <v>108.17</v>
      </c>
      <c r="C1230" s="20">
        <v>2608</v>
      </c>
      <c r="D1230" s="20">
        <v>221.58</v>
      </c>
      <c r="E1230" s="20">
        <v>475.75</v>
      </c>
      <c r="F1230" s="20">
        <v>47872.76</v>
      </c>
    </row>
    <row r="1231" spans="1:6" ht="13.5" customHeight="1" x14ac:dyDescent="0.3">
      <c r="A1231" s="21">
        <v>45187</v>
      </c>
      <c r="B1231" s="22">
        <v>104.98</v>
      </c>
      <c r="C1231" s="22">
        <v>2697.41</v>
      </c>
      <c r="D1231" s="22">
        <v>225.64</v>
      </c>
      <c r="E1231" s="22">
        <v>473.11</v>
      </c>
      <c r="F1231" s="22">
        <v>47782.89</v>
      </c>
    </row>
    <row r="1232" spans="1:6" ht="13.5" customHeight="1" x14ac:dyDescent="0.3">
      <c r="A1232" s="19">
        <v>45188</v>
      </c>
      <c r="B1232" s="20">
        <v>106.05</v>
      </c>
      <c r="C1232" s="20">
        <v>2663.78</v>
      </c>
      <c r="D1232" s="20">
        <v>227.17</v>
      </c>
      <c r="E1232" s="20">
        <v>473.22</v>
      </c>
      <c r="F1232" s="20">
        <v>47331.7</v>
      </c>
    </row>
    <row r="1233" spans="1:6" ht="13.5" customHeight="1" x14ac:dyDescent="0.3">
      <c r="A1233" s="21">
        <v>45189</v>
      </c>
      <c r="B1233" s="22">
        <v>104.17</v>
      </c>
      <c r="C1233" s="22">
        <v>2702.7</v>
      </c>
      <c r="D1233" s="22">
        <v>231.47</v>
      </c>
      <c r="E1233" s="22">
        <v>477.14</v>
      </c>
      <c r="F1233" s="22">
        <v>47448.76</v>
      </c>
    </row>
    <row r="1234" spans="1:6" ht="13.5" customHeight="1" x14ac:dyDescent="0.3">
      <c r="A1234" s="19">
        <v>45190</v>
      </c>
      <c r="B1234" s="20">
        <v>103.39</v>
      </c>
      <c r="C1234" s="20">
        <v>2699.86</v>
      </c>
      <c r="D1234" s="20">
        <v>236.91</v>
      </c>
      <c r="E1234" s="20">
        <v>472.93</v>
      </c>
      <c r="F1234" s="20">
        <v>46358.47</v>
      </c>
    </row>
    <row r="1235" spans="1:6" ht="13.5" customHeight="1" x14ac:dyDescent="0.3">
      <c r="A1235" s="21">
        <v>45191</v>
      </c>
      <c r="B1235" s="22">
        <v>101.39</v>
      </c>
      <c r="C1235" s="22">
        <v>2754.55</v>
      </c>
      <c r="D1235" s="22">
        <v>231.31</v>
      </c>
      <c r="E1235" s="22">
        <v>473.06</v>
      </c>
      <c r="F1235" s="22">
        <v>45183.07</v>
      </c>
    </row>
    <row r="1236" spans="1:6" ht="13.5" customHeight="1" x14ac:dyDescent="0.3">
      <c r="A1236" s="19">
        <v>45194</v>
      </c>
      <c r="B1236" s="20">
        <v>99.45</v>
      </c>
      <c r="C1236" s="20">
        <v>2761.91</v>
      </c>
      <c r="D1236" s="20">
        <v>233.14</v>
      </c>
      <c r="E1236" s="20">
        <v>470.32</v>
      </c>
      <c r="F1236" s="20">
        <v>45185.64</v>
      </c>
    </row>
    <row r="1237" spans="1:6" ht="13.5" customHeight="1" x14ac:dyDescent="0.3">
      <c r="A1237" s="21">
        <v>45195</v>
      </c>
      <c r="B1237" s="22">
        <v>98.93</v>
      </c>
      <c r="C1237" s="22">
        <v>2801.65</v>
      </c>
      <c r="D1237" s="22">
        <v>238.07</v>
      </c>
      <c r="E1237" s="22">
        <v>465.8</v>
      </c>
      <c r="F1237" s="22">
        <v>45482.43</v>
      </c>
    </row>
    <row r="1238" spans="1:6" ht="13.5" customHeight="1" x14ac:dyDescent="0.3">
      <c r="A1238" s="19">
        <v>45196</v>
      </c>
      <c r="B1238" s="20">
        <v>98.4</v>
      </c>
      <c r="C1238" s="20">
        <v>2879.75</v>
      </c>
      <c r="D1238" s="20">
        <v>242.41</v>
      </c>
      <c r="E1238" s="20">
        <v>469.65</v>
      </c>
      <c r="F1238" s="20">
        <v>45071.91</v>
      </c>
    </row>
    <row r="1239" spans="1:6" ht="13.5" customHeight="1" x14ac:dyDescent="0.3">
      <c r="A1239" s="21">
        <v>45197</v>
      </c>
      <c r="B1239" s="22">
        <v>99.77</v>
      </c>
      <c r="C1239" s="22">
        <v>2913.51</v>
      </c>
      <c r="D1239" s="22">
        <v>247.95</v>
      </c>
      <c r="E1239" s="22">
        <v>477.95</v>
      </c>
      <c r="F1239" s="22">
        <v>45276.42</v>
      </c>
    </row>
    <row r="1240" spans="1:6" ht="13.5" customHeight="1" x14ac:dyDescent="0.3">
      <c r="A1240" s="19">
        <v>45198</v>
      </c>
      <c r="B1240" s="20">
        <v>100.42</v>
      </c>
      <c r="C1240" s="20">
        <v>2904.47</v>
      </c>
      <c r="D1240" s="20">
        <v>245.76</v>
      </c>
      <c r="E1240" s="20">
        <v>494.19</v>
      </c>
      <c r="F1240" s="20">
        <v>45448.639999999999</v>
      </c>
    </row>
    <row r="1241" spans="1:6" ht="13.5" customHeight="1" x14ac:dyDescent="0.3">
      <c r="A1241" s="21">
        <v>45201</v>
      </c>
      <c r="B1241" s="22">
        <v>100.09</v>
      </c>
      <c r="C1241" s="22">
        <v>2887.36</v>
      </c>
      <c r="D1241" s="22">
        <v>248.49</v>
      </c>
      <c r="E1241" s="22">
        <v>503.97</v>
      </c>
      <c r="F1241" s="22">
        <v>45761.89</v>
      </c>
    </row>
    <row r="1242" spans="1:6" ht="13.5" customHeight="1" x14ac:dyDescent="0.3">
      <c r="A1242" s="19">
        <v>45202</v>
      </c>
      <c r="B1242" s="20">
        <v>101.17</v>
      </c>
      <c r="C1242" s="20">
        <v>2853.73</v>
      </c>
      <c r="D1242" s="20">
        <v>251.63</v>
      </c>
      <c r="E1242" s="20">
        <v>500.48</v>
      </c>
      <c r="F1242" s="20">
        <v>45818.21</v>
      </c>
    </row>
    <row r="1243" spans="1:6" ht="13.5" customHeight="1" x14ac:dyDescent="0.3">
      <c r="A1243" s="21">
        <v>45203</v>
      </c>
      <c r="B1243" s="22">
        <v>102.77</v>
      </c>
      <c r="C1243" s="22">
        <v>2907.68</v>
      </c>
      <c r="D1243" s="22">
        <v>249.36</v>
      </c>
      <c r="E1243" s="22">
        <v>512.74</v>
      </c>
      <c r="F1243" s="22">
        <v>44947.3</v>
      </c>
    </row>
    <row r="1244" spans="1:6" ht="13.5" customHeight="1" x14ac:dyDescent="0.3">
      <c r="A1244" s="19">
        <v>45204</v>
      </c>
      <c r="B1244" s="20">
        <v>103.39</v>
      </c>
      <c r="C1244" s="20">
        <v>2976.72</v>
      </c>
      <c r="D1244" s="20">
        <v>250.21</v>
      </c>
      <c r="E1244" s="20">
        <v>499.12</v>
      </c>
      <c r="F1244" s="20">
        <v>44963.35</v>
      </c>
    </row>
    <row r="1245" spans="1:6" ht="13.5" customHeight="1" x14ac:dyDescent="0.3">
      <c r="A1245" s="21">
        <v>45205</v>
      </c>
      <c r="B1245" s="22">
        <v>102.84</v>
      </c>
      <c r="C1245" s="22">
        <v>2965.66</v>
      </c>
      <c r="D1245" s="22">
        <v>245.06</v>
      </c>
      <c r="E1245" s="22">
        <v>503.28</v>
      </c>
      <c r="F1245" s="22">
        <v>45044.44</v>
      </c>
    </row>
    <row r="1246" spans="1:6" ht="13.5" customHeight="1" x14ac:dyDescent="0.3">
      <c r="A1246" s="19">
        <v>45208</v>
      </c>
      <c r="B1246" s="20">
        <v>104.32</v>
      </c>
      <c r="C1246" s="20">
        <v>2872.78</v>
      </c>
      <c r="D1246" s="20">
        <v>241.88</v>
      </c>
      <c r="E1246" s="20">
        <v>498.2</v>
      </c>
      <c r="F1246" s="20">
        <v>45827.01</v>
      </c>
    </row>
    <row r="1247" spans="1:6" ht="13.5" customHeight="1" x14ac:dyDescent="0.3">
      <c r="A1247" s="21">
        <v>45209</v>
      </c>
      <c r="B1247" s="22">
        <v>106.91</v>
      </c>
      <c r="C1247" s="22">
        <v>2842.39</v>
      </c>
      <c r="D1247" s="22">
        <v>243.23</v>
      </c>
      <c r="E1247" s="22">
        <v>493.25</v>
      </c>
      <c r="F1247" s="22">
        <v>45064.959999999999</v>
      </c>
    </row>
    <row r="1248" spans="1:6" ht="13.5" customHeight="1" x14ac:dyDescent="0.3">
      <c r="A1248" s="19">
        <v>45210</v>
      </c>
      <c r="B1248" s="20">
        <v>107.93</v>
      </c>
      <c r="C1248" s="20">
        <v>2865.84</v>
      </c>
      <c r="D1248" s="20">
        <v>247.35</v>
      </c>
      <c r="E1248" s="20">
        <v>511.95</v>
      </c>
      <c r="F1248" s="20">
        <v>46252.12</v>
      </c>
    </row>
    <row r="1249" spans="1:6" ht="13.5" customHeight="1" x14ac:dyDescent="0.3">
      <c r="A1249" s="21">
        <v>45211</v>
      </c>
      <c r="B1249" s="22">
        <v>110.61</v>
      </c>
      <c r="C1249" s="22">
        <v>2819.69</v>
      </c>
      <c r="D1249" s="22">
        <v>247.44</v>
      </c>
      <c r="E1249" s="22">
        <v>508.13</v>
      </c>
      <c r="F1249" s="22">
        <v>46224.480000000003</v>
      </c>
    </row>
    <row r="1250" spans="1:6" ht="13.5" customHeight="1" x14ac:dyDescent="0.3">
      <c r="A1250" s="19">
        <v>45212</v>
      </c>
      <c r="B1250" s="20">
        <v>112.07</v>
      </c>
      <c r="C1250" s="20">
        <v>2723.96</v>
      </c>
      <c r="D1250" s="20">
        <v>253.52</v>
      </c>
      <c r="E1250" s="20">
        <v>510.74</v>
      </c>
      <c r="F1250" s="20">
        <v>45683.23</v>
      </c>
    </row>
    <row r="1251" spans="1:6" ht="13.5" customHeight="1" x14ac:dyDescent="0.3">
      <c r="A1251" s="21">
        <v>45215</v>
      </c>
      <c r="B1251" s="22">
        <v>113.42</v>
      </c>
      <c r="C1251" s="22">
        <v>2704.23</v>
      </c>
      <c r="D1251" s="22">
        <v>259.57</v>
      </c>
      <c r="E1251" s="22">
        <v>516.67999999999995</v>
      </c>
      <c r="F1251" s="22">
        <v>45552.88</v>
      </c>
    </row>
    <row r="1252" spans="1:6" ht="13.5" customHeight="1" x14ac:dyDescent="0.3">
      <c r="A1252" s="19">
        <v>45216</v>
      </c>
      <c r="B1252" s="20">
        <v>111.74</v>
      </c>
      <c r="C1252" s="20">
        <v>2608.5300000000002</v>
      </c>
      <c r="D1252" s="20">
        <v>255.65</v>
      </c>
      <c r="E1252" s="20">
        <v>516.67999999999995</v>
      </c>
      <c r="F1252" s="20">
        <v>46146.78</v>
      </c>
    </row>
    <row r="1253" spans="1:6" ht="13.5" customHeight="1" x14ac:dyDescent="0.3">
      <c r="A1253" s="21">
        <v>45217</v>
      </c>
      <c r="B1253" s="22">
        <v>110.05</v>
      </c>
      <c r="C1253" s="22">
        <v>2625.05</v>
      </c>
      <c r="D1253" s="22">
        <v>255.35</v>
      </c>
      <c r="E1253" s="22">
        <v>503.63</v>
      </c>
      <c r="F1253" s="22">
        <v>46190.28</v>
      </c>
    </row>
    <row r="1254" spans="1:6" ht="13.5" customHeight="1" x14ac:dyDescent="0.3">
      <c r="A1254" s="19">
        <v>45218</v>
      </c>
      <c r="B1254" s="20">
        <v>110.01</v>
      </c>
      <c r="C1254" s="20">
        <v>2608.04</v>
      </c>
      <c r="D1254" s="20">
        <v>253.42</v>
      </c>
      <c r="E1254" s="20">
        <v>507</v>
      </c>
      <c r="F1254" s="20">
        <v>45812.5</v>
      </c>
    </row>
    <row r="1255" spans="1:6" ht="13.5" customHeight="1" x14ac:dyDescent="0.3">
      <c r="A1255" s="21">
        <v>45219</v>
      </c>
      <c r="B1255" s="22">
        <v>107.5</v>
      </c>
      <c r="C1255" s="22">
        <v>2612.37</v>
      </c>
      <c r="D1255" s="22">
        <v>256.81</v>
      </c>
      <c r="E1255" s="22">
        <v>503.96</v>
      </c>
      <c r="F1255" s="22">
        <v>46186.29</v>
      </c>
    </row>
    <row r="1256" spans="1:6" ht="13.5" customHeight="1" x14ac:dyDescent="0.3">
      <c r="A1256" s="19">
        <v>45222</v>
      </c>
      <c r="B1256" s="20">
        <v>106.65</v>
      </c>
      <c r="C1256" s="20">
        <v>2673.67</v>
      </c>
      <c r="D1256" s="20">
        <v>259.82</v>
      </c>
      <c r="E1256" s="20">
        <v>503.19</v>
      </c>
      <c r="F1256" s="20">
        <v>46715.46</v>
      </c>
    </row>
    <row r="1257" spans="1:6" ht="13.5" customHeight="1" x14ac:dyDescent="0.3">
      <c r="A1257" s="21">
        <v>45223</v>
      </c>
      <c r="B1257" s="22">
        <v>107.97</v>
      </c>
      <c r="C1257" s="22">
        <v>2632.45</v>
      </c>
      <c r="D1257" s="22">
        <v>256.67</v>
      </c>
      <c r="E1257" s="22">
        <v>503.21</v>
      </c>
      <c r="F1257" s="22">
        <v>46735.17</v>
      </c>
    </row>
    <row r="1258" spans="1:6" ht="13.5" customHeight="1" x14ac:dyDescent="0.3">
      <c r="A1258" s="19">
        <v>45224</v>
      </c>
      <c r="B1258" s="20">
        <v>107.01</v>
      </c>
      <c r="C1258" s="20">
        <v>2534.2800000000002</v>
      </c>
      <c r="D1258" s="20">
        <v>260.51</v>
      </c>
      <c r="E1258" s="20">
        <v>507.79</v>
      </c>
      <c r="F1258" s="20">
        <v>47656.02</v>
      </c>
    </row>
    <row r="1259" spans="1:6" ht="13.5" customHeight="1" x14ac:dyDescent="0.3">
      <c r="A1259" s="21">
        <v>45225</v>
      </c>
      <c r="B1259" s="22">
        <v>107.83</v>
      </c>
      <c r="C1259" s="22">
        <v>2534.52</v>
      </c>
      <c r="D1259" s="22">
        <v>255.19</v>
      </c>
      <c r="E1259" s="22">
        <v>511.97</v>
      </c>
      <c r="F1259" s="22">
        <v>48814.16</v>
      </c>
    </row>
    <row r="1260" spans="1:6" ht="13.5" customHeight="1" x14ac:dyDescent="0.3">
      <c r="A1260" s="19">
        <v>45226</v>
      </c>
      <c r="B1260" s="20">
        <v>105.85</v>
      </c>
      <c r="C1260" s="20">
        <v>2557</v>
      </c>
      <c r="D1260" s="20">
        <v>260.02999999999997</v>
      </c>
      <c r="E1260" s="20">
        <v>497.52</v>
      </c>
      <c r="F1260" s="20">
        <v>47491.71</v>
      </c>
    </row>
    <row r="1261" spans="1:6" ht="13.5" customHeight="1" x14ac:dyDescent="0.3">
      <c r="A1261" s="21">
        <v>45229</v>
      </c>
      <c r="B1261" s="22">
        <v>105.16</v>
      </c>
      <c r="C1261" s="22">
        <v>2494.04</v>
      </c>
      <c r="D1261" s="22">
        <v>250.14</v>
      </c>
      <c r="E1261" s="22">
        <v>499.83</v>
      </c>
      <c r="F1261" s="22">
        <v>47525.27</v>
      </c>
    </row>
    <row r="1262" spans="1:6" ht="13.5" customHeight="1" x14ac:dyDescent="0.3">
      <c r="A1262" s="19">
        <v>45230</v>
      </c>
      <c r="B1262" s="20">
        <v>106.68</v>
      </c>
      <c r="C1262" s="20">
        <v>2479.3200000000002</v>
      </c>
      <c r="D1262" s="20">
        <v>249.54</v>
      </c>
      <c r="E1262" s="20">
        <v>516.73</v>
      </c>
      <c r="F1262" s="20">
        <v>48541.06</v>
      </c>
    </row>
    <row r="1263" spans="1:6" ht="13.5" customHeight="1" x14ac:dyDescent="0.3">
      <c r="A1263" s="21">
        <v>45231</v>
      </c>
      <c r="B1263" s="22">
        <v>107.02</v>
      </c>
      <c r="C1263" s="22">
        <v>2465.61</v>
      </c>
      <c r="D1263" s="22">
        <v>246.85</v>
      </c>
      <c r="E1263" s="22">
        <v>498.35</v>
      </c>
      <c r="F1263" s="22">
        <v>48832.86</v>
      </c>
    </row>
    <row r="1264" spans="1:6" ht="13.5" customHeight="1" x14ac:dyDescent="0.3">
      <c r="A1264" s="19">
        <v>45232</v>
      </c>
      <c r="B1264" s="20">
        <v>107.49</v>
      </c>
      <c r="C1264" s="20">
        <v>2468.29</v>
      </c>
      <c r="D1264" s="20">
        <v>249.58</v>
      </c>
      <c r="E1264" s="20">
        <v>489.86</v>
      </c>
      <c r="F1264" s="20">
        <v>49672.12</v>
      </c>
    </row>
    <row r="1265" spans="1:6" ht="13.5" customHeight="1" x14ac:dyDescent="0.3">
      <c r="A1265" s="21">
        <v>45233</v>
      </c>
      <c r="B1265" s="22">
        <v>110.06</v>
      </c>
      <c r="C1265" s="22">
        <v>2442.96</v>
      </c>
      <c r="D1265" s="22">
        <v>250.67</v>
      </c>
      <c r="E1265" s="22">
        <v>483.71</v>
      </c>
      <c r="F1265" s="22">
        <v>50011.86</v>
      </c>
    </row>
    <row r="1266" spans="1:6" ht="13.5" customHeight="1" x14ac:dyDescent="0.3">
      <c r="A1266" s="19">
        <v>45236</v>
      </c>
      <c r="B1266" s="20">
        <v>112.07</v>
      </c>
      <c r="C1266" s="20">
        <v>2559.1799999999998</v>
      </c>
      <c r="D1266" s="20">
        <v>242.12</v>
      </c>
      <c r="E1266" s="20">
        <v>465.78</v>
      </c>
      <c r="F1266" s="20">
        <v>49210.15</v>
      </c>
    </row>
    <row r="1267" spans="1:6" ht="13.5" customHeight="1" x14ac:dyDescent="0.3">
      <c r="A1267" s="21">
        <v>45237</v>
      </c>
      <c r="B1267" s="22">
        <v>110.75</v>
      </c>
      <c r="C1267" s="22">
        <v>2548.86</v>
      </c>
      <c r="D1267" s="22">
        <v>237.08</v>
      </c>
      <c r="E1267" s="22">
        <v>449.89</v>
      </c>
      <c r="F1267" s="22">
        <v>48874.95</v>
      </c>
    </row>
    <row r="1268" spans="1:6" ht="13.5" customHeight="1" x14ac:dyDescent="0.3">
      <c r="A1268" s="19">
        <v>45238</v>
      </c>
      <c r="B1268" s="20">
        <v>112.81</v>
      </c>
      <c r="C1268" s="20">
        <v>2558.7600000000002</v>
      </c>
      <c r="D1268" s="20">
        <v>234.99</v>
      </c>
      <c r="E1268" s="20">
        <v>441.95</v>
      </c>
      <c r="F1268" s="20">
        <v>48887.27</v>
      </c>
    </row>
    <row r="1269" spans="1:6" ht="13.5" customHeight="1" x14ac:dyDescent="0.3">
      <c r="A1269" s="21">
        <v>45239</v>
      </c>
      <c r="B1269" s="22">
        <v>111.88</v>
      </c>
      <c r="C1269" s="22">
        <v>2538.41</v>
      </c>
      <c r="D1269" s="22">
        <v>239.46</v>
      </c>
      <c r="E1269" s="22">
        <v>451.76</v>
      </c>
      <c r="F1269" s="22">
        <v>49645.36</v>
      </c>
    </row>
    <row r="1270" spans="1:6" ht="13.5" customHeight="1" x14ac:dyDescent="0.3">
      <c r="A1270" s="19">
        <v>45240</v>
      </c>
      <c r="B1270" s="20">
        <v>111.89</v>
      </c>
      <c r="C1270" s="20">
        <v>2421.58</v>
      </c>
      <c r="D1270" s="20">
        <v>245.71</v>
      </c>
      <c r="E1270" s="20">
        <v>448.84</v>
      </c>
      <c r="F1270" s="20">
        <v>49627.86</v>
      </c>
    </row>
    <row r="1271" spans="1:6" ht="13.5" customHeight="1" x14ac:dyDescent="0.3">
      <c r="A1271" s="21">
        <v>45243</v>
      </c>
      <c r="B1271" s="22">
        <v>111.95</v>
      </c>
      <c r="C1271" s="22">
        <v>2482</v>
      </c>
      <c r="D1271" s="22">
        <v>248.44</v>
      </c>
      <c r="E1271" s="22">
        <v>441.14</v>
      </c>
      <c r="F1271" s="22">
        <v>49375.94</v>
      </c>
    </row>
    <row r="1272" spans="1:6" ht="13.5" customHeight="1" x14ac:dyDescent="0.3">
      <c r="A1272" s="19">
        <v>45244</v>
      </c>
      <c r="B1272" s="20">
        <v>113.65</v>
      </c>
      <c r="C1272" s="20">
        <v>2345.2800000000002</v>
      </c>
      <c r="D1272" s="20">
        <v>254.11</v>
      </c>
      <c r="E1272" s="20">
        <v>439.95</v>
      </c>
      <c r="F1272" s="20">
        <v>49091.29</v>
      </c>
    </row>
    <row r="1273" spans="1:6" ht="13.5" customHeight="1" x14ac:dyDescent="0.3">
      <c r="A1273" s="21">
        <v>45245</v>
      </c>
      <c r="B1273" s="22">
        <v>111.9</v>
      </c>
      <c r="C1273" s="22">
        <v>2402.8000000000002</v>
      </c>
      <c r="D1273" s="22">
        <v>251.2</v>
      </c>
      <c r="E1273" s="22">
        <v>444.22</v>
      </c>
      <c r="F1273" s="22">
        <v>49213.760000000002</v>
      </c>
    </row>
    <row r="1274" spans="1:6" ht="13.5" customHeight="1" x14ac:dyDescent="0.3">
      <c r="A1274" s="19">
        <v>45246</v>
      </c>
      <c r="B1274" s="20">
        <v>112.64</v>
      </c>
      <c r="C1274" s="20">
        <v>2348.23</v>
      </c>
      <c r="D1274" s="20">
        <v>252.94</v>
      </c>
      <c r="E1274" s="20">
        <v>448.51</v>
      </c>
      <c r="F1274" s="20">
        <v>49346.65</v>
      </c>
    </row>
    <row r="1275" spans="1:6" ht="13.5" customHeight="1" x14ac:dyDescent="0.3">
      <c r="A1275" s="21">
        <v>45247</v>
      </c>
      <c r="B1275" s="22">
        <v>113.49</v>
      </c>
      <c r="C1275" s="22">
        <v>2293.34</v>
      </c>
      <c r="D1275" s="22">
        <v>253.55</v>
      </c>
      <c r="E1275" s="22">
        <v>449.08</v>
      </c>
      <c r="F1275" s="22">
        <v>50649.23</v>
      </c>
    </row>
    <row r="1276" spans="1:6" ht="13.5" customHeight="1" x14ac:dyDescent="0.3">
      <c r="A1276" s="19">
        <v>45250</v>
      </c>
      <c r="B1276" s="20">
        <v>114.81</v>
      </c>
      <c r="C1276" s="20">
        <v>2290.3000000000002</v>
      </c>
      <c r="D1276" s="20">
        <v>249.34</v>
      </c>
      <c r="E1276" s="20">
        <v>471.72</v>
      </c>
      <c r="F1276" s="20">
        <v>50587.66</v>
      </c>
    </row>
    <row r="1277" spans="1:6" ht="13.5" customHeight="1" x14ac:dyDescent="0.3">
      <c r="A1277" s="21">
        <v>45251</v>
      </c>
      <c r="B1277" s="22">
        <v>114.51</v>
      </c>
      <c r="C1277" s="22">
        <v>2380.37</v>
      </c>
      <c r="D1277" s="22">
        <v>248.06</v>
      </c>
      <c r="E1277" s="22">
        <v>474.3</v>
      </c>
      <c r="F1277" s="22">
        <v>49895.23</v>
      </c>
    </row>
    <row r="1278" spans="1:6" ht="13.5" customHeight="1" x14ac:dyDescent="0.3">
      <c r="A1278" s="19">
        <v>45252</v>
      </c>
      <c r="B1278" s="20">
        <v>116.14</v>
      </c>
      <c r="C1278" s="20">
        <v>2395.21</v>
      </c>
      <c r="D1278" s="20">
        <v>246.77</v>
      </c>
      <c r="E1278" s="20">
        <v>478.41</v>
      </c>
      <c r="F1278" s="20">
        <v>50262.91</v>
      </c>
    </row>
    <row r="1279" spans="1:6" ht="13.5" customHeight="1" x14ac:dyDescent="0.3">
      <c r="A1279" s="21">
        <v>45253</v>
      </c>
      <c r="B1279" s="22">
        <v>115.03</v>
      </c>
      <c r="C1279" s="22">
        <v>2388.5500000000002</v>
      </c>
      <c r="D1279" s="22">
        <v>248.64</v>
      </c>
      <c r="E1279" s="22">
        <v>473.84</v>
      </c>
      <c r="F1279" s="22">
        <v>50435.91</v>
      </c>
    </row>
    <row r="1280" spans="1:6" ht="13.5" customHeight="1" x14ac:dyDescent="0.3">
      <c r="A1280" s="19">
        <v>45254</v>
      </c>
      <c r="B1280" s="20">
        <v>116.89</v>
      </c>
      <c r="C1280" s="20">
        <v>2357.63</v>
      </c>
      <c r="D1280" s="20">
        <v>250.68</v>
      </c>
      <c r="E1280" s="20">
        <v>466.35</v>
      </c>
      <c r="F1280" s="20">
        <v>50553.94</v>
      </c>
    </row>
    <row r="1281" spans="1:6" ht="13.5" customHeight="1" x14ac:dyDescent="0.3">
      <c r="A1281" s="21">
        <v>45257</v>
      </c>
      <c r="B1281" s="22">
        <v>117.5</v>
      </c>
      <c r="C1281" s="22">
        <v>2386.1</v>
      </c>
      <c r="D1281" s="22">
        <v>248.61</v>
      </c>
      <c r="E1281" s="22">
        <v>456.31</v>
      </c>
      <c r="F1281" s="22">
        <v>50162.47</v>
      </c>
    </row>
    <row r="1282" spans="1:6" ht="13.5" customHeight="1" x14ac:dyDescent="0.3">
      <c r="A1282" s="19">
        <v>45258</v>
      </c>
      <c r="B1282" s="20">
        <v>115.26</v>
      </c>
      <c r="C1282" s="20">
        <v>2371.94</v>
      </c>
      <c r="D1282" s="20">
        <v>246.63</v>
      </c>
      <c r="E1282" s="20">
        <v>445.4</v>
      </c>
      <c r="F1282" s="20">
        <v>50448.06</v>
      </c>
    </row>
    <row r="1283" spans="1:6" ht="13.5" customHeight="1" x14ac:dyDescent="0.3">
      <c r="A1283" s="21">
        <v>45259</v>
      </c>
      <c r="B1283" s="22">
        <v>115.95</v>
      </c>
      <c r="C1283" s="22">
        <v>2403.21</v>
      </c>
      <c r="D1283" s="22">
        <v>239.34</v>
      </c>
      <c r="E1283" s="22">
        <v>450.25</v>
      </c>
      <c r="F1283" s="22">
        <v>50188.31</v>
      </c>
    </row>
    <row r="1284" spans="1:6" ht="13.5" customHeight="1" x14ac:dyDescent="0.3">
      <c r="A1284" s="19">
        <v>45260</v>
      </c>
      <c r="B1284" s="20">
        <v>116.27</v>
      </c>
      <c r="C1284" s="20">
        <v>2321.42</v>
      </c>
      <c r="D1284" s="20">
        <v>241.34</v>
      </c>
      <c r="E1284" s="20">
        <v>451.84</v>
      </c>
      <c r="F1284" s="20">
        <v>49899.43</v>
      </c>
    </row>
    <row r="1285" spans="1:6" ht="13.5" customHeight="1" x14ac:dyDescent="0.3">
      <c r="A1285" s="21">
        <v>45261</v>
      </c>
      <c r="B1285" s="22">
        <v>115.74</v>
      </c>
      <c r="C1285" s="22">
        <v>2344.44</v>
      </c>
      <c r="D1285" s="22">
        <v>241.05</v>
      </c>
      <c r="E1285" s="22">
        <v>446.67</v>
      </c>
      <c r="F1285" s="22">
        <v>49584.15</v>
      </c>
    </row>
    <row r="1286" spans="1:6" ht="13.5" customHeight="1" x14ac:dyDescent="0.3">
      <c r="A1286" s="19">
        <v>45264</v>
      </c>
      <c r="B1286" s="20">
        <v>114.59</v>
      </c>
      <c r="C1286" s="20">
        <v>2358.98</v>
      </c>
      <c r="D1286" s="20">
        <v>241.03</v>
      </c>
      <c r="E1286" s="20">
        <v>443.93</v>
      </c>
      <c r="F1286" s="20">
        <v>50152.2</v>
      </c>
    </row>
    <row r="1287" spans="1:6" ht="13.5" customHeight="1" x14ac:dyDescent="0.3">
      <c r="A1287" s="21">
        <v>45265</v>
      </c>
      <c r="B1287" s="22">
        <v>114.25</v>
      </c>
      <c r="C1287" s="22">
        <v>2303.79</v>
      </c>
      <c r="D1287" s="22">
        <v>243.2</v>
      </c>
      <c r="E1287" s="22">
        <v>453.02</v>
      </c>
      <c r="F1287" s="22">
        <v>49354.51</v>
      </c>
    </row>
    <row r="1288" spans="1:6" ht="13.5" customHeight="1" x14ac:dyDescent="0.3">
      <c r="A1288" s="19">
        <v>45266</v>
      </c>
      <c r="B1288" s="20">
        <v>112</v>
      </c>
      <c r="C1288" s="20">
        <v>2263.1999999999998</v>
      </c>
      <c r="D1288" s="20">
        <v>241.4</v>
      </c>
      <c r="E1288" s="20">
        <v>451.46</v>
      </c>
      <c r="F1288" s="20">
        <v>49322.33</v>
      </c>
    </row>
    <row r="1289" spans="1:6" ht="13.5" customHeight="1" x14ac:dyDescent="0.3">
      <c r="A1289" s="21">
        <v>45267</v>
      </c>
      <c r="B1289" s="22">
        <v>114.66</v>
      </c>
      <c r="C1289" s="22">
        <v>2258.66</v>
      </c>
      <c r="D1289" s="22">
        <v>237.83</v>
      </c>
      <c r="E1289" s="22">
        <v>451.97</v>
      </c>
      <c r="F1289" s="22">
        <v>49191.75</v>
      </c>
    </row>
    <row r="1290" spans="1:6" ht="13.5" customHeight="1" x14ac:dyDescent="0.3">
      <c r="A1290" s="19">
        <v>45268</v>
      </c>
      <c r="B1290" s="20">
        <v>112.9</v>
      </c>
      <c r="C1290" s="20">
        <v>2240.62</v>
      </c>
      <c r="D1290" s="20">
        <v>235.67</v>
      </c>
      <c r="E1290" s="20">
        <v>454.66</v>
      </c>
      <c r="F1290" s="20">
        <v>49625.66</v>
      </c>
    </row>
    <row r="1291" spans="1:6" ht="13.5" customHeight="1" x14ac:dyDescent="0.3">
      <c r="A1291" s="21">
        <v>45271</v>
      </c>
      <c r="B1291" s="22">
        <v>111.9</v>
      </c>
      <c r="C1291" s="22">
        <v>2253.42</v>
      </c>
      <c r="D1291" s="22">
        <v>234.49</v>
      </c>
      <c r="E1291" s="22">
        <v>459.14</v>
      </c>
      <c r="F1291" s="22">
        <v>49543.54</v>
      </c>
    </row>
    <row r="1292" spans="1:6" ht="13.5" customHeight="1" x14ac:dyDescent="0.3">
      <c r="A1292" s="19">
        <v>45272</v>
      </c>
      <c r="B1292" s="20">
        <v>113.72</v>
      </c>
      <c r="C1292" s="20">
        <v>2197.7399999999998</v>
      </c>
      <c r="D1292" s="20">
        <v>235.38</v>
      </c>
      <c r="E1292" s="20">
        <v>452.8</v>
      </c>
      <c r="F1292" s="20">
        <v>50074.03</v>
      </c>
    </row>
    <row r="1293" spans="1:6" ht="13.5" customHeight="1" x14ac:dyDescent="0.3">
      <c r="A1293" s="21">
        <v>45273</v>
      </c>
      <c r="B1293" s="22">
        <v>114.67</v>
      </c>
      <c r="C1293" s="22">
        <v>2164.7600000000002</v>
      </c>
      <c r="D1293" s="22">
        <v>233.23</v>
      </c>
      <c r="E1293" s="22">
        <v>431.94</v>
      </c>
      <c r="F1293" s="22">
        <v>49658.01</v>
      </c>
    </row>
    <row r="1294" spans="1:6" ht="13.5" customHeight="1" x14ac:dyDescent="0.3">
      <c r="A1294" s="19">
        <v>45274</v>
      </c>
      <c r="B1294" s="20">
        <v>115.85</v>
      </c>
      <c r="C1294" s="20">
        <v>2246.7600000000002</v>
      </c>
      <c r="D1294" s="20">
        <v>231.7</v>
      </c>
      <c r="E1294" s="20">
        <v>416.22</v>
      </c>
      <c r="F1294" s="20">
        <v>49919.13</v>
      </c>
    </row>
    <row r="1295" spans="1:6" ht="13.5" customHeight="1" x14ac:dyDescent="0.3">
      <c r="A1295" s="21">
        <v>45275</v>
      </c>
      <c r="B1295" s="22">
        <v>118.33</v>
      </c>
      <c r="C1295" s="22">
        <v>2214.7199999999998</v>
      </c>
      <c r="D1295" s="22">
        <v>226.94</v>
      </c>
      <c r="E1295" s="22">
        <v>419.2</v>
      </c>
      <c r="F1295" s="22">
        <v>50093.27</v>
      </c>
    </row>
    <row r="1296" spans="1:6" ht="13.5" customHeight="1" x14ac:dyDescent="0.3">
      <c r="A1296" s="19">
        <v>45278</v>
      </c>
      <c r="B1296" s="20">
        <v>117.85</v>
      </c>
      <c r="C1296" s="20">
        <v>2199.39</v>
      </c>
      <c r="D1296" s="20">
        <v>225.58</v>
      </c>
      <c r="E1296" s="20">
        <v>414.83</v>
      </c>
      <c r="F1296" s="20">
        <v>50159.48</v>
      </c>
    </row>
    <row r="1297" spans="1:6" ht="13.5" customHeight="1" x14ac:dyDescent="0.3">
      <c r="A1297" s="21">
        <v>45279</v>
      </c>
      <c r="B1297" s="22">
        <v>116.18</v>
      </c>
      <c r="C1297" s="22">
        <v>2193.83</v>
      </c>
      <c r="D1297" s="22">
        <v>219.46</v>
      </c>
      <c r="E1297" s="22">
        <v>412.34</v>
      </c>
      <c r="F1297" s="22">
        <v>51067.34</v>
      </c>
    </row>
    <row r="1298" spans="1:6" ht="13.5" customHeight="1" x14ac:dyDescent="0.3">
      <c r="A1298" s="19">
        <v>45280</v>
      </c>
      <c r="B1298" s="20">
        <v>117.58</v>
      </c>
      <c r="C1298" s="20">
        <v>2184.36</v>
      </c>
      <c r="D1298" s="20">
        <v>217.26</v>
      </c>
      <c r="E1298" s="20">
        <v>399.16</v>
      </c>
      <c r="F1298" s="20">
        <v>51393.440000000002</v>
      </c>
    </row>
    <row r="1299" spans="1:6" ht="13.5" customHeight="1" x14ac:dyDescent="0.3">
      <c r="A1299" s="21">
        <v>45281</v>
      </c>
      <c r="B1299" s="22">
        <v>118.91</v>
      </c>
      <c r="C1299" s="22">
        <v>2232.16</v>
      </c>
      <c r="D1299" s="22">
        <v>219.2</v>
      </c>
      <c r="E1299" s="22">
        <v>393.31</v>
      </c>
      <c r="F1299" s="22">
        <v>51567.66</v>
      </c>
    </row>
    <row r="1300" spans="1:6" ht="13.5" customHeight="1" x14ac:dyDescent="0.3">
      <c r="A1300" s="19">
        <v>45282</v>
      </c>
      <c r="B1300" s="20">
        <v>118.41</v>
      </c>
      <c r="C1300" s="20">
        <v>2210.96</v>
      </c>
      <c r="D1300" s="20">
        <v>219.88</v>
      </c>
      <c r="E1300" s="20">
        <v>394.38</v>
      </c>
      <c r="F1300" s="20">
        <v>52228.21</v>
      </c>
    </row>
    <row r="1301" spans="1:6" ht="13.5" customHeight="1" x14ac:dyDescent="0.3">
      <c r="A1301" s="21">
        <v>45285</v>
      </c>
      <c r="B1301" s="22">
        <v>116.37</v>
      </c>
      <c r="C1301" s="22">
        <v>2245.62</v>
      </c>
      <c r="D1301" s="22">
        <v>219.42</v>
      </c>
      <c r="E1301" s="22">
        <v>394.87</v>
      </c>
      <c r="F1301" s="22">
        <v>52475.91</v>
      </c>
    </row>
    <row r="1302" spans="1:6" ht="13.5" customHeight="1" x14ac:dyDescent="0.3">
      <c r="A1302" s="19">
        <v>45286</v>
      </c>
      <c r="B1302" s="20">
        <v>118.41</v>
      </c>
      <c r="C1302" s="20">
        <v>2213.0700000000002</v>
      </c>
      <c r="D1302" s="20">
        <v>218.73</v>
      </c>
      <c r="E1302" s="20">
        <v>387</v>
      </c>
      <c r="F1302" s="20">
        <v>52345.5</v>
      </c>
    </row>
    <row r="1303" spans="1:6" ht="13.5" customHeight="1" x14ac:dyDescent="0.3">
      <c r="A1303" s="21">
        <v>45287</v>
      </c>
      <c r="B1303" s="22">
        <v>119.39</v>
      </c>
      <c r="C1303" s="22">
        <v>2244.5700000000002</v>
      </c>
      <c r="D1303" s="22">
        <v>221.92</v>
      </c>
      <c r="E1303" s="22">
        <v>378.74</v>
      </c>
      <c r="F1303" s="22">
        <v>52939.35</v>
      </c>
    </row>
    <row r="1304" spans="1:6" ht="13.5" customHeight="1" x14ac:dyDescent="0.3">
      <c r="A1304" s="19">
        <v>45288</v>
      </c>
      <c r="B1304" s="20">
        <v>117.16</v>
      </c>
      <c r="C1304" s="20">
        <v>2237.4299999999998</v>
      </c>
      <c r="D1304" s="20">
        <v>217.89</v>
      </c>
      <c r="E1304" s="20">
        <v>392.72</v>
      </c>
      <c r="F1304" s="20">
        <v>54298.73</v>
      </c>
    </row>
    <row r="1305" spans="1:6" ht="13.5" customHeight="1" x14ac:dyDescent="0.3">
      <c r="A1305" s="21">
        <v>45289</v>
      </c>
      <c r="B1305" s="22">
        <v>118.46</v>
      </c>
      <c r="C1305" s="22">
        <v>2231.86</v>
      </c>
      <c r="D1305" s="22">
        <v>219.5</v>
      </c>
      <c r="E1305" s="22">
        <v>391.05</v>
      </c>
      <c r="F1305" s="22">
        <v>53974.75</v>
      </c>
    </row>
    <row r="1306" spans="1:6" ht="13.5" customHeight="1" x14ac:dyDescent="0.3">
      <c r="A1306" s="19">
        <v>45292</v>
      </c>
      <c r="B1306" s="20">
        <v>116.13</v>
      </c>
      <c r="C1306" s="20">
        <v>2229.6999999999998</v>
      </c>
      <c r="D1306" s="20">
        <v>217.11</v>
      </c>
      <c r="E1306" s="20">
        <v>390.43</v>
      </c>
      <c r="F1306" s="20">
        <v>54388.21</v>
      </c>
    </row>
    <row r="1307" spans="1:6" ht="13.5" customHeight="1" x14ac:dyDescent="0.3">
      <c r="A1307" s="21">
        <v>45293</v>
      </c>
      <c r="B1307" s="22">
        <v>115.39</v>
      </c>
      <c r="C1307" s="22">
        <v>2252.67</v>
      </c>
      <c r="D1307" s="22">
        <v>218.14</v>
      </c>
      <c r="E1307" s="22">
        <v>380.72</v>
      </c>
      <c r="F1307" s="22">
        <v>54491.55</v>
      </c>
    </row>
    <row r="1308" spans="1:6" ht="13.5" customHeight="1" x14ac:dyDescent="0.3">
      <c r="A1308" s="19">
        <v>45294</v>
      </c>
      <c r="B1308" s="20">
        <v>113.63</v>
      </c>
      <c r="C1308" s="20">
        <v>2206.59</v>
      </c>
      <c r="D1308" s="20">
        <v>217.71</v>
      </c>
      <c r="E1308" s="20">
        <v>375.28</v>
      </c>
      <c r="F1308" s="20">
        <v>54569.61</v>
      </c>
    </row>
    <row r="1309" spans="1:6" ht="13.5" customHeight="1" x14ac:dyDescent="0.3">
      <c r="A1309" s="21">
        <v>45295</v>
      </c>
      <c r="B1309" s="22">
        <v>112.66</v>
      </c>
      <c r="C1309" s="22">
        <v>2170.13</v>
      </c>
      <c r="D1309" s="22">
        <v>215.93</v>
      </c>
      <c r="E1309" s="22">
        <v>373.49</v>
      </c>
      <c r="F1309" s="22">
        <v>53422.25</v>
      </c>
    </row>
    <row r="1310" spans="1:6" ht="13.5" customHeight="1" x14ac:dyDescent="0.3">
      <c r="A1310" s="19">
        <v>45296</v>
      </c>
      <c r="B1310" s="20">
        <v>111.4</v>
      </c>
      <c r="C1310" s="20">
        <v>2249.4</v>
      </c>
      <c r="D1310" s="20">
        <v>217.08</v>
      </c>
      <c r="E1310" s="20">
        <v>365.55</v>
      </c>
      <c r="F1310" s="20">
        <v>53056.09</v>
      </c>
    </row>
    <row r="1311" spans="1:6" ht="13.5" customHeight="1" x14ac:dyDescent="0.3">
      <c r="A1311" s="21">
        <v>45299</v>
      </c>
      <c r="B1311" s="22">
        <v>110.49</v>
      </c>
      <c r="C1311" s="22">
        <v>2270.84</v>
      </c>
      <c r="D1311" s="22">
        <v>214.96</v>
      </c>
      <c r="E1311" s="22">
        <v>366.35</v>
      </c>
      <c r="F1311" s="22">
        <v>52591.86</v>
      </c>
    </row>
    <row r="1312" spans="1:6" ht="13.5" customHeight="1" x14ac:dyDescent="0.3">
      <c r="A1312" s="19">
        <v>45300</v>
      </c>
      <c r="B1312" s="20">
        <v>111.63</v>
      </c>
      <c r="C1312" s="20">
        <v>2257.7399999999998</v>
      </c>
      <c r="D1312" s="20">
        <v>210.94</v>
      </c>
      <c r="E1312" s="20">
        <v>358.52</v>
      </c>
      <c r="F1312" s="20">
        <v>53466.35</v>
      </c>
    </row>
    <row r="1313" spans="1:6" ht="13.5" customHeight="1" x14ac:dyDescent="0.3">
      <c r="A1313" s="21">
        <v>45301</v>
      </c>
      <c r="B1313" s="22">
        <v>112.12</v>
      </c>
      <c r="C1313" s="22">
        <v>2284.65</v>
      </c>
      <c r="D1313" s="22">
        <v>209.41</v>
      </c>
      <c r="E1313" s="22">
        <v>353.64</v>
      </c>
      <c r="F1313" s="22">
        <v>52807.14</v>
      </c>
    </row>
    <row r="1314" spans="1:6" ht="13.5" customHeight="1" x14ac:dyDescent="0.3">
      <c r="A1314" s="19">
        <v>45302</v>
      </c>
      <c r="B1314" s="20">
        <v>113.13</v>
      </c>
      <c r="C1314" s="20">
        <v>2283.59</v>
      </c>
      <c r="D1314" s="20">
        <v>205.36</v>
      </c>
      <c r="E1314" s="20">
        <v>348.48</v>
      </c>
      <c r="F1314" s="20">
        <v>53621.63</v>
      </c>
    </row>
    <row r="1315" spans="1:6" ht="13.5" customHeight="1" x14ac:dyDescent="0.3">
      <c r="A1315" s="21">
        <v>45303</v>
      </c>
      <c r="B1315" s="22">
        <v>114.88</v>
      </c>
      <c r="C1315" s="22">
        <v>2194.2600000000002</v>
      </c>
      <c r="D1315" s="22">
        <v>205.91</v>
      </c>
      <c r="E1315" s="22">
        <v>337.71</v>
      </c>
      <c r="F1315" s="22">
        <v>53064.31</v>
      </c>
    </row>
    <row r="1316" spans="1:6" ht="13.5" customHeight="1" x14ac:dyDescent="0.3">
      <c r="A1316" s="19">
        <v>45306</v>
      </c>
      <c r="B1316" s="20">
        <v>114.33</v>
      </c>
      <c r="C1316" s="20">
        <v>2201.81</v>
      </c>
      <c r="D1316" s="20">
        <v>204.02</v>
      </c>
      <c r="E1316" s="20">
        <v>327.8</v>
      </c>
      <c r="F1316" s="20">
        <v>52978.66</v>
      </c>
    </row>
    <row r="1317" spans="1:6" ht="13.5" customHeight="1" x14ac:dyDescent="0.3">
      <c r="A1317" s="21">
        <v>45307</v>
      </c>
      <c r="B1317" s="22">
        <v>114.49</v>
      </c>
      <c r="C1317" s="22">
        <v>2198.39</v>
      </c>
      <c r="D1317" s="22">
        <v>200.04</v>
      </c>
      <c r="E1317" s="22">
        <v>328.7</v>
      </c>
      <c r="F1317" s="22">
        <v>52755.64</v>
      </c>
    </row>
    <row r="1318" spans="1:6" ht="13.5" customHeight="1" x14ac:dyDescent="0.3">
      <c r="A1318" s="19">
        <v>45308</v>
      </c>
      <c r="B1318" s="20">
        <v>115.38</v>
      </c>
      <c r="C1318" s="20">
        <v>2213.2399999999998</v>
      </c>
      <c r="D1318" s="20">
        <v>201.27</v>
      </c>
      <c r="E1318" s="20">
        <v>322.45</v>
      </c>
      <c r="F1318" s="20">
        <v>52441.79</v>
      </c>
    </row>
    <row r="1319" spans="1:6" ht="13.5" customHeight="1" x14ac:dyDescent="0.3">
      <c r="A1319" s="21">
        <v>45309</v>
      </c>
      <c r="B1319" s="22">
        <v>118.14</v>
      </c>
      <c r="C1319" s="22">
        <v>2184.31</v>
      </c>
      <c r="D1319" s="22">
        <v>202.62</v>
      </c>
      <c r="E1319" s="22">
        <v>321.48</v>
      </c>
      <c r="F1319" s="22">
        <v>51533.64</v>
      </c>
    </row>
    <row r="1320" spans="1:6" ht="13.5" customHeight="1" x14ac:dyDescent="0.3">
      <c r="A1320" s="19">
        <v>45310</v>
      </c>
      <c r="B1320" s="20">
        <v>119.65</v>
      </c>
      <c r="C1320" s="20">
        <v>2177.12</v>
      </c>
      <c r="D1320" s="20">
        <v>202.11</v>
      </c>
      <c r="E1320" s="20">
        <v>320.75</v>
      </c>
      <c r="F1320" s="20">
        <v>52364.77</v>
      </c>
    </row>
    <row r="1321" spans="1:6" ht="13.5" customHeight="1" x14ac:dyDescent="0.3">
      <c r="A1321" s="21">
        <v>45313</v>
      </c>
      <c r="B1321" s="22">
        <v>121.98</v>
      </c>
      <c r="C1321" s="22">
        <v>2222.27</v>
      </c>
      <c r="D1321" s="22">
        <v>201.26</v>
      </c>
      <c r="E1321" s="22">
        <v>322.91000000000003</v>
      </c>
      <c r="F1321" s="22">
        <v>53050.92</v>
      </c>
    </row>
    <row r="1322" spans="1:6" ht="13.5" customHeight="1" x14ac:dyDescent="0.3">
      <c r="A1322" s="19">
        <v>45314</v>
      </c>
      <c r="B1322" s="20">
        <v>123.74</v>
      </c>
      <c r="C1322" s="20">
        <v>2217.6799999999998</v>
      </c>
      <c r="D1322" s="20">
        <v>204.24</v>
      </c>
      <c r="E1322" s="20">
        <v>328.02</v>
      </c>
      <c r="F1322" s="20">
        <v>53794.35</v>
      </c>
    </row>
    <row r="1323" spans="1:6" ht="13.5" customHeight="1" x14ac:dyDescent="0.3">
      <c r="A1323" s="21">
        <v>45315</v>
      </c>
      <c r="B1323" s="22">
        <v>125.6</v>
      </c>
      <c r="C1323" s="22">
        <v>2202.2199999999998</v>
      </c>
      <c r="D1323" s="22">
        <v>203.45</v>
      </c>
      <c r="E1323" s="22">
        <v>324.16000000000003</v>
      </c>
      <c r="F1323" s="22">
        <v>54403.31</v>
      </c>
    </row>
    <row r="1324" spans="1:6" ht="13.5" customHeight="1" x14ac:dyDescent="0.3">
      <c r="A1324" s="19">
        <v>45316</v>
      </c>
      <c r="B1324" s="20">
        <v>122.53</v>
      </c>
      <c r="C1324" s="20">
        <v>2217.71</v>
      </c>
      <c r="D1324" s="20">
        <v>204.35</v>
      </c>
      <c r="E1324" s="20">
        <v>317.26</v>
      </c>
      <c r="F1324" s="20">
        <v>54985.32</v>
      </c>
    </row>
    <row r="1325" spans="1:6" ht="13.5" customHeight="1" x14ac:dyDescent="0.3">
      <c r="A1325" s="21">
        <v>45317</v>
      </c>
      <c r="B1325" s="22">
        <v>124.06</v>
      </c>
      <c r="C1325" s="22">
        <v>2203.61</v>
      </c>
      <c r="D1325" s="22">
        <v>200.78</v>
      </c>
      <c r="E1325" s="22">
        <v>318.58</v>
      </c>
      <c r="F1325" s="22">
        <v>55778.87</v>
      </c>
    </row>
    <row r="1326" spans="1:6" ht="13.5" customHeight="1" x14ac:dyDescent="0.3">
      <c r="A1326" s="19">
        <v>45320</v>
      </c>
      <c r="B1326" s="20">
        <v>124.47</v>
      </c>
      <c r="C1326" s="20">
        <v>2246.4299999999998</v>
      </c>
      <c r="D1326" s="20">
        <v>202.63</v>
      </c>
      <c r="E1326" s="20">
        <v>323.88</v>
      </c>
      <c r="F1326" s="20">
        <v>55315.49</v>
      </c>
    </row>
    <row r="1327" spans="1:6" ht="13.5" customHeight="1" x14ac:dyDescent="0.3">
      <c r="A1327" s="21">
        <v>45321</v>
      </c>
      <c r="B1327" s="22">
        <v>124.6</v>
      </c>
      <c r="C1327" s="22">
        <v>2240.85</v>
      </c>
      <c r="D1327" s="22">
        <v>202.25</v>
      </c>
      <c r="E1327" s="22">
        <v>321.92</v>
      </c>
      <c r="F1327" s="22">
        <v>55693.38</v>
      </c>
    </row>
    <row r="1328" spans="1:6" ht="13.5" customHeight="1" x14ac:dyDescent="0.3">
      <c r="A1328" s="19">
        <v>45322</v>
      </c>
      <c r="B1328" s="20">
        <v>123.73</v>
      </c>
      <c r="C1328" s="20">
        <v>2256.5500000000002</v>
      </c>
      <c r="D1328" s="20">
        <v>203.98</v>
      </c>
      <c r="E1328" s="20">
        <v>321.67</v>
      </c>
      <c r="F1328" s="20">
        <v>56631.29</v>
      </c>
    </row>
    <row r="1329" spans="1:6" ht="13.5" customHeight="1" x14ac:dyDescent="0.3">
      <c r="A1329" s="21">
        <v>45323</v>
      </c>
      <c r="B1329" s="22">
        <v>123.04</v>
      </c>
      <c r="C1329" s="22">
        <v>2229.87</v>
      </c>
      <c r="D1329" s="22">
        <v>203.18</v>
      </c>
      <c r="E1329" s="22">
        <v>320.64</v>
      </c>
      <c r="F1329" s="22">
        <v>56877.61</v>
      </c>
    </row>
    <row r="1330" spans="1:6" ht="13.5" customHeight="1" x14ac:dyDescent="0.3">
      <c r="A1330" s="19">
        <v>45324</v>
      </c>
      <c r="B1330" s="20">
        <v>123.79</v>
      </c>
      <c r="C1330" s="20">
        <v>2182.12</v>
      </c>
      <c r="D1330" s="20">
        <v>200.86</v>
      </c>
      <c r="E1330" s="20">
        <v>319.86</v>
      </c>
      <c r="F1330" s="20">
        <v>56783.12</v>
      </c>
    </row>
    <row r="1331" spans="1:6" ht="13.5" customHeight="1" x14ac:dyDescent="0.3">
      <c r="A1331" s="21">
        <v>45327</v>
      </c>
      <c r="B1331" s="22">
        <v>125.27</v>
      </c>
      <c r="C1331" s="22">
        <v>2211.1</v>
      </c>
      <c r="D1331" s="22">
        <v>197.13</v>
      </c>
      <c r="E1331" s="22">
        <v>323.85000000000002</v>
      </c>
      <c r="F1331" s="22">
        <v>56238.44</v>
      </c>
    </row>
    <row r="1332" spans="1:6" ht="13.5" customHeight="1" x14ac:dyDescent="0.3">
      <c r="A1332" s="19">
        <v>45328</v>
      </c>
      <c r="B1332" s="20">
        <v>122.71</v>
      </c>
      <c r="C1332" s="20">
        <v>2222.63</v>
      </c>
      <c r="D1332" s="20">
        <v>196.57</v>
      </c>
      <c r="E1332" s="20">
        <v>321.52999999999997</v>
      </c>
      <c r="F1332" s="20">
        <v>56089.919999999998</v>
      </c>
    </row>
    <row r="1333" spans="1:6" ht="13.5" customHeight="1" x14ac:dyDescent="0.3">
      <c r="A1333" s="21">
        <v>45329</v>
      </c>
      <c r="B1333" s="22">
        <v>123.12</v>
      </c>
      <c r="C1333" s="22">
        <v>2248.9499999999998</v>
      </c>
      <c r="D1333" s="22">
        <v>195.23</v>
      </c>
      <c r="E1333" s="22">
        <v>325.35000000000002</v>
      </c>
      <c r="F1333" s="22">
        <v>55813.34</v>
      </c>
    </row>
    <row r="1334" spans="1:6" ht="13.5" customHeight="1" x14ac:dyDescent="0.3">
      <c r="A1334" s="19">
        <v>45330</v>
      </c>
      <c r="B1334" s="20">
        <v>122.2</v>
      </c>
      <c r="C1334" s="20">
        <v>2279.5100000000002</v>
      </c>
      <c r="D1334" s="20">
        <v>191.32</v>
      </c>
      <c r="E1334" s="20">
        <v>328.06</v>
      </c>
      <c r="F1334" s="20">
        <v>53942.83</v>
      </c>
    </row>
    <row r="1335" spans="1:6" ht="13.5" customHeight="1" x14ac:dyDescent="0.3">
      <c r="A1335" s="21">
        <v>45331</v>
      </c>
      <c r="B1335" s="22">
        <v>120.63</v>
      </c>
      <c r="C1335" s="22">
        <v>2221.79</v>
      </c>
      <c r="D1335" s="22">
        <v>195.16</v>
      </c>
      <c r="E1335" s="22">
        <v>341.54</v>
      </c>
      <c r="F1335" s="22">
        <v>54252.31</v>
      </c>
    </row>
    <row r="1336" spans="1:6" ht="13.5" customHeight="1" x14ac:dyDescent="0.3">
      <c r="A1336" s="19">
        <v>45334</v>
      </c>
      <c r="B1336" s="20">
        <v>121.33</v>
      </c>
      <c r="C1336" s="20">
        <v>2227.81</v>
      </c>
      <c r="D1336" s="20">
        <v>198.39</v>
      </c>
      <c r="E1336" s="20">
        <v>337.05</v>
      </c>
      <c r="F1336" s="20">
        <v>55209.95</v>
      </c>
    </row>
    <row r="1337" spans="1:6" ht="13.5" customHeight="1" x14ac:dyDescent="0.3">
      <c r="A1337" s="21">
        <v>45335</v>
      </c>
      <c r="B1337" s="22">
        <v>120.81</v>
      </c>
      <c r="C1337" s="22">
        <v>2150.3200000000002</v>
      </c>
      <c r="D1337" s="22">
        <v>192.11</v>
      </c>
      <c r="E1337" s="22">
        <v>344.54</v>
      </c>
      <c r="F1337" s="22">
        <v>55622.720000000001</v>
      </c>
    </row>
    <row r="1338" spans="1:6" ht="13.5" customHeight="1" x14ac:dyDescent="0.3">
      <c r="A1338" s="19">
        <v>45336</v>
      </c>
      <c r="B1338" s="20">
        <v>119.75</v>
      </c>
      <c r="C1338" s="20">
        <v>2171.29</v>
      </c>
      <c r="D1338" s="20">
        <v>185.72</v>
      </c>
      <c r="E1338" s="20">
        <v>349.93</v>
      </c>
      <c r="F1338" s="20">
        <v>55754.43</v>
      </c>
    </row>
    <row r="1339" spans="1:6" ht="13.5" customHeight="1" x14ac:dyDescent="0.3">
      <c r="A1339" s="21">
        <v>45337</v>
      </c>
      <c r="B1339" s="22">
        <v>118.51</v>
      </c>
      <c r="C1339" s="22">
        <v>2131.0100000000002</v>
      </c>
      <c r="D1339" s="22">
        <v>181.35</v>
      </c>
      <c r="E1339" s="22">
        <v>342.01</v>
      </c>
      <c r="F1339" s="22">
        <v>55316.08</v>
      </c>
    </row>
    <row r="1340" spans="1:6" ht="13.5" customHeight="1" x14ac:dyDescent="0.3">
      <c r="A1340" s="19">
        <v>45338</v>
      </c>
      <c r="B1340" s="20">
        <v>119.01</v>
      </c>
      <c r="C1340" s="20">
        <v>2149.84</v>
      </c>
      <c r="D1340" s="20">
        <v>181.87</v>
      </c>
      <c r="E1340" s="20">
        <v>345.83</v>
      </c>
      <c r="F1340" s="20">
        <v>55186.54</v>
      </c>
    </row>
    <row r="1341" spans="1:6" ht="13.5" customHeight="1" x14ac:dyDescent="0.3">
      <c r="A1341" s="21">
        <v>45341</v>
      </c>
      <c r="B1341" s="22">
        <v>119.03</v>
      </c>
      <c r="C1341" s="22">
        <v>2178.65</v>
      </c>
      <c r="D1341" s="22">
        <v>189.61</v>
      </c>
      <c r="E1341" s="22">
        <v>349.99</v>
      </c>
      <c r="F1341" s="22">
        <v>56084.62</v>
      </c>
    </row>
    <row r="1342" spans="1:6" ht="13.5" customHeight="1" x14ac:dyDescent="0.3">
      <c r="A1342" s="19">
        <v>45342</v>
      </c>
      <c r="B1342" s="20">
        <v>117.27</v>
      </c>
      <c r="C1342" s="20">
        <v>2159.2199999999998</v>
      </c>
      <c r="D1342" s="20">
        <v>186.16</v>
      </c>
      <c r="E1342" s="20">
        <v>346.13</v>
      </c>
      <c r="F1342" s="20">
        <v>55234.96</v>
      </c>
    </row>
    <row r="1343" spans="1:6" ht="13.5" customHeight="1" x14ac:dyDescent="0.3">
      <c r="A1343" s="21">
        <v>45343</v>
      </c>
      <c r="B1343" s="22">
        <v>115.94</v>
      </c>
      <c r="C1343" s="22">
        <v>2159.62</v>
      </c>
      <c r="D1343" s="22">
        <v>185.3</v>
      </c>
      <c r="E1343" s="22">
        <v>330.2</v>
      </c>
      <c r="F1343" s="22">
        <v>56673.48</v>
      </c>
    </row>
    <row r="1344" spans="1:6" ht="13.5" customHeight="1" x14ac:dyDescent="0.3">
      <c r="A1344" s="19">
        <v>45344</v>
      </c>
      <c r="B1344" s="20">
        <v>115.68</v>
      </c>
      <c r="C1344" s="20">
        <v>2207.4699999999998</v>
      </c>
      <c r="D1344" s="20">
        <v>189.27</v>
      </c>
      <c r="E1344" s="20">
        <v>335.01</v>
      </c>
      <c r="F1344" s="20">
        <v>55728.480000000003</v>
      </c>
    </row>
    <row r="1345" spans="1:6" ht="13.5" customHeight="1" x14ac:dyDescent="0.3">
      <c r="A1345" s="21">
        <v>45345</v>
      </c>
      <c r="B1345" s="22">
        <v>116.37</v>
      </c>
      <c r="C1345" s="22">
        <v>2144.39</v>
      </c>
      <c r="D1345" s="22">
        <v>187.86</v>
      </c>
      <c r="E1345" s="22">
        <v>326.95999999999998</v>
      </c>
      <c r="F1345" s="22">
        <v>56292.86</v>
      </c>
    </row>
    <row r="1346" spans="1:6" ht="13.5" customHeight="1" x14ac:dyDescent="0.3">
      <c r="A1346" s="19">
        <v>45348</v>
      </c>
      <c r="B1346" s="20">
        <v>114.71</v>
      </c>
      <c r="C1346" s="20">
        <v>2170.0100000000002</v>
      </c>
      <c r="D1346" s="20">
        <v>191.24</v>
      </c>
      <c r="E1346" s="20">
        <v>326.05</v>
      </c>
      <c r="F1346" s="20">
        <v>55885.87</v>
      </c>
    </row>
    <row r="1347" spans="1:6" ht="13.5" customHeight="1" x14ac:dyDescent="0.3">
      <c r="A1347" s="21">
        <v>45349</v>
      </c>
      <c r="B1347" s="22">
        <v>115.52</v>
      </c>
      <c r="C1347" s="22">
        <v>2175.83</v>
      </c>
      <c r="D1347" s="22">
        <v>194.13</v>
      </c>
      <c r="E1347" s="22">
        <v>315.27</v>
      </c>
      <c r="F1347" s="22">
        <v>55621.78</v>
      </c>
    </row>
    <row r="1348" spans="1:6" ht="13.5" customHeight="1" x14ac:dyDescent="0.3">
      <c r="A1348" s="19">
        <v>45350</v>
      </c>
      <c r="B1348" s="20">
        <v>114.24</v>
      </c>
      <c r="C1348" s="20">
        <v>2213.5100000000002</v>
      </c>
      <c r="D1348" s="20">
        <v>194.12</v>
      </c>
      <c r="E1348" s="20">
        <v>318.95999999999998</v>
      </c>
      <c r="F1348" s="20">
        <v>54283.98</v>
      </c>
    </row>
    <row r="1349" spans="1:6" ht="13.5" customHeight="1" x14ac:dyDescent="0.3">
      <c r="A1349" s="21">
        <v>45351</v>
      </c>
      <c r="B1349" s="22">
        <v>118.6</v>
      </c>
      <c r="C1349" s="22">
        <v>2150.34</v>
      </c>
      <c r="D1349" s="22">
        <v>196.89</v>
      </c>
      <c r="E1349" s="22">
        <v>308.04000000000002</v>
      </c>
      <c r="F1349" s="22">
        <v>54887.64</v>
      </c>
    </row>
    <row r="1350" spans="1:6" ht="13.5" customHeight="1" x14ac:dyDescent="0.3">
      <c r="A1350" s="19">
        <v>45352</v>
      </c>
      <c r="B1350" s="20">
        <v>117.09</v>
      </c>
      <c r="C1350" s="20">
        <v>2151.75</v>
      </c>
      <c r="D1350" s="20">
        <v>199.87</v>
      </c>
      <c r="E1350" s="20">
        <v>304.77</v>
      </c>
      <c r="F1350" s="20">
        <v>55174.92</v>
      </c>
    </row>
    <row r="1351" spans="1:6" ht="13.5" customHeight="1" x14ac:dyDescent="0.3">
      <c r="A1351" s="21">
        <v>45355</v>
      </c>
      <c r="B1351" s="22">
        <v>115.84</v>
      </c>
      <c r="C1351" s="22">
        <v>2194.94</v>
      </c>
      <c r="D1351" s="22">
        <v>195.53</v>
      </c>
      <c r="E1351" s="22">
        <v>301.66000000000003</v>
      </c>
      <c r="F1351" s="22">
        <v>55867.48</v>
      </c>
    </row>
    <row r="1352" spans="1:6" ht="13.5" customHeight="1" x14ac:dyDescent="0.3">
      <c r="A1352" s="19">
        <v>45356</v>
      </c>
      <c r="B1352" s="20">
        <v>116.19</v>
      </c>
      <c r="C1352" s="20">
        <v>2248.87</v>
      </c>
      <c r="D1352" s="20">
        <v>195.07</v>
      </c>
      <c r="E1352" s="20">
        <v>301.77</v>
      </c>
      <c r="F1352" s="20">
        <v>55573.78</v>
      </c>
    </row>
    <row r="1353" spans="1:6" ht="13.5" customHeight="1" x14ac:dyDescent="0.3">
      <c r="A1353" s="21">
        <v>45357</v>
      </c>
      <c r="B1353" s="22">
        <v>114.77</v>
      </c>
      <c r="C1353" s="22">
        <v>2219.69</v>
      </c>
      <c r="D1353" s="22">
        <v>193.22</v>
      </c>
      <c r="E1353" s="22">
        <v>293.45</v>
      </c>
      <c r="F1353" s="22">
        <v>56437.65</v>
      </c>
    </row>
    <row r="1354" spans="1:6" ht="13.5" customHeight="1" x14ac:dyDescent="0.3">
      <c r="A1354" s="19">
        <v>45358</v>
      </c>
      <c r="B1354" s="20">
        <v>116.13</v>
      </c>
      <c r="C1354" s="20">
        <v>2210.0700000000002</v>
      </c>
      <c r="D1354" s="20">
        <v>193.39</v>
      </c>
      <c r="E1354" s="20">
        <v>296.14</v>
      </c>
      <c r="F1354" s="20">
        <v>56576.37</v>
      </c>
    </row>
    <row r="1355" spans="1:6" ht="13.5" customHeight="1" x14ac:dyDescent="0.3">
      <c r="A1355" s="21">
        <v>45359</v>
      </c>
      <c r="B1355" s="22">
        <v>119.06</v>
      </c>
      <c r="C1355" s="22">
        <v>2283.17</v>
      </c>
      <c r="D1355" s="22">
        <v>189.77</v>
      </c>
      <c r="E1355" s="22">
        <v>298.99</v>
      </c>
      <c r="F1355" s="22">
        <v>56485.8</v>
      </c>
    </row>
    <row r="1356" spans="1:6" ht="13.5" customHeight="1" x14ac:dyDescent="0.3">
      <c r="A1356" s="19">
        <v>45362</v>
      </c>
      <c r="B1356" s="20">
        <v>118.46</v>
      </c>
      <c r="C1356" s="20">
        <v>2227.35</v>
      </c>
      <c r="D1356" s="20">
        <v>186.86</v>
      </c>
      <c r="E1356" s="20">
        <v>297.08</v>
      </c>
      <c r="F1356" s="20">
        <v>56188.13</v>
      </c>
    </row>
    <row r="1357" spans="1:6" ht="13.5" customHeight="1" x14ac:dyDescent="0.3">
      <c r="A1357" s="21">
        <v>45363</v>
      </c>
      <c r="B1357" s="22">
        <v>118.78</v>
      </c>
      <c r="C1357" s="22">
        <v>2226.88</v>
      </c>
      <c r="D1357" s="22">
        <v>187.1</v>
      </c>
      <c r="E1357" s="22">
        <v>295.62</v>
      </c>
      <c r="F1357" s="22">
        <v>56998.25</v>
      </c>
    </row>
    <row r="1358" spans="1:6" ht="13.5" customHeight="1" x14ac:dyDescent="0.3">
      <c r="A1358" s="19">
        <v>45364</v>
      </c>
      <c r="B1358" s="20">
        <v>117.97</v>
      </c>
      <c r="C1358" s="20">
        <v>2235.17</v>
      </c>
      <c r="D1358" s="20">
        <v>187.15</v>
      </c>
      <c r="E1358" s="20">
        <v>280.38</v>
      </c>
      <c r="F1358" s="20">
        <v>57253.88</v>
      </c>
    </row>
    <row r="1359" spans="1:6" ht="13.5" customHeight="1" x14ac:dyDescent="0.3">
      <c r="A1359" s="21">
        <v>45365</v>
      </c>
      <c r="B1359" s="22">
        <v>118</v>
      </c>
      <c r="C1359" s="22">
        <v>2243.4</v>
      </c>
      <c r="D1359" s="22">
        <v>191.31</v>
      </c>
      <c r="E1359" s="22">
        <v>289.02</v>
      </c>
      <c r="F1359" s="22">
        <v>57549.31</v>
      </c>
    </row>
    <row r="1360" spans="1:6" ht="13.5" customHeight="1" x14ac:dyDescent="0.3">
      <c r="A1360" s="19">
        <v>45366</v>
      </c>
      <c r="B1360" s="20">
        <v>120.38</v>
      </c>
      <c r="C1360" s="20">
        <v>2207.77</v>
      </c>
      <c r="D1360" s="20">
        <v>192.02</v>
      </c>
      <c r="E1360" s="20">
        <v>287.92</v>
      </c>
      <c r="F1360" s="20">
        <v>56604.7</v>
      </c>
    </row>
    <row r="1361" spans="1:6" ht="13.5" customHeight="1" x14ac:dyDescent="0.3">
      <c r="A1361" s="21">
        <v>45369</v>
      </c>
      <c r="B1361" s="22">
        <v>121.91</v>
      </c>
      <c r="C1361" s="22">
        <v>2246.64</v>
      </c>
      <c r="D1361" s="22">
        <v>196.43</v>
      </c>
      <c r="E1361" s="22">
        <v>291.58</v>
      </c>
      <c r="F1361" s="22">
        <v>56587.24</v>
      </c>
    </row>
    <row r="1362" spans="1:6" ht="13.5" customHeight="1" x14ac:dyDescent="0.3">
      <c r="A1362" s="19">
        <v>45370</v>
      </c>
      <c r="B1362" s="20">
        <v>120.42</v>
      </c>
      <c r="C1362" s="20">
        <v>2283.1799999999998</v>
      </c>
      <c r="D1362" s="20">
        <v>200.56</v>
      </c>
      <c r="E1362" s="20">
        <v>292.73</v>
      </c>
      <c r="F1362" s="20">
        <v>55962.66</v>
      </c>
    </row>
    <row r="1363" spans="1:6" ht="13.5" customHeight="1" x14ac:dyDescent="0.3">
      <c r="A1363" s="21">
        <v>45371</v>
      </c>
      <c r="B1363" s="22">
        <v>123.04</v>
      </c>
      <c r="C1363" s="22">
        <v>2357.6799999999998</v>
      </c>
      <c r="D1363" s="22">
        <v>204.24</v>
      </c>
      <c r="E1363" s="22">
        <v>293.17</v>
      </c>
      <c r="F1363" s="22">
        <v>55471.07</v>
      </c>
    </row>
    <row r="1364" spans="1:6" ht="13.5" customHeight="1" x14ac:dyDescent="0.3">
      <c r="A1364" s="19">
        <v>45372</v>
      </c>
      <c r="B1364" s="20">
        <v>125.06</v>
      </c>
      <c r="C1364" s="20">
        <v>2326.11</v>
      </c>
      <c r="D1364" s="20">
        <v>192.95</v>
      </c>
      <c r="E1364" s="20">
        <v>297.13</v>
      </c>
      <c r="F1364" s="20">
        <v>54325.23</v>
      </c>
    </row>
    <row r="1365" spans="1:6" ht="13.5" customHeight="1" x14ac:dyDescent="0.3">
      <c r="A1365" s="21">
        <v>45373</v>
      </c>
      <c r="B1365" s="22">
        <v>125.95</v>
      </c>
      <c r="C1365" s="22">
        <v>2307.73</v>
      </c>
      <c r="D1365" s="22">
        <v>190.67</v>
      </c>
      <c r="E1365" s="22">
        <v>293.68</v>
      </c>
      <c r="F1365" s="22">
        <v>54709.29</v>
      </c>
    </row>
    <row r="1366" spans="1:6" ht="13.5" customHeight="1" x14ac:dyDescent="0.3">
      <c r="A1366" s="19">
        <v>45376</v>
      </c>
      <c r="B1366" s="20">
        <v>124.84</v>
      </c>
      <c r="C1366" s="20">
        <v>2353.7399999999998</v>
      </c>
      <c r="D1366" s="20">
        <v>192.14</v>
      </c>
      <c r="E1366" s="20">
        <v>299.48</v>
      </c>
      <c r="F1366" s="20">
        <v>54662.45</v>
      </c>
    </row>
    <row r="1367" spans="1:6" ht="13.5" customHeight="1" x14ac:dyDescent="0.3">
      <c r="A1367" s="21">
        <v>45377</v>
      </c>
      <c r="B1367" s="22">
        <v>124.99</v>
      </c>
      <c r="C1367" s="22">
        <v>2430.5100000000002</v>
      </c>
      <c r="D1367" s="22">
        <v>188.21</v>
      </c>
      <c r="E1367" s="22">
        <v>308.54000000000002</v>
      </c>
      <c r="F1367" s="22">
        <v>54684.76</v>
      </c>
    </row>
    <row r="1368" spans="1:6" ht="13.5" customHeight="1" x14ac:dyDescent="0.3">
      <c r="A1368" s="19">
        <v>45378</v>
      </c>
      <c r="B1368" s="20">
        <v>123.65</v>
      </c>
      <c r="C1368" s="20">
        <v>2431.5300000000002</v>
      </c>
      <c r="D1368" s="20">
        <v>186.72</v>
      </c>
      <c r="E1368" s="20">
        <v>309.85000000000002</v>
      </c>
      <c r="F1368" s="20">
        <v>54093.760000000002</v>
      </c>
    </row>
    <row r="1369" spans="1:6" ht="13.5" customHeight="1" x14ac:dyDescent="0.3">
      <c r="A1369" s="21">
        <v>45379</v>
      </c>
      <c r="B1369" s="22">
        <v>124.49</v>
      </c>
      <c r="C1369" s="22">
        <v>2367.44</v>
      </c>
      <c r="D1369" s="22">
        <v>188.76</v>
      </c>
      <c r="E1369" s="22">
        <v>309.08</v>
      </c>
      <c r="F1369" s="22">
        <v>54227</v>
      </c>
    </row>
    <row r="1370" spans="1:6" ht="13.5" customHeight="1" x14ac:dyDescent="0.3">
      <c r="A1370" s="19">
        <v>45380</v>
      </c>
      <c r="B1370" s="20">
        <v>123.98</v>
      </c>
      <c r="C1370" s="20">
        <v>2359.83</v>
      </c>
      <c r="D1370" s="20">
        <v>188.98</v>
      </c>
      <c r="E1370" s="20">
        <v>314.94</v>
      </c>
      <c r="F1370" s="20">
        <v>53634.58</v>
      </c>
    </row>
    <row r="1371" spans="1:6" ht="13.5" customHeight="1" x14ac:dyDescent="0.3">
      <c r="A1371" s="21">
        <v>45383</v>
      </c>
      <c r="B1371" s="22">
        <v>120.18</v>
      </c>
      <c r="C1371" s="22">
        <v>2401.39</v>
      </c>
      <c r="D1371" s="22">
        <v>188.02</v>
      </c>
      <c r="E1371" s="22">
        <v>317.55</v>
      </c>
      <c r="F1371" s="22">
        <v>53601.51</v>
      </c>
    </row>
    <row r="1372" spans="1:6" ht="13.5" customHeight="1" x14ac:dyDescent="0.3">
      <c r="A1372" s="19">
        <v>45384</v>
      </c>
      <c r="B1372" s="20">
        <v>121.76</v>
      </c>
      <c r="C1372" s="20">
        <v>2431.54</v>
      </c>
      <c r="D1372" s="20">
        <v>193.22</v>
      </c>
      <c r="E1372" s="20">
        <v>315.45</v>
      </c>
      <c r="F1372" s="20">
        <v>54004.79</v>
      </c>
    </row>
    <row r="1373" spans="1:6" ht="13.5" customHeight="1" x14ac:dyDescent="0.3">
      <c r="A1373" s="21">
        <v>45385</v>
      </c>
      <c r="B1373" s="22">
        <v>122.13</v>
      </c>
      <c r="C1373" s="22">
        <v>2480.7199999999998</v>
      </c>
      <c r="D1373" s="22">
        <v>192.01</v>
      </c>
      <c r="E1373" s="22">
        <v>313.56</v>
      </c>
      <c r="F1373" s="22">
        <v>54254.06</v>
      </c>
    </row>
    <row r="1374" spans="1:6" ht="13.5" customHeight="1" x14ac:dyDescent="0.3">
      <c r="A1374" s="19">
        <v>45386</v>
      </c>
      <c r="B1374" s="20">
        <v>123.99</v>
      </c>
      <c r="C1374" s="20">
        <v>2566.42</v>
      </c>
      <c r="D1374" s="20">
        <v>195.45</v>
      </c>
      <c r="E1374" s="20">
        <v>314.45999999999998</v>
      </c>
      <c r="F1374" s="20">
        <v>54637.52</v>
      </c>
    </row>
    <row r="1375" spans="1:6" ht="13.5" customHeight="1" x14ac:dyDescent="0.3">
      <c r="A1375" s="21">
        <v>45387</v>
      </c>
      <c r="B1375" s="22">
        <v>123.8</v>
      </c>
      <c r="C1375" s="22">
        <v>2548.42</v>
      </c>
      <c r="D1375" s="22">
        <v>195.38</v>
      </c>
      <c r="E1375" s="22">
        <v>319.13</v>
      </c>
      <c r="F1375" s="22">
        <v>54238.58</v>
      </c>
    </row>
    <row r="1376" spans="1:6" ht="13.5" customHeight="1" x14ac:dyDescent="0.3">
      <c r="A1376" s="19">
        <v>45390</v>
      </c>
      <c r="B1376" s="20">
        <v>124.16</v>
      </c>
      <c r="C1376" s="20">
        <v>2509.2800000000002</v>
      </c>
      <c r="D1376" s="20">
        <v>195.76</v>
      </c>
      <c r="E1376" s="20">
        <v>316.25</v>
      </c>
      <c r="F1376" s="20">
        <v>53063.78</v>
      </c>
    </row>
    <row r="1377" spans="1:6" ht="13.5" customHeight="1" x14ac:dyDescent="0.3">
      <c r="A1377" s="21">
        <v>45391</v>
      </c>
      <c r="B1377" s="22">
        <v>126.12</v>
      </c>
      <c r="C1377" s="22">
        <v>2457.5500000000002</v>
      </c>
      <c r="D1377" s="22">
        <v>194.73</v>
      </c>
      <c r="E1377" s="22">
        <v>321.12</v>
      </c>
      <c r="F1377" s="22">
        <v>53250.31</v>
      </c>
    </row>
    <row r="1378" spans="1:6" ht="13.5" customHeight="1" x14ac:dyDescent="0.3">
      <c r="A1378" s="19">
        <v>45392</v>
      </c>
      <c r="B1378" s="20">
        <v>126.83</v>
      </c>
      <c r="C1378" s="20">
        <v>2453.69</v>
      </c>
      <c r="D1378" s="20">
        <v>192.23</v>
      </c>
      <c r="E1378" s="20">
        <v>333.18</v>
      </c>
      <c r="F1378" s="20">
        <v>52625.22</v>
      </c>
    </row>
    <row r="1379" spans="1:6" ht="13.5" customHeight="1" x14ac:dyDescent="0.3">
      <c r="A1379" s="21">
        <v>45393</v>
      </c>
      <c r="B1379" s="22">
        <v>127.38</v>
      </c>
      <c r="C1379" s="22">
        <v>2499.25</v>
      </c>
      <c r="D1379" s="22">
        <v>191.64</v>
      </c>
      <c r="E1379" s="22">
        <v>337.07</v>
      </c>
      <c r="F1379" s="22">
        <v>52452.99</v>
      </c>
    </row>
    <row r="1380" spans="1:6" ht="13.5" customHeight="1" x14ac:dyDescent="0.3">
      <c r="A1380" s="19">
        <v>45394</v>
      </c>
      <c r="B1380" s="20">
        <v>133.1</v>
      </c>
      <c r="C1380" s="20">
        <v>2576.88</v>
      </c>
      <c r="D1380" s="20">
        <v>187.59</v>
      </c>
      <c r="E1380" s="20">
        <v>336.83</v>
      </c>
      <c r="F1380" s="20">
        <v>51771.34</v>
      </c>
    </row>
    <row r="1381" spans="1:6" ht="13.5" customHeight="1" x14ac:dyDescent="0.3">
      <c r="A1381" s="21">
        <v>45397</v>
      </c>
      <c r="B1381" s="22">
        <v>132.83000000000001</v>
      </c>
      <c r="C1381" s="22">
        <v>2588.36</v>
      </c>
      <c r="D1381" s="22">
        <v>189.47</v>
      </c>
      <c r="E1381" s="22">
        <v>340.62</v>
      </c>
      <c r="F1381" s="22">
        <v>51653.43</v>
      </c>
    </row>
    <row r="1382" spans="1:6" ht="13.5" customHeight="1" x14ac:dyDescent="0.3">
      <c r="A1382" s="19">
        <v>45398</v>
      </c>
      <c r="B1382" s="20">
        <v>133.18</v>
      </c>
      <c r="C1382" s="20">
        <v>2590.5700000000002</v>
      </c>
      <c r="D1382" s="20">
        <v>189.88</v>
      </c>
      <c r="E1382" s="20">
        <v>337.93</v>
      </c>
      <c r="F1382" s="20">
        <v>52062.06</v>
      </c>
    </row>
    <row r="1383" spans="1:6" ht="13.5" customHeight="1" x14ac:dyDescent="0.3">
      <c r="A1383" s="21">
        <v>45399</v>
      </c>
      <c r="B1383" s="22">
        <v>136.41999999999999</v>
      </c>
      <c r="C1383" s="22">
        <v>2586.04</v>
      </c>
      <c r="D1383" s="22">
        <v>188.64</v>
      </c>
      <c r="E1383" s="22">
        <v>330.94</v>
      </c>
      <c r="F1383" s="22">
        <v>51886.63</v>
      </c>
    </row>
    <row r="1384" spans="1:6" ht="13.5" customHeight="1" x14ac:dyDescent="0.3">
      <c r="A1384" s="19">
        <v>45400</v>
      </c>
      <c r="B1384" s="20">
        <v>134.94</v>
      </c>
      <c r="C1384" s="20">
        <v>2643.52</v>
      </c>
      <c r="D1384" s="20">
        <v>191.08</v>
      </c>
      <c r="E1384" s="20">
        <v>326.36</v>
      </c>
      <c r="F1384" s="20">
        <v>51184.94</v>
      </c>
    </row>
    <row r="1385" spans="1:6" ht="13.5" customHeight="1" x14ac:dyDescent="0.3">
      <c r="A1385" s="21">
        <v>45401</v>
      </c>
      <c r="B1385" s="22">
        <v>133.04</v>
      </c>
      <c r="C1385" s="22">
        <v>2609.56</v>
      </c>
      <c r="D1385" s="22">
        <v>188.02</v>
      </c>
      <c r="E1385" s="22">
        <v>318.07</v>
      </c>
      <c r="F1385" s="22">
        <v>51287.57</v>
      </c>
    </row>
    <row r="1386" spans="1:6" ht="13.5" customHeight="1" x14ac:dyDescent="0.3">
      <c r="A1386" s="19">
        <v>45404</v>
      </c>
      <c r="B1386" s="20">
        <v>130.44</v>
      </c>
      <c r="C1386" s="20">
        <v>2606.29</v>
      </c>
      <c r="D1386" s="20">
        <v>182.26</v>
      </c>
      <c r="E1386" s="20">
        <v>324</v>
      </c>
      <c r="F1386" s="20">
        <v>51462.2</v>
      </c>
    </row>
    <row r="1387" spans="1:6" ht="13.5" customHeight="1" x14ac:dyDescent="0.3">
      <c r="A1387" s="21">
        <v>45405</v>
      </c>
      <c r="B1387" s="22">
        <v>131.44999999999999</v>
      </c>
      <c r="C1387" s="22">
        <v>2604.2800000000002</v>
      </c>
      <c r="D1387" s="22">
        <v>183.55</v>
      </c>
      <c r="E1387" s="22">
        <v>321.23</v>
      </c>
      <c r="F1387" s="22">
        <v>51492.77</v>
      </c>
    </row>
    <row r="1388" spans="1:6" ht="13.5" customHeight="1" x14ac:dyDescent="0.3">
      <c r="A1388" s="19">
        <v>45406</v>
      </c>
      <c r="B1388" s="20">
        <v>132.63</v>
      </c>
      <c r="C1388" s="20">
        <v>2604.58</v>
      </c>
      <c r="D1388" s="20">
        <v>179.64</v>
      </c>
      <c r="E1388" s="20">
        <v>310.14999999999998</v>
      </c>
      <c r="F1388" s="20">
        <v>51675.6</v>
      </c>
    </row>
    <row r="1389" spans="1:6" ht="13.5" customHeight="1" x14ac:dyDescent="0.3">
      <c r="A1389" s="21">
        <v>45407</v>
      </c>
      <c r="B1389" s="22">
        <v>134.03</v>
      </c>
      <c r="C1389" s="22">
        <v>2689.2</v>
      </c>
      <c r="D1389" s="22">
        <v>175.76</v>
      </c>
      <c r="E1389" s="22">
        <v>313.29000000000002</v>
      </c>
      <c r="F1389" s="22">
        <v>52419.81</v>
      </c>
    </row>
    <row r="1390" spans="1:6" ht="13.5" customHeight="1" x14ac:dyDescent="0.3">
      <c r="A1390" s="19">
        <v>45408</v>
      </c>
      <c r="B1390" s="20">
        <v>131.56</v>
      </c>
      <c r="C1390" s="20">
        <v>2648.49</v>
      </c>
      <c r="D1390" s="20">
        <v>176.28</v>
      </c>
      <c r="E1390" s="20">
        <v>315.58</v>
      </c>
      <c r="F1390" s="20">
        <v>53427.31</v>
      </c>
    </row>
    <row r="1391" spans="1:6" ht="13.5" customHeight="1" x14ac:dyDescent="0.3">
      <c r="A1391" s="21">
        <v>45411</v>
      </c>
      <c r="B1391" s="22">
        <v>133.44</v>
      </c>
      <c r="C1391" s="22">
        <v>2764.77</v>
      </c>
      <c r="D1391" s="22">
        <v>179.04</v>
      </c>
      <c r="E1391" s="22">
        <v>317.55</v>
      </c>
      <c r="F1391" s="22">
        <v>53878.080000000002</v>
      </c>
    </row>
    <row r="1392" spans="1:6" ht="13.5" customHeight="1" x14ac:dyDescent="0.3">
      <c r="A1392" s="19">
        <v>45412</v>
      </c>
      <c r="B1392" s="20">
        <v>135.69999999999999</v>
      </c>
      <c r="C1392" s="20">
        <v>2734.46</v>
      </c>
      <c r="D1392" s="20">
        <v>176.91</v>
      </c>
      <c r="E1392" s="20">
        <v>309.64999999999998</v>
      </c>
      <c r="F1392" s="20">
        <v>53683.199999999997</v>
      </c>
    </row>
    <row r="1393" spans="1:6" ht="13.5" customHeight="1" x14ac:dyDescent="0.3">
      <c r="A1393" s="21">
        <v>45413</v>
      </c>
      <c r="B1393" s="22">
        <v>135.56</v>
      </c>
      <c r="C1393" s="22">
        <v>2696.51</v>
      </c>
      <c r="D1393" s="22">
        <v>174.5</v>
      </c>
      <c r="E1393" s="22">
        <v>303.26</v>
      </c>
      <c r="F1393" s="22">
        <v>53922.77</v>
      </c>
    </row>
    <row r="1394" spans="1:6" ht="13.5" customHeight="1" x14ac:dyDescent="0.3">
      <c r="A1394" s="19">
        <v>45414</v>
      </c>
      <c r="B1394" s="20">
        <v>135.66</v>
      </c>
      <c r="C1394" s="20">
        <v>2666.69</v>
      </c>
      <c r="D1394" s="20">
        <v>178.7</v>
      </c>
      <c r="E1394" s="20">
        <v>313.5</v>
      </c>
      <c r="F1394" s="20">
        <v>53093.56</v>
      </c>
    </row>
    <row r="1395" spans="1:6" ht="13.5" customHeight="1" x14ac:dyDescent="0.3">
      <c r="A1395" s="21">
        <v>45415</v>
      </c>
      <c r="B1395" s="22">
        <v>136.97</v>
      </c>
      <c r="C1395" s="22">
        <v>2698.79</v>
      </c>
      <c r="D1395" s="22">
        <v>174.8</v>
      </c>
      <c r="E1395" s="22">
        <v>310.06</v>
      </c>
      <c r="F1395" s="22">
        <v>53119.51</v>
      </c>
    </row>
    <row r="1396" spans="1:6" ht="13.5" customHeight="1" x14ac:dyDescent="0.3">
      <c r="A1396" s="19">
        <v>45418</v>
      </c>
      <c r="B1396" s="20">
        <v>137.71</v>
      </c>
      <c r="C1396" s="20">
        <v>2699.72</v>
      </c>
      <c r="D1396" s="20">
        <v>177.2</v>
      </c>
      <c r="E1396" s="20">
        <v>312.88</v>
      </c>
      <c r="F1396" s="20">
        <v>54260.11</v>
      </c>
    </row>
    <row r="1397" spans="1:6" ht="13.5" customHeight="1" x14ac:dyDescent="0.3">
      <c r="A1397" s="21">
        <v>45419</v>
      </c>
      <c r="B1397" s="22">
        <v>138.97999999999999</v>
      </c>
      <c r="C1397" s="22">
        <v>2754.72</v>
      </c>
      <c r="D1397" s="22">
        <v>178.47</v>
      </c>
      <c r="E1397" s="22">
        <v>313.76</v>
      </c>
      <c r="F1397" s="22">
        <v>54247.69</v>
      </c>
    </row>
    <row r="1398" spans="1:6" ht="13.5" customHeight="1" x14ac:dyDescent="0.3">
      <c r="A1398" s="19">
        <v>45420</v>
      </c>
      <c r="B1398" s="20">
        <v>136.93</v>
      </c>
      <c r="C1398" s="20">
        <v>2716.34</v>
      </c>
      <c r="D1398" s="20">
        <v>176.5</v>
      </c>
      <c r="E1398" s="20">
        <v>305.69</v>
      </c>
      <c r="F1398" s="20">
        <v>54260.04</v>
      </c>
    </row>
    <row r="1399" spans="1:6" ht="13.5" customHeight="1" x14ac:dyDescent="0.3">
      <c r="A1399" s="21">
        <v>45421</v>
      </c>
      <c r="B1399" s="22">
        <v>136.65</v>
      </c>
      <c r="C1399" s="22">
        <v>2637.79</v>
      </c>
      <c r="D1399" s="22">
        <v>176.2</v>
      </c>
      <c r="E1399" s="22">
        <v>297.32</v>
      </c>
      <c r="F1399" s="22">
        <v>53797.29</v>
      </c>
    </row>
    <row r="1400" spans="1:6" ht="13.5" customHeight="1" x14ac:dyDescent="0.3">
      <c r="A1400" s="19">
        <v>45422</v>
      </c>
      <c r="B1400" s="20">
        <v>134.38999999999999</v>
      </c>
      <c r="C1400" s="20">
        <v>2622.1</v>
      </c>
      <c r="D1400" s="20">
        <v>173.88</v>
      </c>
      <c r="E1400" s="20">
        <v>300.25</v>
      </c>
      <c r="F1400" s="20">
        <v>54497</v>
      </c>
    </row>
    <row r="1401" spans="1:6" ht="13.5" customHeight="1" x14ac:dyDescent="0.3">
      <c r="A1401" s="21">
        <v>45425</v>
      </c>
      <c r="B1401" s="22">
        <v>135.61000000000001</v>
      </c>
      <c r="C1401" s="22">
        <v>2636.6</v>
      </c>
      <c r="D1401" s="22">
        <v>172.12</v>
      </c>
      <c r="E1401" s="22">
        <v>298.63</v>
      </c>
      <c r="F1401" s="22">
        <v>54341.15</v>
      </c>
    </row>
    <row r="1402" spans="1:6" ht="13.5" customHeight="1" x14ac:dyDescent="0.3">
      <c r="A1402" s="19">
        <v>45426</v>
      </c>
      <c r="B1402" s="20">
        <v>136.65</v>
      </c>
      <c r="C1402" s="20">
        <v>2569.8200000000002</v>
      </c>
      <c r="D1402" s="20">
        <v>171.78</v>
      </c>
      <c r="E1402" s="20">
        <v>297.18</v>
      </c>
      <c r="F1402" s="20">
        <v>54548.81</v>
      </c>
    </row>
    <row r="1403" spans="1:6" ht="13.5" customHeight="1" x14ac:dyDescent="0.3">
      <c r="A1403" s="21">
        <v>45427</v>
      </c>
      <c r="B1403" s="22">
        <v>136.51</v>
      </c>
      <c r="C1403" s="22">
        <v>2566.52</v>
      </c>
      <c r="D1403" s="22">
        <v>169.93</v>
      </c>
      <c r="E1403" s="22">
        <v>303.17</v>
      </c>
      <c r="F1403" s="22">
        <v>54352.62</v>
      </c>
    </row>
    <row r="1404" spans="1:6" ht="13.5" customHeight="1" x14ac:dyDescent="0.3">
      <c r="A1404" s="19">
        <v>45428</v>
      </c>
      <c r="B1404" s="20">
        <v>137.11000000000001</v>
      </c>
      <c r="C1404" s="20">
        <v>2592.29</v>
      </c>
      <c r="D1404" s="20">
        <v>165.59</v>
      </c>
      <c r="E1404" s="20">
        <v>294.02</v>
      </c>
      <c r="F1404" s="20">
        <v>53624.24</v>
      </c>
    </row>
    <row r="1405" spans="1:6" ht="13.5" customHeight="1" x14ac:dyDescent="0.3">
      <c r="A1405" s="21">
        <v>45429</v>
      </c>
      <c r="B1405" s="22">
        <v>134.19999999999999</v>
      </c>
      <c r="C1405" s="22">
        <v>2556.9499999999998</v>
      </c>
      <c r="D1405" s="22">
        <v>167.52</v>
      </c>
      <c r="E1405" s="22">
        <v>293.82</v>
      </c>
      <c r="F1405" s="22">
        <v>53534.67</v>
      </c>
    </row>
    <row r="1406" spans="1:6" ht="13.5" customHeight="1" x14ac:dyDescent="0.3">
      <c r="A1406" s="19">
        <v>45432</v>
      </c>
      <c r="B1406" s="20">
        <v>135.84</v>
      </c>
      <c r="C1406" s="20">
        <v>2521.31</v>
      </c>
      <c r="D1406" s="20">
        <v>165.99</v>
      </c>
      <c r="E1406" s="20">
        <v>300.47000000000003</v>
      </c>
      <c r="F1406" s="20">
        <v>52941.42</v>
      </c>
    </row>
    <row r="1407" spans="1:6" ht="13.5" customHeight="1" x14ac:dyDescent="0.3">
      <c r="A1407" s="21">
        <v>45433</v>
      </c>
      <c r="B1407" s="22">
        <v>135</v>
      </c>
      <c r="C1407" s="22">
        <v>2474.11</v>
      </c>
      <c r="D1407" s="22">
        <v>168.14</v>
      </c>
      <c r="E1407" s="22">
        <v>305.39999999999998</v>
      </c>
      <c r="F1407" s="22">
        <v>52553.69</v>
      </c>
    </row>
    <row r="1408" spans="1:6" ht="13.5" customHeight="1" x14ac:dyDescent="0.3">
      <c r="A1408" s="19">
        <v>45434</v>
      </c>
      <c r="B1408" s="20">
        <v>135.28</v>
      </c>
      <c r="C1408" s="20">
        <v>2469.3200000000002</v>
      </c>
      <c r="D1408" s="20">
        <v>167.79</v>
      </c>
      <c r="E1408" s="20">
        <v>303.95</v>
      </c>
      <c r="F1408" s="20">
        <v>52232.14</v>
      </c>
    </row>
    <row r="1409" spans="1:6" ht="13.5" customHeight="1" x14ac:dyDescent="0.3">
      <c r="A1409" s="21">
        <v>45435</v>
      </c>
      <c r="B1409" s="22">
        <v>137.41999999999999</v>
      </c>
      <c r="C1409" s="22">
        <v>2490.67</v>
      </c>
      <c r="D1409" s="22">
        <v>175.29</v>
      </c>
      <c r="E1409" s="22">
        <v>306.79000000000002</v>
      </c>
      <c r="F1409" s="22">
        <v>53270.65</v>
      </c>
    </row>
    <row r="1410" spans="1:6" ht="13.5" customHeight="1" x14ac:dyDescent="0.3">
      <c r="A1410" s="19">
        <v>45436</v>
      </c>
      <c r="B1410" s="20">
        <v>136.02000000000001</v>
      </c>
      <c r="C1410" s="20">
        <v>2612.85</v>
      </c>
      <c r="D1410" s="20">
        <v>176.9</v>
      </c>
      <c r="E1410" s="20">
        <v>310.56</v>
      </c>
      <c r="F1410" s="20">
        <v>53680.94</v>
      </c>
    </row>
    <row r="1411" spans="1:6" ht="13.5" customHeight="1" x14ac:dyDescent="0.3">
      <c r="A1411" s="21">
        <v>45439</v>
      </c>
      <c r="B1411" s="22">
        <v>138.32</v>
      </c>
      <c r="C1411" s="22">
        <v>2668.11</v>
      </c>
      <c r="D1411" s="22">
        <v>173.22</v>
      </c>
      <c r="E1411" s="22">
        <v>305.56</v>
      </c>
      <c r="F1411" s="22">
        <v>53891.98</v>
      </c>
    </row>
    <row r="1412" spans="1:6" ht="13.5" customHeight="1" x14ac:dyDescent="0.3">
      <c r="A1412" s="19">
        <v>45440</v>
      </c>
      <c r="B1412" s="20">
        <v>138.6</v>
      </c>
      <c r="C1412" s="20">
        <v>2610.3200000000002</v>
      </c>
      <c r="D1412" s="20">
        <v>169.55</v>
      </c>
      <c r="E1412" s="20">
        <v>297.18</v>
      </c>
      <c r="F1412" s="20">
        <v>53526.83</v>
      </c>
    </row>
    <row r="1413" spans="1:6" ht="13.5" customHeight="1" x14ac:dyDescent="0.3">
      <c r="A1413" s="21">
        <v>45441</v>
      </c>
      <c r="B1413" s="22">
        <v>138.69999999999999</v>
      </c>
      <c r="C1413" s="22">
        <v>2541.12</v>
      </c>
      <c r="D1413" s="22">
        <v>167.22</v>
      </c>
      <c r="E1413" s="22">
        <v>302.17</v>
      </c>
      <c r="F1413" s="22">
        <v>53915.47</v>
      </c>
    </row>
    <row r="1414" spans="1:6" ht="13.5" customHeight="1" x14ac:dyDescent="0.3">
      <c r="A1414" s="19">
        <v>45442</v>
      </c>
      <c r="B1414" s="20">
        <v>139.81</v>
      </c>
      <c r="C1414" s="20">
        <v>2537.69</v>
      </c>
      <c r="D1414" s="20">
        <v>166.16</v>
      </c>
      <c r="E1414" s="20">
        <v>302.62</v>
      </c>
      <c r="F1414" s="20">
        <v>53852.08</v>
      </c>
    </row>
    <row r="1415" spans="1:6" ht="13.5" customHeight="1" x14ac:dyDescent="0.3">
      <c r="A1415" s="21">
        <v>45443</v>
      </c>
      <c r="B1415" s="22">
        <v>137.44</v>
      </c>
      <c r="C1415" s="22">
        <v>2609.56</v>
      </c>
      <c r="D1415" s="22">
        <v>161.9</v>
      </c>
      <c r="E1415" s="22">
        <v>313.17</v>
      </c>
      <c r="F1415" s="22">
        <v>54617.48</v>
      </c>
    </row>
    <row r="1416" spans="1:6" ht="13.5" customHeight="1" x14ac:dyDescent="0.3">
      <c r="A1416" s="19">
        <v>45446</v>
      </c>
      <c r="B1416" s="20">
        <v>138.62</v>
      </c>
      <c r="C1416" s="20">
        <v>2641.36</v>
      </c>
      <c r="D1416" s="20">
        <v>159.1</v>
      </c>
      <c r="E1416" s="20">
        <v>309.51</v>
      </c>
      <c r="F1416" s="20">
        <v>54500.51</v>
      </c>
    </row>
    <row r="1417" spans="1:6" ht="13.5" customHeight="1" x14ac:dyDescent="0.3">
      <c r="A1417" s="21">
        <v>45447</v>
      </c>
      <c r="B1417" s="22">
        <v>138.78</v>
      </c>
      <c r="C1417" s="22">
        <v>2618.37</v>
      </c>
      <c r="D1417" s="22">
        <v>159.19999999999999</v>
      </c>
      <c r="E1417" s="22">
        <v>315.48</v>
      </c>
      <c r="F1417" s="22">
        <v>55582.92</v>
      </c>
    </row>
    <row r="1418" spans="1:6" ht="13.5" customHeight="1" x14ac:dyDescent="0.3">
      <c r="A1418" s="19">
        <v>45448</v>
      </c>
      <c r="B1418" s="20">
        <v>140.82</v>
      </c>
      <c r="C1418" s="20">
        <v>2666.18</v>
      </c>
      <c r="D1418" s="20">
        <v>155.34</v>
      </c>
      <c r="E1418" s="20">
        <v>320.58</v>
      </c>
      <c r="F1418" s="20">
        <v>55457.25</v>
      </c>
    </row>
    <row r="1419" spans="1:6" ht="13.5" customHeight="1" x14ac:dyDescent="0.3">
      <c r="A1419" s="21">
        <v>45449</v>
      </c>
      <c r="B1419" s="22">
        <v>140.44</v>
      </c>
      <c r="C1419" s="22">
        <v>2732.54</v>
      </c>
      <c r="D1419" s="22">
        <v>155.16</v>
      </c>
      <c r="E1419" s="22">
        <v>323.72000000000003</v>
      </c>
      <c r="F1419" s="22">
        <v>55533.91</v>
      </c>
    </row>
    <row r="1420" spans="1:6" ht="13.5" customHeight="1" x14ac:dyDescent="0.3">
      <c r="A1420" s="19">
        <v>45450</v>
      </c>
      <c r="B1420" s="20">
        <v>139.78</v>
      </c>
      <c r="C1420" s="20">
        <v>2804.62</v>
      </c>
      <c r="D1420" s="20">
        <v>155.79</v>
      </c>
      <c r="E1420" s="20">
        <v>324.05</v>
      </c>
      <c r="F1420" s="20">
        <v>55260.46</v>
      </c>
    </row>
    <row r="1421" spans="1:6" ht="13.5" customHeight="1" x14ac:dyDescent="0.3">
      <c r="A1421" s="21">
        <v>45453</v>
      </c>
      <c r="B1421" s="22">
        <v>140.54</v>
      </c>
      <c r="C1421" s="22">
        <v>2753.54</v>
      </c>
      <c r="D1421" s="22">
        <v>153.38999999999999</v>
      </c>
      <c r="E1421" s="22">
        <v>318.42</v>
      </c>
      <c r="F1421" s="22">
        <v>55263.86</v>
      </c>
    </row>
    <row r="1422" spans="1:6" ht="13.5" customHeight="1" x14ac:dyDescent="0.3">
      <c r="A1422" s="19">
        <v>45454</v>
      </c>
      <c r="B1422" s="20">
        <v>140.47</v>
      </c>
      <c r="C1422" s="20">
        <v>2776.42</v>
      </c>
      <c r="D1422" s="20">
        <v>154.91</v>
      </c>
      <c r="E1422" s="20">
        <v>316.81</v>
      </c>
      <c r="F1422" s="20">
        <v>54669.05</v>
      </c>
    </row>
    <row r="1423" spans="1:6" ht="13.5" customHeight="1" x14ac:dyDescent="0.3">
      <c r="A1423" s="21">
        <v>45455</v>
      </c>
      <c r="B1423" s="22">
        <v>138.22</v>
      </c>
      <c r="C1423" s="22">
        <v>2715.33</v>
      </c>
      <c r="D1423" s="22">
        <v>155.16999999999999</v>
      </c>
      <c r="E1423" s="22">
        <v>314.01</v>
      </c>
      <c r="F1423" s="22">
        <v>53977.08</v>
      </c>
    </row>
    <row r="1424" spans="1:6" ht="13.5" customHeight="1" x14ac:dyDescent="0.3">
      <c r="A1424" s="19">
        <v>45456</v>
      </c>
      <c r="B1424" s="20">
        <v>137.9</v>
      </c>
      <c r="C1424" s="20">
        <v>2678.37</v>
      </c>
      <c r="D1424" s="20">
        <v>157.91</v>
      </c>
      <c r="E1424" s="20">
        <v>314.29000000000002</v>
      </c>
      <c r="F1424" s="20">
        <v>52978.93</v>
      </c>
    </row>
    <row r="1425" spans="1:6" ht="13.5" customHeight="1" x14ac:dyDescent="0.3">
      <c r="A1425" s="21">
        <v>45457</v>
      </c>
      <c r="B1425" s="22">
        <v>140.36000000000001</v>
      </c>
      <c r="C1425" s="22">
        <v>2619.56</v>
      </c>
      <c r="D1425" s="22">
        <v>159.62</v>
      </c>
      <c r="E1425" s="22">
        <v>308.23</v>
      </c>
      <c r="F1425" s="22">
        <v>52492.71</v>
      </c>
    </row>
    <row r="1426" spans="1:6" ht="13.5" customHeight="1" x14ac:dyDescent="0.3">
      <c r="A1426" s="19">
        <v>45460</v>
      </c>
      <c r="B1426" s="20">
        <v>140.22999999999999</v>
      </c>
      <c r="C1426" s="20">
        <v>2609.02</v>
      </c>
      <c r="D1426" s="20">
        <v>159.15</v>
      </c>
      <c r="E1426" s="20">
        <v>309.81</v>
      </c>
      <c r="F1426" s="20">
        <v>51948.73</v>
      </c>
    </row>
    <row r="1427" spans="1:6" ht="13.5" customHeight="1" x14ac:dyDescent="0.3">
      <c r="A1427" s="21">
        <v>45461</v>
      </c>
      <c r="B1427" s="22">
        <v>138.58000000000001</v>
      </c>
      <c r="C1427" s="22">
        <v>2544.4899999999998</v>
      </c>
      <c r="D1427" s="22">
        <v>158.82</v>
      </c>
      <c r="E1427" s="22">
        <v>320.39</v>
      </c>
      <c r="F1427" s="22">
        <v>52136.88</v>
      </c>
    </row>
    <row r="1428" spans="1:6" ht="13.5" customHeight="1" x14ac:dyDescent="0.3">
      <c r="A1428" s="19">
        <v>45462</v>
      </c>
      <c r="B1428" s="20">
        <v>140</v>
      </c>
      <c r="C1428" s="20">
        <v>2580.7800000000002</v>
      </c>
      <c r="D1428" s="20">
        <v>160.04</v>
      </c>
      <c r="E1428" s="20">
        <v>315.23</v>
      </c>
      <c r="F1428" s="20">
        <v>51774.36</v>
      </c>
    </row>
    <row r="1429" spans="1:6" ht="13.5" customHeight="1" x14ac:dyDescent="0.3">
      <c r="A1429" s="21">
        <v>45463</v>
      </c>
      <c r="B1429" s="22">
        <v>136.44999999999999</v>
      </c>
      <c r="C1429" s="22">
        <v>2581.7600000000002</v>
      </c>
      <c r="D1429" s="22">
        <v>161.05000000000001</v>
      </c>
      <c r="E1429" s="22">
        <v>318.54000000000002</v>
      </c>
      <c r="F1429" s="22">
        <v>51701.54</v>
      </c>
    </row>
    <row r="1430" spans="1:6" ht="13.5" customHeight="1" x14ac:dyDescent="0.3">
      <c r="A1430" s="19">
        <v>45464</v>
      </c>
      <c r="B1430" s="20">
        <v>132.47999999999999</v>
      </c>
      <c r="C1430" s="20">
        <v>2543.9299999999998</v>
      </c>
      <c r="D1430" s="20">
        <v>156.82</v>
      </c>
      <c r="E1430" s="20">
        <v>307.31</v>
      </c>
      <c r="F1430" s="20">
        <v>52488.57</v>
      </c>
    </row>
    <row r="1431" spans="1:6" ht="13.5" customHeight="1" x14ac:dyDescent="0.3">
      <c r="A1431" s="21">
        <v>45467</v>
      </c>
      <c r="B1431" s="22">
        <v>132.52000000000001</v>
      </c>
      <c r="C1431" s="22">
        <v>2567.2199999999998</v>
      </c>
      <c r="D1431" s="22">
        <v>159.16999999999999</v>
      </c>
      <c r="E1431" s="22">
        <v>310.37</v>
      </c>
      <c r="F1431" s="22">
        <v>52860.45</v>
      </c>
    </row>
    <row r="1432" spans="1:6" ht="13.5" customHeight="1" x14ac:dyDescent="0.3">
      <c r="A1432" s="19">
        <v>45468</v>
      </c>
      <c r="B1432" s="20">
        <v>132.88999999999999</v>
      </c>
      <c r="C1432" s="20">
        <v>2638.07</v>
      </c>
      <c r="D1432" s="20">
        <v>157.83000000000001</v>
      </c>
      <c r="E1432" s="20">
        <v>312.05</v>
      </c>
      <c r="F1432" s="20">
        <v>51942.32</v>
      </c>
    </row>
    <row r="1433" spans="1:6" ht="13.5" customHeight="1" x14ac:dyDescent="0.3">
      <c r="A1433" s="21">
        <v>45469</v>
      </c>
      <c r="B1433" s="22">
        <v>133.34</v>
      </c>
      <c r="C1433" s="22">
        <v>2655.71</v>
      </c>
      <c r="D1433" s="22">
        <v>160.71</v>
      </c>
      <c r="E1433" s="22">
        <v>306.83</v>
      </c>
      <c r="F1433" s="22">
        <v>52199.82</v>
      </c>
    </row>
    <row r="1434" spans="1:6" ht="13.5" customHeight="1" x14ac:dyDescent="0.3">
      <c r="A1434" s="19">
        <v>45470</v>
      </c>
      <c r="B1434" s="20">
        <v>131.72999999999999</v>
      </c>
      <c r="C1434" s="20">
        <v>2629.95</v>
      </c>
      <c r="D1434" s="20">
        <v>161.22999999999999</v>
      </c>
      <c r="E1434" s="20">
        <v>310.17</v>
      </c>
      <c r="F1434" s="20">
        <v>52574.879999999997</v>
      </c>
    </row>
    <row r="1435" spans="1:6" ht="13.5" customHeight="1" x14ac:dyDescent="0.3">
      <c r="A1435" s="21">
        <v>45471</v>
      </c>
      <c r="B1435" s="22">
        <v>131.5</v>
      </c>
      <c r="C1435" s="22">
        <v>2618.35</v>
      </c>
      <c r="D1435" s="22">
        <v>159.65</v>
      </c>
      <c r="E1435" s="22">
        <v>310.93</v>
      </c>
      <c r="F1435" s="22">
        <v>52508.79</v>
      </c>
    </row>
    <row r="1436" spans="1:6" ht="13.5" customHeight="1" x14ac:dyDescent="0.3">
      <c r="A1436" s="19">
        <v>45474</v>
      </c>
      <c r="B1436" s="20">
        <v>128.99</v>
      </c>
      <c r="C1436" s="20">
        <v>2615.1</v>
      </c>
      <c r="D1436" s="20">
        <v>159.71</v>
      </c>
      <c r="E1436" s="20">
        <v>321.7</v>
      </c>
      <c r="F1436" s="20">
        <v>51962.86</v>
      </c>
    </row>
    <row r="1437" spans="1:6" ht="13.5" customHeight="1" x14ac:dyDescent="0.3">
      <c r="A1437" s="21">
        <v>45475</v>
      </c>
      <c r="B1437" s="22">
        <v>129.41999999999999</v>
      </c>
      <c r="C1437" s="22">
        <v>2584.29</v>
      </c>
      <c r="D1437" s="22">
        <v>163.38999999999999</v>
      </c>
      <c r="E1437" s="22">
        <v>322.55</v>
      </c>
      <c r="F1437" s="22">
        <v>52194.93</v>
      </c>
    </row>
    <row r="1438" spans="1:6" ht="13.5" customHeight="1" x14ac:dyDescent="0.3">
      <c r="A1438" s="19">
        <v>45476</v>
      </c>
      <c r="B1438" s="20">
        <v>126.57</v>
      </c>
      <c r="C1438" s="20">
        <v>2507.81</v>
      </c>
      <c r="D1438" s="20">
        <v>161.53</v>
      </c>
      <c r="E1438" s="20">
        <v>325.11</v>
      </c>
      <c r="F1438" s="20">
        <v>52062.18</v>
      </c>
    </row>
    <row r="1439" spans="1:6" ht="13.5" customHeight="1" x14ac:dyDescent="0.3">
      <c r="A1439" s="21">
        <v>45477</v>
      </c>
      <c r="B1439" s="22">
        <v>126.35</v>
      </c>
      <c r="C1439" s="22">
        <v>2492.56</v>
      </c>
      <c r="D1439" s="22">
        <v>157.25</v>
      </c>
      <c r="E1439" s="22">
        <v>324.36</v>
      </c>
      <c r="F1439" s="22">
        <v>52238.3</v>
      </c>
    </row>
    <row r="1440" spans="1:6" ht="13.5" customHeight="1" x14ac:dyDescent="0.3">
      <c r="A1440" s="19">
        <v>45478</v>
      </c>
      <c r="B1440" s="20">
        <v>126.84</v>
      </c>
      <c r="C1440" s="20">
        <v>2548.6799999999998</v>
      </c>
      <c r="D1440" s="20">
        <v>156.66999999999999</v>
      </c>
      <c r="E1440" s="20">
        <v>317.64</v>
      </c>
      <c r="F1440" s="20">
        <v>52601.32</v>
      </c>
    </row>
    <row r="1441" spans="1:6" ht="13.5" customHeight="1" x14ac:dyDescent="0.3">
      <c r="A1441" s="21">
        <v>45481</v>
      </c>
      <c r="B1441" s="22">
        <v>123.8</v>
      </c>
      <c r="C1441" s="22">
        <v>2513.0100000000002</v>
      </c>
      <c r="D1441" s="22">
        <v>159.84</v>
      </c>
      <c r="E1441" s="22">
        <v>333.41</v>
      </c>
      <c r="F1441" s="22">
        <v>52870.46</v>
      </c>
    </row>
    <row r="1442" spans="1:6" ht="13.5" customHeight="1" x14ac:dyDescent="0.3">
      <c r="A1442" s="19">
        <v>45482</v>
      </c>
      <c r="B1442" s="20">
        <v>122.94</v>
      </c>
      <c r="C1442" s="20">
        <v>2428.94</v>
      </c>
      <c r="D1442" s="20">
        <v>163.91</v>
      </c>
      <c r="E1442" s="20">
        <v>334.72</v>
      </c>
      <c r="F1442" s="20">
        <v>52594.16</v>
      </c>
    </row>
    <row r="1443" spans="1:6" ht="13.5" customHeight="1" x14ac:dyDescent="0.3">
      <c r="A1443" s="21">
        <v>45483</v>
      </c>
      <c r="B1443" s="22">
        <v>124.32</v>
      </c>
      <c r="C1443" s="22">
        <v>2426.58</v>
      </c>
      <c r="D1443" s="22">
        <v>166.64</v>
      </c>
      <c r="E1443" s="22">
        <v>336.81</v>
      </c>
      <c r="F1443" s="22">
        <v>51650.31</v>
      </c>
    </row>
    <row r="1444" spans="1:6" ht="13.5" customHeight="1" x14ac:dyDescent="0.3">
      <c r="A1444" s="19">
        <v>45484</v>
      </c>
      <c r="B1444" s="20">
        <v>127.03</v>
      </c>
      <c r="C1444" s="20">
        <v>2475.23</v>
      </c>
      <c r="D1444" s="20">
        <v>161.13999999999999</v>
      </c>
      <c r="E1444" s="20">
        <v>337.51</v>
      </c>
      <c r="F1444" s="20">
        <v>51725.15</v>
      </c>
    </row>
    <row r="1445" spans="1:6" ht="13.5" customHeight="1" x14ac:dyDescent="0.3">
      <c r="A1445" s="21">
        <v>45485</v>
      </c>
      <c r="B1445" s="22">
        <v>124.42</v>
      </c>
      <c r="C1445" s="22">
        <v>2401.5</v>
      </c>
      <c r="D1445" s="22">
        <v>160.6</v>
      </c>
      <c r="E1445" s="22">
        <v>328.32</v>
      </c>
      <c r="F1445" s="22">
        <v>51671.02</v>
      </c>
    </row>
    <row r="1446" spans="1:6" ht="13.5" customHeight="1" x14ac:dyDescent="0.3">
      <c r="A1446" s="19">
        <v>45488</v>
      </c>
      <c r="B1446" s="20">
        <v>125.05</v>
      </c>
      <c r="C1446" s="20">
        <v>2410.98</v>
      </c>
      <c r="D1446" s="20">
        <v>159.46</v>
      </c>
      <c r="E1446" s="20">
        <v>320.04000000000002</v>
      </c>
      <c r="F1446" s="20">
        <v>51592.81</v>
      </c>
    </row>
    <row r="1447" spans="1:6" ht="13.5" customHeight="1" x14ac:dyDescent="0.3">
      <c r="A1447" s="21">
        <v>45489</v>
      </c>
      <c r="B1447" s="22">
        <v>122.95</v>
      </c>
      <c r="C1447" s="22">
        <v>2429.91</v>
      </c>
      <c r="D1447" s="22">
        <v>159.08000000000001</v>
      </c>
      <c r="E1447" s="22">
        <v>310.06</v>
      </c>
      <c r="F1447" s="22">
        <v>51801.64</v>
      </c>
    </row>
    <row r="1448" spans="1:6" ht="13.5" customHeight="1" x14ac:dyDescent="0.3">
      <c r="A1448" s="19">
        <v>45490</v>
      </c>
      <c r="B1448" s="20">
        <v>120.69</v>
      </c>
      <c r="C1448" s="20">
        <v>2454.37</v>
      </c>
      <c r="D1448" s="20">
        <v>156.4</v>
      </c>
      <c r="E1448" s="20">
        <v>317.94</v>
      </c>
      <c r="F1448" s="20">
        <v>52133.96</v>
      </c>
    </row>
    <row r="1449" spans="1:6" ht="13.5" customHeight="1" x14ac:dyDescent="0.3">
      <c r="A1449" s="21">
        <v>45491</v>
      </c>
      <c r="B1449" s="22">
        <v>123.4</v>
      </c>
      <c r="C1449" s="22">
        <v>2479.9499999999998</v>
      </c>
      <c r="D1449" s="22">
        <v>155.78</v>
      </c>
      <c r="E1449" s="22">
        <v>321.11</v>
      </c>
      <c r="F1449" s="22">
        <v>51515.99</v>
      </c>
    </row>
    <row r="1450" spans="1:6" ht="13.5" customHeight="1" x14ac:dyDescent="0.3">
      <c r="A1450" s="19">
        <v>45492</v>
      </c>
      <c r="B1450" s="20">
        <v>124.58</v>
      </c>
      <c r="C1450" s="20">
        <v>2508.02</v>
      </c>
      <c r="D1450" s="20">
        <v>152.94</v>
      </c>
      <c r="E1450" s="20">
        <v>319.23</v>
      </c>
      <c r="F1450" s="20">
        <v>52027.42</v>
      </c>
    </row>
    <row r="1451" spans="1:6" ht="13.5" customHeight="1" x14ac:dyDescent="0.3">
      <c r="A1451" s="21">
        <v>45495</v>
      </c>
      <c r="B1451" s="22">
        <v>123.23</v>
      </c>
      <c r="C1451" s="22">
        <v>2439.4499999999998</v>
      </c>
      <c r="D1451" s="22">
        <v>158.59</v>
      </c>
      <c r="E1451" s="22">
        <v>310.75</v>
      </c>
      <c r="F1451" s="22">
        <v>52252.76</v>
      </c>
    </row>
    <row r="1452" spans="1:6" ht="13.5" customHeight="1" x14ac:dyDescent="0.3">
      <c r="A1452" s="19">
        <v>45496</v>
      </c>
      <c r="B1452" s="20">
        <v>123.65</v>
      </c>
      <c r="C1452" s="20">
        <v>2467.41</v>
      </c>
      <c r="D1452" s="20">
        <v>158.80000000000001</v>
      </c>
      <c r="E1452" s="20">
        <v>306.02</v>
      </c>
      <c r="F1452" s="20">
        <v>52368.27</v>
      </c>
    </row>
    <row r="1453" spans="1:6" ht="13.5" customHeight="1" x14ac:dyDescent="0.3">
      <c r="A1453" s="21">
        <v>45497</v>
      </c>
      <c r="B1453" s="22">
        <v>124.79</v>
      </c>
      <c r="C1453" s="22">
        <v>2528.83</v>
      </c>
      <c r="D1453" s="22">
        <v>157.57</v>
      </c>
      <c r="E1453" s="22">
        <v>305.57</v>
      </c>
      <c r="F1453" s="22">
        <v>52425.75</v>
      </c>
    </row>
    <row r="1454" spans="1:6" ht="13.5" customHeight="1" x14ac:dyDescent="0.3">
      <c r="A1454" s="19">
        <v>45498</v>
      </c>
      <c r="B1454" s="20">
        <v>125.14</v>
      </c>
      <c r="C1454" s="20">
        <v>2520.4499999999998</v>
      </c>
      <c r="D1454" s="20">
        <v>154.55000000000001</v>
      </c>
      <c r="E1454" s="20">
        <v>298.58999999999997</v>
      </c>
      <c r="F1454" s="20">
        <v>53745.82</v>
      </c>
    </row>
    <row r="1455" spans="1:6" ht="13.5" customHeight="1" x14ac:dyDescent="0.3">
      <c r="A1455" s="21">
        <v>45499</v>
      </c>
      <c r="B1455" s="22">
        <v>129.08000000000001</v>
      </c>
      <c r="C1455" s="22">
        <v>2538.46</v>
      </c>
      <c r="D1455" s="22">
        <v>156.94999999999999</v>
      </c>
      <c r="E1455" s="22">
        <v>303.64999999999998</v>
      </c>
      <c r="F1455" s="22">
        <v>54040.28</v>
      </c>
    </row>
    <row r="1456" spans="1:6" ht="13.5" customHeight="1" x14ac:dyDescent="0.3">
      <c r="A1456" s="19">
        <v>45502</v>
      </c>
      <c r="B1456" s="20">
        <v>130.19999999999999</v>
      </c>
      <c r="C1456" s="20">
        <v>2494.5500000000002</v>
      </c>
      <c r="D1456" s="20">
        <v>158.44999999999999</v>
      </c>
      <c r="E1456" s="20">
        <v>299.18</v>
      </c>
      <c r="F1456" s="20">
        <v>54007.48</v>
      </c>
    </row>
    <row r="1457" spans="1:6" ht="13.5" customHeight="1" x14ac:dyDescent="0.3">
      <c r="A1457" s="21">
        <v>45503</v>
      </c>
      <c r="B1457" s="22">
        <v>124.84</v>
      </c>
      <c r="C1457" s="22">
        <v>2553.36</v>
      </c>
      <c r="D1457" s="22">
        <v>161.41</v>
      </c>
      <c r="E1457" s="22">
        <v>297.73</v>
      </c>
      <c r="F1457" s="22">
        <v>53054.23</v>
      </c>
    </row>
    <row r="1458" spans="1:6" ht="13.5" customHeight="1" x14ac:dyDescent="0.3">
      <c r="A1458" s="19">
        <v>45504</v>
      </c>
      <c r="B1458" s="20">
        <v>124.38</v>
      </c>
      <c r="C1458" s="20">
        <v>2527.0300000000002</v>
      </c>
      <c r="D1458" s="20">
        <v>162.36000000000001</v>
      </c>
      <c r="E1458" s="20">
        <v>297.31</v>
      </c>
      <c r="F1458" s="20">
        <v>52910.9</v>
      </c>
    </row>
    <row r="1459" spans="1:6" ht="13.5" customHeight="1" x14ac:dyDescent="0.3">
      <c r="A1459" s="21">
        <v>45505</v>
      </c>
      <c r="B1459" s="22">
        <v>123.15</v>
      </c>
      <c r="C1459" s="22">
        <v>2602.06</v>
      </c>
      <c r="D1459" s="22">
        <v>161.22999999999999</v>
      </c>
      <c r="E1459" s="22">
        <v>285.16000000000003</v>
      </c>
      <c r="F1459" s="22">
        <v>53220.53</v>
      </c>
    </row>
    <row r="1460" spans="1:6" ht="13.5" customHeight="1" x14ac:dyDescent="0.3">
      <c r="A1460" s="19">
        <v>45506</v>
      </c>
      <c r="B1460" s="20">
        <v>122.84</v>
      </c>
      <c r="C1460" s="20">
        <v>2586.17</v>
      </c>
      <c r="D1460" s="20">
        <v>159.44</v>
      </c>
      <c r="E1460" s="20">
        <v>289.64999999999998</v>
      </c>
      <c r="F1460" s="20">
        <v>52472.81</v>
      </c>
    </row>
    <row r="1461" spans="1:6" ht="13.5" customHeight="1" x14ac:dyDescent="0.3">
      <c r="A1461" s="21">
        <v>45509</v>
      </c>
      <c r="B1461" s="22">
        <v>122.9</v>
      </c>
      <c r="C1461" s="22">
        <v>2618.63</v>
      </c>
      <c r="D1461" s="22">
        <v>157.58000000000001</v>
      </c>
      <c r="E1461" s="22">
        <v>290.01</v>
      </c>
      <c r="F1461" s="22">
        <v>52403.93</v>
      </c>
    </row>
    <row r="1462" spans="1:6" ht="13.5" customHeight="1" x14ac:dyDescent="0.3">
      <c r="A1462" s="19">
        <v>45510</v>
      </c>
      <c r="B1462" s="20">
        <v>121.83</v>
      </c>
      <c r="C1462" s="20">
        <v>2595.5500000000002</v>
      </c>
      <c r="D1462" s="20">
        <v>156.63999999999999</v>
      </c>
      <c r="E1462" s="20">
        <v>278.01</v>
      </c>
      <c r="F1462" s="20">
        <v>52507.05</v>
      </c>
    </row>
    <row r="1463" spans="1:6" ht="13.5" customHeight="1" x14ac:dyDescent="0.3">
      <c r="A1463" s="21">
        <v>45511</v>
      </c>
      <c r="B1463" s="22">
        <v>120.04</v>
      </c>
      <c r="C1463" s="22">
        <v>2683.06</v>
      </c>
      <c r="D1463" s="22">
        <v>158.38999999999999</v>
      </c>
      <c r="E1463" s="22">
        <v>276.08</v>
      </c>
      <c r="F1463" s="22">
        <v>52993.58</v>
      </c>
    </row>
    <row r="1464" spans="1:6" ht="13.5" customHeight="1" x14ac:dyDescent="0.3">
      <c r="A1464" s="19">
        <v>45512</v>
      </c>
      <c r="B1464" s="20">
        <v>122.34</v>
      </c>
      <c r="C1464" s="20">
        <v>2591.33</v>
      </c>
      <c r="D1464" s="20">
        <v>157.08000000000001</v>
      </c>
      <c r="E1464" s="20">
        <v>274.47000000000003</v>
      </c>
      <c r="F1464" s="20">
        <v>52107.99</v>
      </c>
    </row>
    <row r="1465" spans="1:6" ht="13.5" customHeight="1" x14ac:dyDescent="0.3">
      <c r="A1465" s="21">
        <v>45513</v>
      </c>
      <c r="B1465" s="22">
        <v>123.4</v>
      </c>
      <c r="C1465" s="22">
        <v>2609.75</v>
      </c>
      <c r="D1465" s="22">
        <v>157.85</v>
      </c>
      <c r="E1465" s="22">
        <v>269.24</v>
      </c>
      <c r="F1465" s="22">
        <v>52017.84</v>
      </c>
    </row>
    <row r="1466" spans="1:6" ht="13.5" customHeight="1" x14ac:dyDescent="0.3">
      <c r="A1466" s="19">
        <v>45516</v>
      </c>
      <c r="B1466" s="20">
        <v>122.29</v>
      </c>
      <c r="C1466" s="20">
        <v>2515.58</v>
      </c>
      <c r="D1466" s="20">
        <v>159.78</v>
      </c>
      <c r="E1466" s="20">
        <v>271.14</v>
      </c>
      <c r="F1466" s="20">
        <v>51897.38</v>
      </c>
    </row>
    <row r="1467" spans="1:6" ht="13.5" customHeight="1" x14ac:dyDescent="0.3">
      <c r="A1467" s="21">
        <v>45517</v>
      </c>
      <c r="B1467" s="22">
        <v>123.48</v>
      </c>
      <c r="C1467" s="22">
        <v>2463.62</v>
      </c>
      <c r="D1467" s="22">
        <v>158.69999999999999</v>
      </c>
      <c r="E1467" s="22">
        <v>277.44</v>
      </c>
      <c r="F1467" s="22">
        <v>51918.48</v>
      </c>
    </row>
    <row r="1468" spans="1:6" ht="13.5" customHeight="1" x14ac:dyDescent="0.3">
      <c r="A1468" s="19">
        <v>45518</v>
      </c>
      <c r="B1468" s="20">
        <v>124.67</v>
      </c>
      <c r="C1468" s="20">
        <v>2547.3000000000002</v>
      </c>
      <c r="D1468" s="20">
        <v>161.21</v>
      </c>
      <c r="E1468" s="20">
        <v>279.39</v>
      </c>
      <c r="F1468" s="20">
        <v>52182.99</v>
      </c>
    </row>
    <row r="1469" spans="1:6" ht="13.5" customHeight="1" x14ac:dyDescent="0.3">
      <c r="A1469" s="21">
        <v>45519</v>
      </c>
      <c r="B1469" s="22">
        <v>126.9</v>
      </c>
      <c r="C1469" s="22">
        <v>2589.62</v>
      </c>
      <c r="D1469" s="22">
        <v>162.34</v>
      </c>
      <c r="E1469" s="22">
        <v>272.07</v>
      </c>
      <c r="F1469" s="22">
        <v>52720.92</v>
      </c>
    </row>
    <row r="1470" spans="1:6" ht="13.5" customHeight="1" x14ac:dyDescent="0.3">
      <c r="A1470" s="19">
        <v>45520</v>
      </c>
      <c r="B1470" s="20">
        <v>125.09</v>
      </c>
      <c r="C1470" s="20">
        <v>2499.3200000000002</v>
      </c>
      <c r="D1470" s="20">
        <v>163.38999999999999</v>
      </c>
      <c r="E1470" s="20">
        <v>268.72000000000003</v>
      </c>
      <c r="F1470" s="20">
        <v>53395.75</v>
      </c>
    </row>
    <row r="1471" spans="1:6" ht="13.5" customHeight="1" x14ac:dyDescent="0.3">
      <c r="A1471" s="21">
        <v>45523</v>
      </c>
      <c r="B1471" s="22">
        <v>126.48</v>
      </c>
      <c r="C1471" s="22">
        <v>2500.5500000000002</v>
      </c>
      <c r="D1471" s="22">
        <v>163.38</v>
      </c>
      <c r="E1471" s="22">
        <v>258.8</v>
      </c>
      <c r="F1471" s="22">
        <v>54986.13</v>
      </c>
    </row>
    <row r="1472" spans="1:6" ht="13.5" customHeight="1" x14ac:dyDescent="0.3">
      <c r="A1472" s="19">
        <v>45524</v>
      </c>
      <c r="B1472" s="20">
        <v>125.45</v>
      </c>
      <c r="C1472" s="20">
        <v>2474.6999999999998</v>
      </c>
      <c r="D1472" s="20">
        <v>163.9</v>
      </c>
      <c r="E1472" s="20">
        <v>259.89999999999998</v>
      </c>
      <c r="F1472" s="20">
        <v>55143.32</v>
      </c>
    </row>
    <row r="1473" spans="1:6" ht="13.5" customHeight="1" x14ac:dyDescent="0.3">
      <c r="A1473" s="21">
        <v>45525</v>
      </c>
      <c r="B1473" s="22">
        <v>127.5</v>
      </c>
      <c r="C1473" s="22">
        <v>2501.0500000000002</v>
      </c>
      <c r="D1473" s="22">
        <v>161.74</v>
      </c>
      <c r="E1473" s="22">
        <v>255.13</v>
      </c>
      <c r="F1473" s="22">
        <v>55449.06</v>
      </c>
    </row>
    <row r="1474" spans="1:6" ht="13.5" customHeight="1" x14ac:dyDescent="0.3">
      <c r="A1474" s="19">
        <v>45526</v>
      </c>
      <c r="B1474" s="20">
        <v>127.2</v>
      </c>
      <c r="C1474" s="20">
        <v>2584.17</v>
      </c>
      <c r="D1474" s="20">
        <v>159.66999999999999</v>
      </c>
      <c r="E1474" s="20">
        <v>256.58</v>
      </c>
      <c r="F1474" s="20">
        <v>55390.400000000001</v>
      </c>
    </row>
    <row r="1475" spans="1:6" ht="13.5" customHeight="1" x14ac:dyDescent="0.3">
      <c r="A1475" s="21">
        <v>45527</v>
      </c>
      <c r="B1475" s="22">
        <v>123.24</v>
      </c>
      <c r="C1475" s="22">
        <v>2615.5100000000002</v>
      </c>
      <c r="D1475" s="22">
        <v>160.36000000000001</v>
      </c>
      <c r="E1475" s="22">
        <v>260.58</v>
      </c>
      <c r="F1475" s="22">
        <v>55360.5</v>
      </c>
    </row>
    <row r="1476" spans="1:6" ht="13.5" customHeight="1" x14ac:dyDescent="0.3">
      <c r="A1476" s="19">
        <v>45530</v>
      </c>
      <c r="B1476" s="20">
        <v>123.34</v>
      </c>
      <c r="C1476" s="20">
        <v>2637.12</v>
      </c>
      <c r="D1476" s="20">
        <v>162.68</v>
      </c>
      <c r="E1476" s="20">
        <v>265.02999999999997</v>
      </c>
      <c r="F1476" s="20">
        <v>54811.88</v>
      </c>
    </row>
    <row r="1477" spans="1:6" ht="13.5" customHeight="1" x14ac:dyDescent="0.3">
      <c r="A1477" s="21">
        <v>45531</v>
      </c>
      <c r="B1477" s="22">
        <v>120.33</v>
      </c>
      <c r="C1477" s="22">
        <v>2662.32</v>
      </c>
      <c r="D1477" s="22">
        <v>162.16</v>
      </c>
      <c r="E1477" s="22">
        <v>266.2</v>
      </c>
      <c r="F1477" s="22">
        <v>54721.07</v>
      </c>
    </row>
    <row r="1478" spans="1:6" ht="13.5" customHeight="1" x14ac:dyDescent="0.3">
      <c r="A1478" s="19">
        <v>45532</v>
      </c>
      <c r="B1478" s="20">
        <v>120</v>
      </c>
      <c r="C1478" s="20">
        <v>2612.6</v>
      </c>
      <c r="D1478" s="20">
        <v>163.5</v>
      </c>
      <c r="E1478" s="20">
        <v>265.04000000000002</v>
      </c>
      <c r="F1478" s="20">
        <v>54338.23</v>
      </c>
    </row>
    <row r="1479" spans="1:6" ht="13.5" customHeight="1" x14ac:dyDescent="0.3">
      <c r="A1479" s="21">
        <v>45533</v>
      </c>
      <c r="B1479" s="22">
        <v>119.94</v>
      </c>
      <c r="C1479" s="22">
        <v>2646.47</v>
      </c>
      <c r="D1479" s="22">
        <v>162.97</v>
      </c>
      <c r="E1479" s="22">
        <v>257.04000000000002</v>
      </c>
      <c r="F1479" s="22">
        <v>53570.99</v>
      </c>
    </row>
    <row r="1480" spans="1:6" ht="13.5" customHeight="1" x14ac:dyDescent="0.3">
      <c r="A1480" s="19">
        <v>45534</v>
      </c>
      <c r="B1480" s="20">
        <v>119.31</v>
      </c>
      <c r="C1480" s="20">
        <v>2691.04</v>
      </c>
      <c r="D1480" s="20">
        <v>161.03</v>
      </c>
      <c r="E1480" s="20">
        <v>267.76</v>
      </c>
      <c r="F1480" s="20">
        <v>53685.99</v>
      </c>
    </row>
    <row r="1481" spans="1:6" ht="13.5" customHeight="1" x14ac:dyDescent="0.3">
      <c r="A1481" s="21">
        <v>45537</v>
      </c>
      <c r="B1481" s="22">
        <v>116.89</v>
      </c>
      <c r="C1481" s="22">
        <v>2663.57</v>
      </c>
      <c r="D1481" s="22">
        <v>161.13</v>
      </c>
      <c r="E1481" s="22">
        <v>279.07</v>
      </c>
      <c r="F1481" s="22">
        <v>53363.85</v>
      </c>
    </row>
    <row r="1482" spans="1:6" ht="13.5" customHeight="1" x14ac:dyDescent="0.3">
      <c r="A1482" s="19">
        <v>45538</v>
      </c>
      <c r="B1482" s="20">
        <v>115.12</v>
      </c>
      <c r="C1482" s="20">
        <v>2634.97</v>
      </c>
      <c r="D1482" s="20">
        <v>162.16</v>
      </c>
      <c r="E1482" s="20">
        <v>278.70999999999998</v>
      </c>
      <c r="F1482" s="20">
        <v>53506.68</v>
      </c>
    </row>
    <row r="1483" spans="1:6" ht="13.5" customHeight="1" x14ac:dyDescent="0.3">
      <c r="A1483" s="21">
        <v>45539</v>
      </c>
      <c r="B1483" s="22">
        <v>113.81</v>
      </c>
      <c r="C1483" s="22">
        <v>2703.93</v>
      </c>
      <c r="D1483" s="22">
        <v>160.47</v>
      </c>
      <c r="E1483" s="22">
        <v>281.11</v>
      </c>
      <c r="F1483" s="22">
        <v>53353.05</v>
      </c>
    </row>
    <row r="1484" spans="1:6" ht="13.5" customHeight="1" x14ac:dyDescent="0.3">
      <c r="A1484" s="19">
        <v>45540</v>
      </c>
      <c r="B1484" s="20">
        <v>113.46</v>
      </c>
      <c r="C1484" s="20">
        <v>2715.52</v>
      </c>
      <c r="D1484" s="20">
        <v>159.03</v>
      </c>
      <c r="E1484" s="20">
        <v>275.14</v>
      </c>
      <c r="F1484" s="20">
        <v>53677.38</v>
      </c>
    </row>
    <row r="1485" spans="1:6" ht="13.5" customHeight="1" x14ac:dyDescent="0.3">
      <c r="A1485" s="21">
        <v>45541</v>
      </c>
      <c r="B1485" s="22">
        <v>115.52</v>
      </c>
      <c r="C1485" s="22">
        <v>2662.66</v>
      </c>
      <c r="D1485" s="22">
        <v>157.85</v>
      </c>
      <c r="E1485" s="22">
        <v>273.25</v>
      </c>
      <c r="F1485" s="22">
        <v>54573.71</v>
      </c>
    </row>
    <row r="1486" spans="1:6" ht="13.5" customHeight="1" x14ac:dyDescent="0.3">
      <c r="A1486" s="19">
        <v>45544</v>
      </c>
      <c r="B1486" s="20">
        <v>116.69</v>
      </c>
      <c r="C1486" s="20">
        <v>2644.33</v>
      </c>
      <c r="D1486" s="20">
        <v>158.37</v>
      </c>
      <c r="E1486" s="20">
        <v>273.51</v>
      </c>
      <c r="F1486" s="20">
        <v>54919.82</v>
      </c>
    </row>
    <row r="1487" spans="1:6" ht="13.5" customHeight="1" x14ac:dyDescent="0.3">
      <c r="A1487" s="21">
        <v>45545</v>
      </c>
      <c r="B1487" s="22">
        <v>115.96</v>
      </c>
      <c r="C1487" s="22">
        <v>2624.56</v>
      </c>
      <c r="D1487" s="22">
        <v>154.76</v>
      </c>
      <c r="E1487" s="22">
        <v>270.58999999999997</v>
      </c>
      <c r="F1487" s="22">
        <v>54717.31</v>
      </c>
    </row>
    <row r="1488" spans="1:6" ht="13.5" customHeight="1" x14ac:dyDescent="0.3">
      <c r="A1488" s="19">
        <v>45546</v>
      </c>
      <c r="B1488" s="20">
        <v>118.05</v>
      </c>
      <c r="C1488" s="20">
        <v>2623.14</v>
      </c>
      <c r="D1488" s="20">
        <v>155.49</v>
      </c>
      <c r="E1488" s="20">
        <v>279.70999999999998</v>
      </c>
      <c r="F1488" s="20">
        <v>54508.52</v>
      </c>
    </row>
    <row r="1489" spans="1:6" ht="13.5" customHeight="1" x14ac:dyDescent="0.3">
      <c r="A1489" s="21">
        <v>45547</v>
      </c>
      <c r="B1489" s="22">
        <v>115.85</v>
      </c>
      <c r="C1489" s="22">
        <v>2621.33</v>
      </c>
      <c r="D1489" s="22">
        <v>156.19</v>
      </c>
      <c r="E1489" s="22">
        <v>281.49</v>
      </c>
      <c r="F1489" s="22">
        <v>54658.58</v>
      </c>
    </row>
    <row r="1490" spans="1:6" ht="13.5" customHeight="1" x14ac:dyDescent="0.3">
      <c r="A1490" s="19">
        <v>45548</v>
      </c>
      <c r="B1490" s="20">
        <v>116.98</v>
      </c>
      <c r="C1490" s="20">
        <v>2611.37</v>
      </c>
      <c r="D1490" s="20">
        <v>156.76</v>
      </c>
      <c r="E1490" s="20">
        <v>278.32</v>
      </c>
      <c r="F1490" s="20">
        <v>54420.800000000003</v>
      </c>
    </row>
    <row r="1491" spans="1:6" ht="13.5" customHeight="1" x14ac:dyDescent="0.3">
      <c r="A1491" s="21">
        <v>45551</v>
      </c>
      <c r="B1491" s="22">
        <v>116.74</v>
      </c>
      <c r="C1491" s="22">
        <v>2690.02</v>
      </c>
      <c r="D1491" s="22">
        <v>155.43</v>
      </c>
      <c r="E1491" s="22">
        <v>276.3</v>
      </c>
      <c r="F1491" s="22">
        <v>54226.41</v>
      </c>
    </row>
    <row r="1492" spans="1:6" ht="13.5" customHeight="1" x14ac:dyDescent="0.3">
      <c r="A1492" s="19">
        <v>45552</v>
      </c>
      <c r="B1492" s="20">
        <v>117.16</v>
      </c>
      <c r="C1492" s="20">
        <v>2731.11</v>
      </c>
      <c r="D1492" s="20">
        <v>156.18</v>
      </c>
      <c r="E1492" s="20">
        <v>277.70999999999998</v>
      </c>
      <c r="F1492" s="20">
        <v>54950.32</v>
      </c>
    </row>
    <row r="1493" spans="1:6" ht="13.5" customHeight="1" x14ac:dyDescent="0.3">
      <c r="A1493" s="21">
        <v>45553</v>
      </c>
      <c r="B1493" s="22">
        <v>118.23</v>
      </c>
      <c r="C1493" s="22">
        <v>2804.18</v>
      </c>
      <c r="D1493" s="22">
        <v>153.53</v>
      </c>
      <c r="E1493" s="22">
        <v>269.48</v>
      </c>
      <c r="F1493" s="22">
        <v>55148.13</v>
      </c>
    </row>
    <row r="1494" spans="1:6" ht="13.5" customHeight="1" x14ac:dyDescent="0.3">
      <c r="A1494" s="19">
        <v>45554</v>
      </c>
      <c r="B1494" s="20">
        <v>117.16</v>
      </c>
      <c r="C1494" s="20">
        <v>2722.03</v>
      </c>
      <c r="D1494" s="20">
        <v>151.75</v>
      </c>
      <c r="E1494" s="20">
        <v>272.07</v>
      </c>
      <c r="F1494" s="20">
        <v>54871.78</v>
      </c>
    </row>
    <row r="1495" spans="1:6" ht="13.5" customHeight="1" x14ac:dyDescent="0.3">
      <c r="A1495" s="21">
        <v>45555</v>
      </c>
      <c r="B1495" s="22">
        <v>118.49</v>
      </c>
      <c r="C1495" s="22">
        <v>2728.99</v>
      </c>
      <c r="D1495" s="22">
        <v>153.72</v>
      </c>
      <c r="E1495" s="22">
        <v>271.99</v>
      </c>
      <c r="F1495" s="22">
        <v>55008.160000000003</v>
      </c>
    </row>
    <row r="1496" spans="1:6" ht="13.5" customHeight="1" x14ac:dyDescent="0.3">
      <c r="A1496" s="19">
        <v>45558</v>
      </c>
      <c r="B1496" s="20">
        <v>118.52</v>
      </c>
      <c r="C1496" s="20">
        <v>2787.16</v>
      </c>
      <c r="D1496" s="20">
        <v>150.56</v>
      </c>
      <c r="E1496" s="20">
        <v>276.74</v>
      </c>
      <c r="F1496" s="20">
        <v>54955.73</v>
      </c>
    </row>
    <row r="1497" spans="1:6" ht="13.5" customHeight="1" x14ac:dyDescent="0.3">
      <c r="A1497" s="21">
        <v>45559</v>
      </c>
      <c r="B1497" s="22">
        <v>122.51</v>
      </c>
      <c r="C1497" s="22">
        <v>2824.48</v>
      </c>
      <c r="D1497" s="22">
        <v>149.09</v>
      </c>
      <c r="E1497" s="22">
        <v>278.73</v>
      </c>
      <c r="F1497" s="22">
        <v>54659.71</v>
      </c>
    </row>
    <row r="1498" spans="1:6" ht="13.5" customHeight="1" x14ac:dyDescent="0.3">
      <c r="A1498" s="19">
        <v>45560</v>
      </c>
      <c r="B1498" s="20">
        <v>122.04</v>
      </c>
      <c r="C1498" s="20">
        <v>2792.32</v>
      </c>
      <c r="D1498" s="20">
        <v>147.79</v>
      </c>
      <c r="E1498" s="20">
        <v>275.42</v>
      </c>
      <c r="F1498" s="20">
        <v>54833.919999999998</v>
      </c>
    </row>
    <row r="1499" spans="1:6" ht="13.5" customHeight="1" x14ac:dyDescent="0.3">
      <c r="A1499" s="21">
        <v>45561</v>
      </c>
      <c r="B1499" s="22">
        <v>124.22</v>
      </c>
      <c r="C1499" s="22">
        <v>2756.74</v>
      </c>
      <c r="D1499" s="22">
        <v>149.37</v>
      </c>
      <c r="E1499" s="22">
        <v>272.07</v>
      </c>
      <c r="F1499" s="22">
        <v>54604.27</v>
      </c>
    </row>
    <row r="1500" spans="1:6" ht="13.5" customHeight="1" x14ac:dyDescent="0.3">
      <c r="A1500" s="19">
        <v>45562</v>
      </c>
      <c r="B1500" s="20">
        <v>125.38</v>
      </c>
      <c r="C1500" s="20">
        <v>2805.07</v>
      </c>
      <c r="D1500" s="20">
        <v>146.04</v>
      </c>
      <c r="E1500" s="20">
        <v>279.33</v>
      </c>
      <c r="F1500" s="20">
        <v>54256.75</v>
      </c>
    </row>
    <row r="1501" spans="1:6" ht="13.5" customHeight="1" x14ac:dyDescent="0.3">
      <c r="A1501" s="21">
        <v>45565</v>
      </c>
      <c r="B1501" s="22">
        <v>123.38</v>
      </c>
      <c r="C1501" s="22">
        <v>2796.22</v>
      </c>
      <c r="D1501" s="22">
        <v>144.74</v>
      </c>
      <c r="E1501" s="22">
        <v>281.72000000000003</v>
      </c>
      <c r="F1501" s="22">
        <v>54715.51</v>
      </c>
    </row>
    <row r="1502" spans="1:6" ht="13.5" customHeight="1" x14ac:dyDescent="0.3">
      <c r="A1502" s="19">
        <v>45566</v>
      </c>
      <c r="B1502" s="20">
        <v>125.74</v>
      </c>
      <c r="C1502" s="20">
        <v>2829.86</v>
      </c>
      <c r="D1502" s="20">
        <v>142.32</v>
      </c>
      <c r="E1502" s="20">
        <v>285.02999999999997</v>
      </c>
      <c r="F1502" s="20">
        <v>54313.63</v>
      </c>
    </row>
    <row r="1503" spans="1:6" ht="13.5" customHeight="1" x14ac:dyDescent="0.3">
      <c r="A1503" s="21">
        <v>45567</v>
      </c>
      <c r="B1503" s="22">
        <v>123.93</v>
      </c>
      <c r="C1503" s="22">
        <v>2839.36</v>
      </c>
      <c r="D1503" s="22">
        <v>146.09</v>
      </c>
      <c r="E1503" s="22">
        <v>288.36</v>
      </c>
      <c r="F1503" s="22">
        <v>55188.72</v>
      </c>
    </row>
    <row r="1504" spans="1:6" ht="13.5" customHeight="1" x14ac:dyDescent="0.3">
      <c r="A1504" s="19">
        <v>45568</v>
      </c>
      <c r="B1504" s="20">
        <v>120.14</v>
      </c>
      <c r="C1504" s="20">
        <v>2835.16</v>
      </c>
      <c r="D1504" s="20">
        <v>145.51</v>
      </c>
      <c r="E1504" s="20">
        <v>288.01</v>
      </c>
      <c r="F1504" s="20">
        <v>54434.32</v>
      </c>
    </row>
    <row r="1505" spans="1:6" ht="13.5" customHeight="1" x14ac:dyDescent="0.3">
      <c r="A1505" s="21">
        <v>45569</v>
      </c>
      <c r="B1505" s="22">
        <v>121.6</v>
      </c>
      <c r="C1505" s="22">
        <v>2842.87</v>
      </c>
      <c r="D1505" s="22">
        <v>144.38</v>
      </c>
      <c r="E1505" s="22">
        <v>282.18</v>
      </c>
      <c r="F1505" s="22">
        <v>54740</v>
      </c>
    </row>
    <row r="1506" spans="1:6" ht="13.5" customHeight="1" x14ac:dyDescent="0.3">
      <c r="A1506" s="19">
        <v>45572</v>
      </c>
      <c r="B1506" s="20">
        <v>123.44</v>
      </c>
      <c r="C1506" s="20">
        <v>2802.97</v>
      </c>
      <c r="D1506" s="20">
        <v>144.69999999999999</v>
      </c>
      <c r="E1506" s="20">
        <v>291.91000000000003</v>
      </c>
      <c r="F1506" s="20">
        <v>55005.120000000003</v>
      </c>
    </row>
    <row r="1507" spans="1:6" ht="13.5" customHeight="1" x14ac:dyDescent="0.3">
      <c r="A1507" s="21">
        <v>45573</v>
      </c>
      <c r="B1507" s="22">
        <v>123.57</v>
      </c>
      <c r="C1507" s="22">
        <v>2888.74</v>
      </c>
      <c r="D1507" s="22">
        <v>146.72</v>
      </c>
      <c r="E1507" s="22">
        <v>290.98</v>
      </c>
      <c r="F1507" s="22">
        <v>55247.22</v>
      </c>
    </row>
    <row r="1508" spans="1:6" ht="13.5" customHeight="1" x14ac:dyDescent="0.3">
      <c r="A1508" s="19">
        <v>45574</v>
      </c>
      <c r="B1508" s="20">
        <v>123.16</v>
      </c>
      <c r="C1508" s="20">
        <v>2918.39</v>
      </c>
      <c r="D1508" s="20">
        <v>141.99</v>
      </c>
      <c r="E1508" s="20">
        <v>298.20999999999998</v>
      </c>
      <c r="F1508" s="20">
        <v>55452.12</v>
      </c>
    </row>
    <row r="1509" spans="1:6" ht="13.5" customHeight="1" x14ac:dyDescent="0.3">
      <c r="A1509" s="21">
        <v>45575</v>
      </c>
      <c r="B1509" s="22">
        <v>125.9</v>
      </c>
      <c r="C1509" s="22">
        <v>2992.16</v>
      </c>
      <c r="D1509" s="22">
        <v>139.63</v>
      </c>
      <c r="E1509" s="22">
        <v>297.83999999999997</v>
      </c>
      <c r="F1509" s="22">
        <v>56040.55</v>
      </c>
    </row>
    <row r="1510" spans="1:6" ht="13.5" customHeight="1" x14ac:dyDescent="0.3">
      <c r="A1510" s="19">
        <v>45576</v>
      </c>
      <c r="B1510" s="20">
        <v>127.18</v>
      </c>
      <c r="C1510" s="20">
        <v>2966.01</v>
      </c>
      <c r="D1510" s="20">
        <v>140.16999999999999</v>
      </c>
      <c r="E1510" s="20">
        <v>304.22000000000003</v>
      </c>
      <c r="F1510" s="20">
        <v>55896.93</v>
      </c>
    </row>
    <row r="1511" spans="1:6" ht="13.5" customHeight="1" x14ac:dyDescent="0.3">
      <c r="A1511" s="21">
        <v>45579</v>
      </c>
      <c r="B1511" s="22">
        <v>126.07</v>
      </c>
      <c r="C1511" s="22">
        <v>2939.5</v>
      </c>
      <c r="D1511" s="22">
        <v>138.83000000000001</v>
      </c>
      <c r="E1511" s="22">
        <v>299.38</v>
      </c>
      <c r="F1511" s="22">
        <v>55679.19</v>
      </c>
    </row>
    <row r="1512" spans="1:6" ht="13.5" customHeight="1" x14ac:dyDescent="0.3">
      <c r="A1512" s="19">
        <v>45580</v>
      </c>
      <c r="B1512" s="20">
        <v>127.38</v>
      </c>
      <c r="C1512" s="20">
        <v>2924.7</v>
      </c>
      <c r="D1512" s="20">
        <v>135.72999999999999</v>
      </c>
      <c r="E1512" s="20">
        <v>292.08</v>
      </c>
      <c r="F1512" s="20">
        <v>55488.480000000003</v>
      </c>
    </row>
    <row r="1513" spans="1:6" ht="13.5" customHeight="1" x14ac:dyDescent="0.3">
      <c r="A1513" s="21">
        <v>45581</v>
      </c>
      <c r="B1513" s="22">
        <v>125.23</v>
      </c>
      <c r="C1513" s="22">
        <v>2881.99</v>
      </c>
      <c r="D1513" s="22">
        <v>134.27000000000001</v>
      </c>
      <c r="E1513" s="22">
        <v>290.68</v>
      </c>
      <c r="F1513" s="22">
        <v>56761.04</v>
      </c>
    </row>
    <row r="1514" spans="1:6" ht="13.5" customHeight="1" x14ac:dyDescent="0.3">
      <c r="A1514" s="19">
        <v>45582</v>
      </c>
      <c r="B1514" s="20">
        <v>124.3</v>
      </c>
      <c r="C1514" s="20">
        <v>2918.18</v>
      </c>
      <c r="D1514" s="20">
        <v>134.66</v>
      </c>
      <c r="E1514" s="20">
        <v>288.16000000000003</v>
      </c>
      <c r="F1514" s="20">
        <v>56111.23</v>
      </c>
    </row>
    <row r="1515" spans="1:6" ht="13.5" customHeight="1" x14ac:dyDescent="0.3">
      <c r="A1515" s="21">
        <v>45583</v>
      </c>
      <c r="B1515" s="22">
        <v>122.53</v>
      </c>
      <c r="C1515" s="22">
        <v>2956.59</v>
      </c>
      <c r="D1515" s="22">
        <v>135.4</v>
      </c>
      <c r="E1515" s="22">
        <v>291.89999999999998</v>
      </c>
      <c r="F1515" s="22">
        <v>56817.98</v>
      </c>
    </row>
    <row r="1516" spans="1:6" ht="13.5" customHeight="1" x14ac:dyDescent="0.3">
      <c r="A1516" s="19">
        <v>45586</v>
      </c>
      <c r="B1516" s="20">
        <v>118.83</v>
      </c>
      <c r="C1516" s="20">
        <v>2931.59</v>
      </c>
      <c r="D1516" s="20">
        <v>139.63</v>
      </c>
      <c r="E1516" s="20">
        <v>293.94</v>
      </c>
      <c r="F1516" s="20">
        <v>56302.99</v>
      </c>
    </row>
    <row r="1517" spans="1:6" ht="13.5" customHeight="1" x14ac:dyDescent="0.3">
      <c r="A1517" s="21">
        <v>45587</v>
      </c>
      <c r="B1517" s="22">
        <v>116.93</v>
      </c>
      <c r="C1517" s="22">
        <v>2916.81</v>
      </c>
      <c r="D1517" s="22">
        <v>136.08000000000001</v>
      </c>
      <c r="E1517" s="22">
        <v>285.49</v>
      </c>
      <c r="F1517" s="22">
        <v>56665.95</v>
      </c>
    </row>
    <row r="1518" spans="1:6" ht="13.5" customHeight="1" x14ac:dyDescent="0.3">
      <c r="A1518" s="19">
        <v>45588</v>
      </c>
      <c r="B1518" s="20">
        <v>118.95</v>
      </c>
      <c r="C1518" s="20">
        <v>2937.92</v>
      </c>
      <c r="D1518" s="20">
        <v>132.96</v>
      </c>
      <c r="E1518" s="20">
        <v>281.62</v>
      </c>
      <c r="F1518" s="20">
        <v>57396.959999999999</v>
      </c>
    </row>
    <row r="1519" spans="1:6" ht="13.5" customHeight="1" x14ac:dyDescent="0.3">
      <c r="A1519" s="21">
        <v>45589</v>
      </c>
      <c r="B1519" s="22">
        <v>117.18</v>
      </c>
      <c r="C1519" s="22">
        <v>2900.67</v>
      </c>
      <c r="D1519" s="22">
        <v>130.49</v>
      </c>
      <c r="E1519" s="22">
        <v>274.31</v>
      </c>
      <c r="F1519" s="22">
        <v>56621.83</v>
      </c>
    </row>
    <row r="1520" spans="1:6" ht="13.5" customHeight="1" x14ac:dyDescent="0.3">
      <c r="A1520" s="19">
        <v>45590</v>
      </c>
      <c r="B1520" s="20">
        <v>116.32</v>
      </c>
      <c r="C1520" s="20">
        <v>2881.45</v>
      </c>
      <c r="D1520" s="20">
        <v>132.54</v>
      </c>
      <c r="E1520" s="20">
        <v>270.56</v>
      </c>
      <c r="F1520" s="20">
        <v>56074.720000000001</v>
      </c>
    </row>
    <row r="1521" spans="1:6" ht="13.5" customHeight="1" x14ac:dyDescent="0.3">
      <c r="A1521" s="21">
        <v>45593</v>
      </c>
      <c r="B1521" s="22">
        <v>114.49</v>
      </c>
      <c r="C1521" s="22">
        <v>2962.48</v>
      </c>
      <c r="D1521" s="22">
        <v>130.72</v>
      </c>
      <c r="E1521" s="22">
        <v>270.20999999999998</v>
      </c>
      <c r="F1521" s="22">
        <v>56648.14</v>
      </c>
    </row>
    <row r="1522" spans="1:6" ht="13.5" customHeight="1" x14ac:dyDescent="0.3">
      <c r="A1522" s="19">
        <v>45594</v>
      </c>
      <c r="B1522" s="20">
        <v>115.9</v>
      </c>
      <c r="C1522" s="20">
        <v>2925.23</v>
      </c>
      <c r="D1522" s="20">
        <v>127.65</v>
      </c>
      <c r="E1522" s="20">
        <v>267.17</v>
      </c>
      <c r="F1522" s="20">
        <v>57440.07</v>
      </c>
    </row>
    <row r="1523" spans="1:6" ht="13.5" customHeight="1" x14ac:dyDescent="0.3">
      <c r="A1523" s="21">
        <v>45595</v>
      </c>
      <c r="B1523" s="22">
        <v>115.93</v>
      </c>
      <c r="C1523" s="22">
        <v>2900.3</v>
      </c>
      <c r="D1523" s="22">
        <v>129.33000000000001</v>
      </c>
      <c r="E1523" s="22">
        <v>273.19</v>
      </c>
      <c r="F1523" s="22">
        <v>57078.11</v>
      </c>
    </row>
    <row r="1524" spans="1:6" ht="13.5" customHeight="1" x14ac:dyDescent="0.3">
      <c r="A1524" s="19">
        <v>45596</v>
      </c>
      <c r="B1524" s="20">
        <v>116.76</v>
      </c>
      <c r="C1524" s="20">
        <v>3030.16</v>
      </c>
      <c r="D1524" s="20">
        <v>127.87</v>
      </c>
      <c r="E1524" s="20">
        <v>275.48</v>
      </c>
      <c r="F1524" s="20">
        <v>58230.239999999998</v>
      </c>
    </row>
    <row r="1525" spans="1:6" ht="13.5" customHeight="1" x14ac:dyDescent="0.3">
      <c r="A1525" s="21">
        <v>45597</v>
      </c>
      <c r="B1525" s="22">
        <v>116.63</v>
      </c>
      <c r="C1525" s="22">
        <v>2918.32</v>
      </c>
      <c r="D1525" s="22">
        <v>130.16999999999999</v>
      </c>
      <c r="E1525" s="22">
        <v>271.19</v>
      </c>
      <c r="F1525" s="22">
        <v>58071.78</v>
      </c>
    </row>
    <row r="1526" spans="1:6" ht="13.5" customHeight="1" x14ac:dyDescent="0.3">
      <c r="A1526" s="19">
        <v>45600</v>
      </c>
      <c r="B1526" s="20">
        <v>114.77</v>
      </c>
      <c r="C1526" s="20">
        <v>2859.09</v>
      </c>
      <c r="D1526" s="20">
        <v>130.66</v>
      </c>
      <c r="E1526" s="20">
        <v>277.92</v>
      </c>
      <c r="F1526" s="20">
        <v>58343.9</v>
      </c>
    </row>
    <row r="1527" spans="1:6" ht="13.5" customHeight="1" x14ac:dyDescent="0.3">
      <c r="A1527" s="21">
        <v>45601</v>
      </c>
      <c r="B1527" s="22">
        <v>113.26</v>
      </c>
      <c r="C1527" s="22">
        <v>2951.43</v>
      </c>
      <c r="D1527" s="22">
        <v>129.35</v>
      </c>
      <c r="E1527" s="22">
        <v>282.83</v>
      </c>
      <c r="F1527" s="22">
        <v>59206.96</v>
      </c>
    </row>
    <row r="1528" spans="1:6" ht="13.5" customHeight="1" x14ac:dyDescent="0.3">
      <c r="A1528" s="19">
        <v>45602</v>
      </c>
      <c r="B1528" s="20">
        <v>114.61</v>
      </c>
      <c r="C1528" s="20">
        <v>2931.87</v>
      </c>
      <c r="D1528" s="20">
        <v>131.22999999999999</v>
      </c>
      <c r="E1528" s="20">
        <v>284.01</v>
      </c>
      <c r="F1528" s="20">
        <v>58731.56</v>
      </c>
    </row>
    <row r="1529" spans="1:6" ht="13.5" customHeight="1" x14ac:dyDescent="0.3">
      <c r="A1529" s="21">
        <v>45603</v>
      </c>
      <c r="B1529" s="22">
        <v>114.55</v>
      </c>
      <c r="C1529" s="22">
        <v>2959.46</v>
      </c>
      <c r="D1529" s="22">
        <v>132.96</v>
      </c>
      <c r="E1529" s="22">
        <v>282.19</v>
      </c>
      <c r="F1529" s="22">
        <v>59861.15</v>
      </c>
    </row>
    <row r="1530" spans="1:6" ht="13.5" customHeight="1" x14ac:dyDescent="0.3">
      <c r="A1530" s="19">
        <v>45604</v>
      </c>
      <c r="B1530" s="20">
        <v>115.82</v>
      </c>
      <c r="C1530" s="20">
        <v>3071.87</v>
      </c>
      <c r="D1530" s="20">
        <v>136.16</v>
      </c>
      <c r="E1530" s="20">
        <v>292.66000000000003</v>
      </c>
      <c r="F1530" s="20">
        <v>59375.6</v>
      </c>
    </row>
    <row r="1531" spans="1:6" ht="13.5" customHeight="1" x14ac:dyDescent="0.3">
      <c r="A1531" s="21">
        <v>45607</v>
      </c>
      <c r="B1531" s="22">
        <v>110.78</v>
      </c>
      <c r="C1531" s="22">
        <v>3034.85</v>
      </c>
      <c r="D1531" s="22">
        <v>135.33000000000001</v>
      </c>
      <c r="E1531" s="22">
        <v>297.20999999999998</v>
      </c>
      <c r="F1531" s="22">
        <v>59332.21</v>
      </c>
    </row>
    <row r="1532" spans="1:6" ht="13.5" customHeight="1" x14ac:dyDescent="0.3">
      <c r="A1532" s="19">
        <v>45608</v>
      </c>
      <c r="B1532" s="20">
        <v>112.52</v>
      </c>
      <c r="C1532" s="20">
        <v>3004.99</v>
      </c>
      <c r="D1532" s="20">
        <v>134.69999999999999</v>
      </c>
      <c r="E1532" s="20">
        <v>291.31</v>
      </c>
      <c r="F1532" s="20">
        <v>59093.11</v>
      </c>
    </row>
    <row r="1533" spans="1:6" ht="13.5" customHeight="1" x14ac:dyDescent="0.3">
      <c r="A1533" s="21">
        <v>45609</v>
      </c>
      <c r="B1533" s="22">
        <v>111.78</v>
      </c>
      <c r="C1533" s="22">
        <v>3028.55</v>
      </c>
      <c r="D1533" s="22">
        <v>137.88</v>
      </c>
      <c r="E1533" s="22">
        <v>292.33999999999997</v>
      </c>
      <c r="F1533" s="22">
        <v>60672.43</v>
      </c>
    </row>
    <row r="1534" spans="1:6" ht="13.5" customHeight="1" x14ac:dyDescent="0.3">
      <c r="A1534" s="19">
        <v>45610</v>
      </c>
      <c r="B1534" s="20">
        <v>115.19</v>
      </c>
      <c r="C1534" s="20">
        <v>3026.3</v>
      </c>
      <c r="D1534" s="20">
        <v>140.35</v>
      </c>
      <c r="E1534" s="20">
        <v>287.88</v>
      </c>
      <c r="F1534" s="20">
        <v>60716</v>
      </c>
    </row>
    <row r="1535" spans="1:6" ht="13.5" customHeight="1" x14ac:dyDescent="0.3">
      <c r="A1535" s="21">
        <v>45611</v>
      </c>
      <c r="B1535" s="22">
        <v>114.41</v>
      </c>
      <c r="C1535" s="22">
        <v>3000.08</v>
      </c>
      <c r="D1535" s="22">
        <v>140.97</v>
      </c>
      <c r="E1535" s="22">
        <v>292.88</v>
      </c>
      <c r="F1535" s="22">
        <v>61335.65</v>
      </c>
    </row>
    <row r="1536" spans="1:6" ht="13.5" customHeight="1" x14ac:dyDescent="0.3">
      <c r="A1536" s="19">
        <v>45614</v>
      </c>
      <c r="B1536" s="20">
        <v>114.49</v>
      </c>
      <c r="C1536" s="20">
        <v>2994.81</v>
      </c>
      <c r="D1536" s="20">
        <v>139.13999999999999</v>
      </c>
      <c r="E1536" s="20">
        <v>287.33</v>
      </c>
      <c r="F1536" s="20">
        <v>62174.26</v>
      </c>
    </row>
    <row r="1537" spans="1:6" ht="13.5" customHeight="1" x14ac:dyDescent="0.3">
      <c r="A1537" s="21">
        <v>45615</v>
      </c>
      <c r="B1537" s="22">
        <v>115.57</v>
      </c>
      <c r="C1537" s="22">
        <v>2926.44</v>
      </c>
      <c r="D1537" s="22">
        <v>136.9</v>
      </c>
      <c r="E1537" s="22">
        <v>284.01</v>
      </c>
      <c r="F1537" s="22">
        <v>61896.69</v>
      </c>
    </row>
    <row r="1538" spans="1:6" ht="13.5" customHeight="1" x14ac:dyDescent="0.3">
      <c r="A1538" s="19">
        <v>45616</v>
      </c>
      <c r="B1538" s="20">
        <v>114.21</v>
      </c>
      <c r="C1538" s="20">
        <v>2952.22</v>
      </c>
      <c r="D1538" s="20">
        <v>133.87</v>
      </c>
      <c r="E1538" s="20">
        <v>280.83</v>
      </c>
      <c r="F1538" s="20">
        <v>62550.36</v>
      </c>
    </row>
    <row r="1539" spans="1:6" ht="13.5" customHeight="1" x14ac:dyDescent="0.3">
      <c r="A1539" s="21">
        <v>45617</v>
      </c>
      <c r="B1539" s="22">
        <v>115.62</v>
      </c>
      <c r="C1539" s="22">
        <v>2997.43</v>
      </c>
      <c r="D1539" s="22">
        <v>131.83000000000001</v>
      </c>
      <c r="E1539" s="22">
        <v>283.51</v>
      </c>
      <c r="F1539" s="22">
        <v>62349.81</v>
      </c>
    </row>
    <row r="1540" spans="1:6" ht="13.5" customHeight="1" x14ac:dyDescent="0.3">
      <c r="A1540" s="19">
        <v>45618</v>
      </c>
      <c r="B1540" s="20">
        <v>114.63</v>
      </c>
      <c r="C1540" s="20">
        <v>2990.68</v>
      </c>
      <c r="D1540" s="20">
        <v>131.46</v>
      </c>
      <c r="E1540" s="20">
        <v>278.02</v>
      </c>
      <c r="F1540" s="20">
        <v>61151.53</v>
      </c>
    </row>
    <row r="1541" spans="1:6" ht="13.5" customHeight="1" x14ac:dyDescent="0.3">
      <c r="A1541" s="21">
        <v>45621</v>
      </c>
      <c r="B1541" s="22">
        <v>116.71</v>
      </c>
      <c r="C1541" s="22">
        <v>2980.66</v>
      </c>
      <c r="D1541" s="22">
        <v>129.04</v>
      </c>
      <c r="E1541" s="22">
        <v>278.2</v>
      </c>
      <c r="F1541" s="22">
        <v>60916.88</v>
      </c>
    </row>
    <row r="1542" spans="1:6" ht="13.5" customHeight="1" x14ac:dyDescent="0.3">
      <c r="A1542" s="19">
        <v>45622</v>
      </c>
      <c r="B1542" s="20">
        <v>118.03</v>
      </c>
      <c r="C1542" s="20">
        <v>3011.28</v>
      </c>
      <c r="D1542" s="20">
        <v>130.56</v>
      </c>
      <c r="E1542" s="20">
        <v>267.02</v>
      </c>
      <c r="F1542" s="20">
        <v>60973.47</v>
      </c>
    </row>
    <row r="1543" spans="1:6" ht="13.5" customHeight="1" x14ac:dyDescent="0.3">
      <c r="A1543" s="21">
        <v>45623</v>
      </c>
      <c r="B1543" s="22">
        <v>118.88</v>
      </c>
      <c r="C1543" s="22">
        <v>2984.49</v>
      </c>
      <c r="D1543" s="22">
        <v>125.31</v>
      </c>
      <c r="E1543" s="22">
        <v>271.44</v>
      </c>
      <c r="F1543" s="22">
        <v>59449.2</v>
      </c>
    </row>
    <row r="1544" spans="1:6" ht="13.5" customHeight="1" x14ac:dyDescent="0.3">
      <c r="A1544" s="19">
        <v>45624</v>
      </c>
      <c r="B1544" s="20">
        <v>117.72</v>
      </c>
      <c r="C1544" s="20">
        <v>2970.04</v>
      </c>
      <c r="D1544" s="20">
        <v>123.78</v>
      </c>
      <c r="E1544" s="20">
        <v>257.79000000000002</v>
      </c>
      <c r="F1544" s="20">
        <v>58668.14</v>
      </c>
    </row>
    <row r="1545" spans="1:6" ht="13.5" customHeight="1" x14ac:dyDescent="0.3">
      <c r="A1545" s="21">
        <v>45625</v>
      </c>
      <c r="B1545" s="22">
        <v>117.42</v>
      </c>
      <c r="C1545" s="22">
        <v>2968.23</v>
      </c>
      <c r="D1545" s="22">
        <v>122.5</v>
      </c>
      <c r="E1545" s="22">
        <v>258.77999999999997</v>
      </c>
      <c r="F1545" s="22">
        <v>58637.54</v>
      </c>
    </row>
    <row r="1546" spans="1:6" ht="13.5" customHeight="1" x14ac:dyDescent="0.3">
      <c r="A1546" s="19">
        <v>45628</v>
      </c>
      <c r="B1546" s="20">
        <v>117.94</v>
      </c>
      <c r="C1546" s="20">
        <v>3047.06</v>
      </c>
      <c r="D1546" s="20">
        <v>123.72</v>
      </c>
      <c r="E1546" s="20">
        <v>260.12</v>
      </c>
      <c r="F1546" s="20">
        <v>58943.38</v>
      </c>
    </row>
    <row r="1547" spans="1:6" ht="13.5" customHeight="1" x14ac:dyDescent="0.3">
      <c r="A1547" s="21">
        <v>45629</v>
      </c>
      <c r="B1547" s="22">
        <v>114.66</v>
      </c>
      <c r="C1547" s="22">
        <v>3046.23</v>
      </c>
      <c r="D1547" s="22">
        <v>124.79</v>
      </c>
      <c r="E1547" s="22">
        <v>257.79000000000002</v>
      </c>
      <c r="F1547" s="22">
        <v>59387.68</v>
      </c>
    </row>
    <row r="1548" spans="1:6" ht="13.5" customHeight="1" x14ac:dyDescent="0.3">
      <c r="A1548" s="19">
        <v>45630</v>
      </c>
      <c r="B1548" s="20">
        <v>113.82</v>
      </c>
      <c r="C1548" s="20">
        <v>3041.93</v>
      </c>
      <c r="D1548" s="20">
        <v>122.42</v>
      </c>
      <c r="E1548" s="20">
        <v>263.27</v>
      </c>
      <c r="F1548" s="20">
        <v>59394.879999999997</v>
      </c>
    </row>
    <row r="1549" spans="1:6" ht="13.5" customHeight="1" x14ac:dyDescent="0.3">
      <c r="A1549" s="21">
        <v>45631</v>
      </c>
      <c r="B1549" s="22">
        <v>115.33</v>
      </c>
      <c r="C1549" s="22">
        <v>3034.94</v>
      </c>
      <c r="D1549" s="22">
        <v>122.91</v>
      </c>
      <c r="E1549" s="22">
        <v>269.01</v>
      </c>
      <c r="F1549" s="22">
        <v>58972.95</v>
      </c>
    </row>
    <row r="1550" spans="1:6" ht="13.5" customHeight="1" x14ac:dyDescent="0.3">
      <c r="A1550" s="19">
        <v>45632</v>
      </c>
      <c r="B1550" s="20">
        <v>113.34</v>
      </c>
      <c r="C1550" s="20">
        <v>3016.2</v>
      </c>
      <c r="D1550" s="20">
        <v>120.94</v>
      </c>
      <c r="E1550" s="20">
        <v>274.60000000000002</v>
      </c>
      <c r="F1550" s="20">
        <v>59381.83</v>
      </c>
    </row>
    <row r="1551" spans="1:6" ht="13.5" customHeight="1" x14ac:dyDescent="0.3">
      <c r="A1551" s="21">
        <v>45635</v>
      </c>
      <c r="B1551" s="22">
        <v>115.39</v>
      </c>
      <c r="C1551" s="22">
        <v>2966.66</v>
      </c>
      <c r="D1551" s="22">
        <v>121.54</v>
      </c>
      <c r="E1551" s="22">
        <v>280.61</v>
      </c>
      <c r="F1551" s="22">
        <v>58483.98</v>
      </c>
    </row>
    <row r="1552" spans="1:6" ht="13.5" customHeight="1" x14ac:dyDescent="0.3">
      <c r="A1552" s="19">
        <v>45636</v>
      </c>
      <c r="B1552" s="20">
        <v>114.42</v>
      </c>
      <c r="C1552" s="20">
        <v>2920.33</v>
      </c>
      <c r="D1552" s="20">
        <v>119.25</v>
      </c>
      <c r="E1552" s="20">
        <v>282.48</v>
      </c>
      <c r="F1552" s="20">
        <v>58974.47</v>
      </c>
    </row>
    <row r="1553" spans="1:6" ht="13.5" customHeight="1" x14ac:dyDescent="0.3">
      <c r="A1553" s="21">
        <v>45637</v>
      </c>
      <c r="B1553" s="22">
        <v>114.97</v>
      </c>
      <c r="C1553" s="22">
        <v>2966.39</v>
      </c>
      <c r="D1553" s="22">
        <v>119.54</v>
      </c>
      <c r="E1553" s="22">
        <v>280.58999999999997</v>
      </c>
      <c r="F1553" s="22">
        <v>57977.21</v>
      </c>
    </row>
    <row r="1554" spans="1:6" ht="13.5" customHeight="1" x14ac:dyDescent="0.3">
      <c r="A1554" s="19">
        <v>45638</v>
      </c>
      <c r="B1554" s="20">
        <v>113.18</v>
      </c>
      <c r="C1554" s="20">
        <v>2938.38</v>
      </c>
      <c r="D1554" s="20">
        <v>122.35</v>
      </c>
      <c r="E1554" s="20">
        <v>282.12</v>
      </c>
      <c r="F1554" s="20">
        <v>58598.96</v>
      </c>
    </row>
    <row r="1555" spans="1:6" ht="13.5" customHeight="1" x14ac:dyDescent="0.3">
      <c r="A1555" s="21">
        <v>45639</v>
      </c>
      <c r="B1555" s="22">
        <v>113.97</v>
      </c>
      <c r="C1555" s="22">
        <v>2944.91</v>
      </c>
      <c r="D1555" s="22">
        <v>126.33</v>
      </c>
      <c r="E1555" s="22">
        <v>288.13</v>
      </c>
      <c r="F1555" s="22">
        <v>58020.99</v>
      </c>
    </row>
    <row r="1556" spans="1:6" ht="13.5" customHeight="1" x14ac:dyDescent="0.3">
      <c r="A1556" s="19">
        <v>45642</v>
      </c>
      <c r="B1556" s="20">
        <v>114.74</v>
      </c>
      <c r="C1556" s="20">
        <v>2921.93</v>
      </c>
      <c r="D1556" s="20">
        <v>128.55000000000001</v>
      </c>
      <c r="E1556" s="20">
        <v>287.98</v>
      </c>
      <c r="F1556" s="20">
        <v>59066.85</v>
      </c>
    </row>
    <row r="1557" spans="1:6" ht="13.5" customHeight="1" x14ac:dyDescent="0.3">
      <c r="A1557" s="21">
        <v>45643</v>
      </c>
      <c r="B1557" s="22">
        <v>116.58</v>
      </c>
      <c r="C1557" s="22">
        <v>2855.23</v>
      </c>
      <c r="D1557" s="22">
        <v>126.51</v>
      </c>
      <c r="E1557" s="22">
        <v>275.05</v>
      </c>
      <c r="F1557" s="22">
        <v>58802.37</v>
      </c>
    </row>
    <row r="1558" spans="1:6" ht="13.5" customHeight="1" x14ac:dyDescent="0.3">
      <c r="A1558" s="19">
        <v>45644</v>
      </c>
      <c r="B1558" s="20">
        <v>118.81</v>
      </c>
      <c r="C1558" s="20">
        <v>2833.52</v>
      </c>
      <c r="D1558" s="20">
        <v>125.53</v>
      </c>
      <c r="E1558" s="20">
        <v>266.45</v>
      </c>
      <c r="F1558" s="20">
        <v>58410.91</v>
      </c>
    </row>
    <row r="1559" spans="1:6" ht="13.5" customHeight="1" x14ac:dyDescent="0.3">
      <c r="A1559" s="21">
        <v>45645</v>
      </c>
      <c r="B1559" s="22">
        <v>120.91</v>
      </c>
      <c r="C1559" s="22">
        <v>2905.02</v>
      </c>
      <c r="D1559" s="22">
        <v>123.73</v>
      </c>
      <c r="E1559" s="22">
        <v>275.66000000000003</v>
      </c>
      <c r="F1559" s="22">
        <v>57754.44</v>
      </c>
    </row>
    <row r="1560" spans="1:6" ht="13.5" customHeight="1" x14ac:dyDescent="0.3">
      <c r="A1560" s="19">
        <v>45646</v>
      </c>
      <c r="B1560" s="20">
        <v>121.3</v>
      </c>
      <c r="C1560" s="20">
        <v>2885.51</v>
      </c>
      <c r="D1560" s="20">
        <v>122.59</v>
      </c>
      <c r="E1560" s="20">
        <v>271.5</v>
      </c>
      <c r="F1560" s="20">
        <v>58150.62</v>
      </c>
    </row>
    <row r="1561" spans="1:6" ht="13.5" customHeight="1" x14ac:dyDescent="0.3">
      <c r="A1561" s="21">
        <v>45649</v>
      </c>
      <c r="B1561" s="22">
        <v>119.27</v>
      </c>
      <c r="C1561" s="22">
        <v>2852.8</v>
      </c>
      <c r="D1561" s="22">
        <v>119.26</v>
      </c>
      <c r="E1561" s="22">
        <v>268.5</v>
      </c>
      <c r="F1561" s="22">
        <v>57376.55</v>
      </c>
    </row>
    <row r="1562" spans="1:6" ht="13.5" customHeight="1" x14ac:dyDescent="0.3">
      <c r="A1562" s="19">
        <v>45650</v>
      </c>
      <c r="B1562" s="20">
        <v>121.5</v>
      </c>
      <c r="C1562" s="20">
        <v>2832.97</v>
      </c>
      <c r="D1562" s="20">
        <v>118.13</v>
      </c>
      <c r="E1562" s="20">
        <v>273.42</v>
      </c>
      <c r="F1562" s="20">
        <v>57228.08</v>
      </c>
    </row>
    <row r="1563" spans="1:6" ht="13.5" customHeight="1" x14ac:dyDescent="0.3">
      <c r="A1563" s="21">
        <v>45651</v>
      </c>
      <c r="B1563" s="22">
        <v>119.34</v>
      </c>
      <c r="C1563" s="22">
        <v>2817.94</v>
      </c>
      <c r="D1563" s="22">
        <v>120.25</v>
      </c>
      <c r="E1563" s="22">
        <v>278.18</v>
      </c>
      <c r="F1563" s="22">
        <v>57525.88</v>
      </c>
    </row>
    <row r="1564" spans="1:6" ht="13.5" customHeight="1" x14ac:dyDescent="0.3">
      <c r="A1564" s="19">
        <v>45652</v>
      </c>
      <c r="B1564" s="20">
        <v>118.65</v>
      </c>
      <c r="C1564" s="20">
        <v>2830.97</v>
      </c>
      <c r="D1564" s="20">
        <v>124.53</v>
      </c>
      <c r="E1564" s="20">
        <v>281.25</v>
      </c>
      <c r="F1564" s="20">
        <v>56967.26</v>
      </c>
    </row>
    <row r="1565" spans="1:6" ht="13.5" customHeight="1" x14ac:dyDescent="0.3">
      <c r="A1565" s="21">
        <v>45653</v>
      </c>
      <c r="B1565" s="22">
        <v>119.9</v>
      </c>
      <c r="C1565" s="22">
        <v>2812.1</v>
      </c>
      <c r="D1565" s="22">
        <v>125.44</v>
      </c>
      <c r="E1565" s="22">
        <v>282.14999999999998</v>
      </c>
      <c r="F1565" s="22">
        <v>56397.05</v>
      </c>
    </row>
    <row r="1566" spans="1:6" ht="13.5" customHeight="1" x14ac:dyDescent="0.3">
      <c r="A1566" s="19">
        <v>45656</v>
      </c>
      <c r="B1566" s="20">
        <v>120.68</v>
      </c>
      <c r="C1566" s="20">
        <v>2808.93</v>
      </c>
      <c r="D1566" s="20">
        <v>125.89</v>
      </c>
      <c r="E1566" s="20">
        <v>270.97000000000003</v>
      </c>
      <c r="F1566" s="20">
        <v>56091.15</v>
      </c>
    </row>
    <row r="1567" spans="1:6" ht="13.5" customHeight="1" x14ac:dyDescent="0.3">
      <c r="A1567" s="21">
        <v>45657</v>
      </c>
      <c r="B1567" s="22">
        <v>123.38</v>
      </c>
      <c r="C1567" s="22">
        <v>2786.28</v>
      </c>
      <c r="D1567" s="22">
        <v>127.27</v>
      </c>
      <c r="E1567" s="22">
        <v>282.45999999999998</v>
      </c>
      <c r="F1567" s="22">
        <v>55247.839999999997</v>
      </c>
    </row>
    <row r="1568" spans="1:6" ht="13.5" customHeight="1" x14ac:dyDescent="0.3">
      <c r="A1568" s="19">
        <v>45658</v>
      </c>
      <c r="B1568" s="20">
        <v>123.41</v>
      </c>
      <c r="C1568" s="20">
        <v>2805.51</v>
      </c>
      <c r="D1568" s="20">
        <v>124.15</v>
      </c>
      <c r="E1568" s="20">
        <v>280.57</v>
      </c>
      <c r="F1568" s="20">
        <v>54814.76</v>
      </c>
    </row>
    <row r="1569" spans="1:6" ht="13.5" customHeight="1" x14ac:dyDescent="0.3">
      <c r="A1569" s="21">
        <v>45659</v>
      </c>
      <c r="B1569" s="22">
        <v>120.56</v>
      </c>
      <c r="C1569" s="22">
        <v>2822.58</v>
      </c>
      <c r="D1569" s="22">
        <v>122.55</v>
      </c>
      <c r="E1569" s="22">
        <v>286.48</v>
      </c>
      <c r="F1569" s="22">
        <v>54823.89</v>
      </c>
    </row>
    <row r="1570" spans="1:6" ht="13.5" customHeight="1" x14ac:dyDescent="0.3">
      <c r="A1570" s="19">
        <v>45660</v>
      </c>
      <c r="B1570" s="20">
        <v>120.14</v>
      </c>
      <c r="C1570" s="20">
        <v>2834.8</v>
      </c>
      <c r="D1570" s="20">
        <v>124.15</v>
      </c>
      <c r="E1570" s="20">
        <v>287.39</v>
      </c>
      <c r="F1570" s="20">
        <v>53874.74</v>
      </c>
    </row>
    <row r="1571" spans="1:6" ht="13.5" customHeight="1" x14ac:dyDescent="0.3">
      <c r="A1571" s="21">
        <v>45663</v>
      </c>
      <c r="B1571" s="22">
        <v>120.47</v>
      </c>
      <c r="C1571" s="22">
        <v>2868.15</v>
      </c>
      <c r="D1571" s="22">
        <v>123.75</v>
      </c>
      <c r="E1571" s="22">
        <v>284.62</v>
      </c>
      <c r="F1571" s="22">
        <v>53898.28</v>
      </c>
    </row>
    <row r="1572" spans="1:6" ht="13.5" customHeight="1" x14ac:dyDescent="0.3">
      <c r="A1572" s="19">
        <v>45664</v>
      </c>
      <c r="B1572" s="20">
        <v>119.92</v>
      </c>
      <c r="C1572" s="20">
        <v>2864.83</v>
      </c>
      <c r="D1572" s="20">
        <v>123.08</v>
      </c>
      <c r="E1572" s="20">
        <v>283.32</v>
      </c>
      <c r="F1572" s="20">
        <v>53963.63</v>
      </c>
    </row>
    <row r="1573" spans="1:6" ht="13.5" customHeight="1" x14ac:dyDescent="0.3">
      <c r="A1573" s="21">
        <v>45665</v>
      </c>
      <c r="B1573" s="22">
        <v>122.31</v>
      </c>
      <c r="C1573" s="22">
        <v>2927.83</v>
      </c>
      <c r="D1573" s="22">
        <v>124.78</v>
      </c>
      <c r="E1573" s="22">
        <v>282.55</v>
      </c>
      <c r="F1573" s="22">
        <v>54096.65</v>
      </c>
    </row>
    <row r="1574" spans="1:6" ht="13.5" customHeight="1" x14ac:dyDescent="0.3">
      <c r="A1574" s="19">
        <v>45666</v>
      </c>
      <c r="B1574" s="20">
        <v>121.93</v>
      </c>
      <c r="C1574" s="20">
        <v>2953.65</v>
      </c>
      <c r="D1574" s="20">
        <v>121.08</v>
      </c>
      <c r="E1574" s="20">
        <v>291.5</v>
      </c>
      <c r="F1574" s="20">
        <v>54111.6</v>
      </c>
    </row>
    <row r="1575" spans="1:6" ht="13.5" customHeight="1" x14ac:dyDescent="0.3">
      <c r="A1575" s="21">
        <v>45667</v>
      </c>
      <c r="B1575" s="22">
        <v>119.54</v>
      </c>
      <c r="C1575" s="22">
        <v>3032.92</v>
      </c>
      <c r="D1575" s="22">
        <v>123.36</v>
      </c>
      <c r="E1575" s="22">
        <v>284.51</v>
      </c>
      <c r="F1575" s="22">
        <v>52690.81</v>
      </c>
    </row>
    <row r="1576" spans="1:6" ht="13.5" customHeight="1" x14ac:dyDescent="0.3">
      <c r="A1576" s="19">
        <v>45670</v>
      </c>
      <c r="B1576" s="20">
        <v>120.35</v>
      </c>
      <c r="C1576" s="20">
        <v>3030.46</v>
      </c>
      <c r="D1576" s="20">
        <v>121.83</v>
      </c>
      <c r="E1576" s="20">
        <v>286.77999999999997</v>
      </c>
      <c r="F1576" s="20">
        <v>52170.92</v>
      </c>
    </row>
    <row r="1577" spans="1:6" ht="13.5" customHeight="1" x14ac:dyDescent="0.3">
      <c r="A1577" s="21">
        <v>45671</v>
      </c>
      <c r="B1577" s="22">
        <v>118.47</v>
      </c>
      <c r="C1577" s="22">
        <v>3046.81</v>
      </c>
      <c r="D1577" s="22">
        <v>122.96</v>
      </c>
      <c r="E1577" s="22">
        <v>296.70999999999998</v>
      </c>
      <c r="F1577" s="22">
        <v>52371.82</v>
      </c>
    </row>
    <row r="1578" spans="1:6" ht="13.5" customHeight="1" x14ac:dyDescent="0.3">
      <c r="A1578" s="19">
        <v>45672</v>
      </c>
      <c r="B1578" s="20">
        <v>121.3</v>
      </c>
      <c r="C1578" s="20">
        <v>3011.96</v>
      </c>
      <c r="D1578" s="20">
        <v>123.01</v>
      </c>
      <c r="E1578" s="20">
        <v>293.99</v>
      </c>
      <c r="F1578" s="20">
        <v>52291.29</v>
      </c>
    </row>
    <row r="1579" spans="1:6" ht="13.5" customHeight="1" x14ac:dyDescent="0.3">
      <c r="A1579" s="21">
        <v>45673</v>
      </c>
      <c r="B1579" s="22">
        <v>121.8</v>
      </c>
      <c r="C1579" s="22">
        <v>3014.59</v>
      </c>
      <c r="D1579" s="22">
        <v>124.47</v>
      </c>
      <c r="E1579" s="22">
        <v>294.33</v>
      </c>
      <c r="F1579" s="22">
        <v>51636.41</v>
      </c>
    </row>
    <row r="1580" spans="1:6" ht="13.5" customHeight="1" x14ac:dyDescent="0.3">
      <c r="A1580" s="19">
        <v>45674</v>
      </c>
      <c r="B1580" s="20">
        <v>119.47</v>
      </c>
      <c r="C1580" s="20">
        <v>3059.88</v>
      </c>
      <c r="D1580" s="20">
        <v>126.46</v>
      </c>
      <c r="E1580" s="20">
        <v>287.94</v>
      </c>
      <c r="F1580" s="20">
        <v>52578.239999999998</v>
      </c>
    </row>
    <row r="1581" spans="1:6" ht="13.5" customHeight="1" x14ac:dyDescent="0.3">
      <c r="A1581" s="21">
        <v>45677</v>
      </c>
      <c r="B1581" s="22">
        <v>121.29</v>
      </c>
      <c r="C1581" s="22">
        <v>3041.97</v>
      </c>
      <c r="D1581" s="22">
        <v>124.5</v>
      </c>
      <c r="E1581" s="22">
        <v>297.02999999999997</v>
      </c>
      <c r="F1581" s="22">
        <v>53335.15</v>
      </c>
    </row>
    <row r="1582" spans="1:6" ht="13.5" customHeight="1" x14ac:dyDescent="0.3">
      <c r="A1582" s="19">
        <v>45678</v>
      </c>
      <c r="B1582" s="20">
        <v>125.31</v>
      </c>
      <c r="C1582" s="20">
        <v>3123.85</v>
      </c>
      <c r="D1582" s="20">
        <v>126.19</v>
      </c>
      <c r="E1582" s="20">
        <v>290.81</v>
      </c>
      <c r="F1582" s="20">
        <v>52523.73</v>
      </c>
    </row>
    <row r="1583" spans="1:6" ht="13.5" customHeight="1" x14ac:dyDescent="0.3">
      <c r="A1583" s="21">
        <v>45679</v>
      </c>
      <c r="B1583" s="22">
        <v>121.87</v>
      </c>
      <c r="C1583" s="22">
        <v>3127.12</v>
      </c>
      <c r="D1583" s="22">
        <v>127.25</v>
      </c>
      <c r="E1583" s="22">
        <v>294.5</v>
      </c>
      <c r="F1583" s="22">
        <v>52450.39</v>
      </c>
    </row>
    <row r="1584" spans="1:6" ht="13.5" customHeight="1" x14ac:dyDescent="0.3">
      <c r="A1584" s="19">
        <v>45680</v>
      </c>
      <c r="B1584" s="20">
        <v>123.43</v>
      </c>
      <c r="C1584" s="20">
        <v>3216.3</v>
      </c>
      <c r="D1584" s="20">
        <v>130.15</v>
      </c>
      <c r="E1584" s="20">
        <v>283.69</v>
      </c>
      <c r="F1584" s="20">
        <v>52787.95</v>
      </c>
    </row>
    <row r="1585" spans="1:6" ht="13.5" customHeight="1" x14ac:dyDescent="0.3">
      <c r="A1585" s="21">
        <v>45681</v>
      </c>
      <c r="B1585" s="22">
        <v>124.3</v>
      </c>
      <c r="C1585" s="22">
        <v>3158.72</v>
      </c>
      <c r="D1585" s="22">
        <v>129.12</v>
      </c>
      <c r="E1585" s="22">
        <v>279.2</v>
      </c>
      <c r="F1585" s="22">
        <v>53773.51</v>
      </c>
    </row>
    <row r="1586" spans="1:6" ht="13.5" customHeight="1" x14ac:dyDescent="0.3">
      <c r="A1586" s="19">
        <v>45684</v>
      </c>
      <c r="B1586" s="20">
        <v>124.64</v>
      </c>
      <c r="C1586" s="20">
        <v>3145.17</v>
      </c>
      <c r="D1586" s="20">
        <v>131.59</v>
      </c>
      <c r="E1586" s="20">
        <v>280.51</v>
      </c>
      <c r="F1586" s="20">
        <v>52494.99</v>
      </c>
    </row>
    <row r="1587" spans="1:6" ht="13.5" customHeight="1" x14ac:dyDescent="0.3">
      <c r="A1587" s="21">
        <v>45685</v>
      </c>
      <c r="B1587" s="22">
        <v>125.28</v>
      </c>
      <c r="C1587" s="22">
        <v>3119.51</v>
      </c>
      <c r="D1587" s="22">
        <v>133.15</v>
      </c>
      <c r="E1587" s="22">
        <v>274.74</v>
      </c>
      <c r="F1587" s="22">
        <v>52892.65</v>
      </c>
    </row>
    <row r="1588" spans="1:6" ht="13.5" customHeight="1" x14ac:dyDescent="0.3">
      <c r="A1588" s="19">
        <v>45686</v>
      </c>
      <c r="B1588" s="20">
        <v>126.17</v>
      </c>
      <c r="C1588" s="20">
        <v>3176.98</v>
      </c>
      <c r="D1588" s="20">
        <v>132.28</v>
      </c>
      <c r="E1588" s="20">
        <v>273.55</v>
      </c>
      <c r="F1588" s="20">
        <v>52679.08</v>
      </c>
    </row>
    <row r="1589" spans="1:6" ht="13.5" customHeight="1" x14ac:dyDescent="0.3">
      <c r="A1589" s="21">
        <v>45687</v>
      </c>
      <c r="B1589" s="22">
        <v>125</v>
      </c>
      <c r="C1589" s="22">
        <v>3214.85</v>
      </c>
      <c r="D1589" s="22">
        <v>134.41</v>
      </c>
      <c r="E1589" s="22">
        <v>266.75</v>
      </c>
      <c r="F1589" s="22">
        <v>52793.03</v>
      </c>
    </row>
    <row r="1590" spans="1:6" ht="13.5" customHeight="1" x14ac:dyDescent="0.3">
      <c r="A1590" s="19">
        <v>45688</v>
      </c>
      <c r="B1590" s="20">
        <v>127.48</v>
      </c>
      <c r="C1590" s="20">
        <v>3212.43</v>
      </c>
      <c r="D1590" s="20">
        <v>133.68</v>
      </c>
      <c r="E1590" s="20">
        <v>267.32</v>
      </c>
      <c r="F1590" s="20">
        <v>52632.69</v>
      </c>
    </row>
    <row r="1591" spans="1:6" ht="13.5" customHeight="1" x14ac:dyDescent="0.3">
      <c r="A1591" s="21">
        <v>45691</v>
      </c>
      <c r="B1591" s="22">
        <v>125.14</v>
      </c>
      <c r="C1591" s="22">
        <v>3188.51</v>
      </c>
      <c r="D1591" s="22">
        <v>135.65</v>
      </c>
      <c r="E1591" s="22">
        <v>261.48</v>
      </c>
      <c r="F1591" s="22">
        <v>53640.72</v>
      </c>
    </row>
    <row r="1592" spans="1:6" ht="13.5" customHeight="1" x14ac:dyDescent="0.3">
      <c r="A1592" s="19">
        <v>45692</v>
      </c>
      <c r="B1592" s="20">
        <v>128.58000000000001</v>
      </c>
      <c r="C1592" s="20">
        <v>3188.9</v>
      </c>
      <c r="D1592" s="20">
        <v>135.49</v>
      </c>
      <c r="E1592" s="20">
        <v>256.36</v>
      </c>
      <c r="F1592" s="20">
        <v>54844.84</v>
      </c>
    </row>
    <row r="1593" spans="1:6" ht="13.5" customHeight="1" x14ac:dyDescent="0.3">
      <c r="A1593" s="21">
        <v>45693</v>
      </c>
      <c r="B1593" s="22">
        <v>131.34</v>
      </c>
      <c r="C1593" s="22">
        <v>3231.56</v>
      </c>
      <c r="D1593" s="22">
        <v>135.78</v>
      </c>
      <c r="E1593" s="22">
        <v>257.77</v>
      </c>
      <c r="F1593" s="22">
        <v>54691.72</v>
      </c>
    </row>
    <row r="1594" spans="1:6" ht="13.5" customHeight="1" x14ac:dyDescent="0.3">
      <c r="A1594" s="19">
        <v>45694</v>
      </c>
      <c r="B1594" s="20">
        <v>129.22</v>
      </c>
      <c r="C1594" s="20">
        <v>3281.12</v>
      </c>
      <c r="D1594" s="20">
        <v>135.97999999999999</v>
      </c>
      <c r="E1594" s="20">
        <v>248.62</v>
      </c>
      <c r="F1594" s="20">
        <v>54132.56</v>
      </c>
    </row>
    <row r="1595" spans="1:6" ht="13.5" customHeight="1" x14ac:dyDescent="0.3">
      <c r="A1595" s="21">
        <v>45695</v>
      </c>
      <c r="B1595" s="22">
        <v>129.25</v>
      </c>
      <c r="C1595" s="22">
        <v>3279.62</v>
      </c>
      <c r="D1595" s="22">
        <v>138.19999999999999</v>
      </c>
      <c r="E1595" s="22">
        <v>251.7</v>
      </c>
      <c r="F1595" s="22">
        <v>55718.96</v>
      </c>
    </row>
    <row r="1596" spans="1:6" ht="13.5" customHeight="1" x14ac:dyDescent="0.3">
      <c r="A1596" s="19">
        <v>45698</v>
      </c>
      <c r="B1596" s="20">
        <v>131.84</v>
      </c>
      <c r="C1596" s="20">
        <v>3255.71</v>
      </c>
      <c r="D1596" s="20">
        <v>138.07</v>
      </c>
      <c r="E1596" s="20">
        <v>247.94</v>
      </c>
      <c r="F1596" s="20">
        <v>56008.34</v>
      </c>
    </row>
    <row r="1597" spans="1:6" ht="13.5" customHeight="1" x14ac:dyDescent="0.3">
      <c r="A1597" s="21">
        <v>45699</v>
      </c>
      <c r="B1597" s="22">
        <v>130.97999999999999</v>
      </c>
      <c r="C1597" s="22">
        <v>3263.51</v>
      </c>
      <c r="D1597" s="22">
        <v>139.38999999999999</v>
      </c>
      <c r="E1597" s="22">
        <v>255.54</v>
      </c>
      <c r="F1597" s="22">
        <v>55344.84</v>
      </c>
    </row>
    <row r="1598" spans="1:6" ht="13.5" customHeight="1" x14ac:dyDescent="0.3">
      <c r="A1598" s="19">
        <v>45700</v>
      </c>
      <c r="B1598" s="20">
        <v>130.72999999999999</v>
      </c>
      <c r="C1598" s="20">
        <v>3272.89</v>
      </c>
      <c r="D1598" s="20">
        <v>140.76</v>
      </c>
      <c r="E1598" s="20">
        <v>253.12</v>
      </c>
      <c r="F1598" s="20">
        <v>56068.76</v>
      </c>
    </row>
    <row r="1599" spans="1:6" ht="13.5" customHeight="1" x14ac:dyDescent="0.3">
      <c r="A1599" s="21">
        <v>45701</v>
      </c>
      <c r="B1599" s="22">
        <v>130.04</v>
      </c>
      <c r="C1599" s="22">
        <v>3289.42</v>
      </c>
      <c r="D1599" s="22">
        <v>138.91</v>
      </c>
      <c r="E1599" s="22">
        <v>249.02</v>
      </c>
      <c r="F1599" s="22">
        <v>55959.06</v>
      </c>
    </row>
    <row r="1600" spans="1:6" ht="13.5" customHeight="1" x14ac:dyDescent="0.3">
      <c r="A1600" s="19">
        <v>45702</v>
      </c>
      <c r="B1600" s="20">
        <v>132.19</v>
      </c>
      <c r="C1600" s="20">
        <v>3265.07</v>
      </c>
      <c r="D1600" s="20">
        <v>140.99</v>
      </c>
      <c r="E1600" s="20">
        <v>249.65</v>
      </c>
      <c r="F1600" s="20">
        <v>55767.040000000001</v>
      </c>
    </row>
    <row r="1601" spans="1:6" ht="13.5" customHeight="1" x14ac:dyDescent="0.3">
      <c r="A1601" s="21">
        <v>45705</v>
      </c>
      <c r="B1601" s="22">
        <v>131.11000000000001</v>
      </c>
      <c r="C1601" s="22">
        <v>3367.24</v>
      </c>
      <c r="D1601" s="22">
        <v>144.31</v>
      </c>
      <c r="E1601" s="22">
        <v>254.47</v>
      </c>
      <c r="F1601" s="22">
        <v>56454.54</v>
      </c>
    </row>
    <row r="1602" spans="1:6" ht="13.5" customHeight="1" x14ac:dyDescent="0.3">
      <c r="A1602" s="19">
        <v>45706</v>
      </c>
      <c r="B1602" s="20">
        <v>131.13999999999999</v>
      </c>
      <c r="C1602" s="20">
        <v>3331.9</v>
      </c>
      <c r="D1602" s="20">
        <v>145.53</v>
      </c>
      <c r="E1602" s="20">
        <v>242.88</v>
      </c>
      <c r="F1602" s="20">
        <v>55370.91</v>
      </c>
    </row>
    <row r="1603" spans="1:6" ht="13.5" customHeight="1" x14ac:dyDescent="0.3">
      <c r="A1603" s="21">
        <v>45707</v>
      </c>
      <c r="B1603" s="22">
        <v>132.16</v>
      </c>
      <c r="C1603" s="22">
        <v>3422.77</v>
      </c>
      <c r="D1603" s="22">
        <v>146.52000000000001</v>
      </c>
      <c r="E1603" s="22">
        <v>240.05</v>
      </c>
      <c r="F1603" s="22">
        <v>55978.559999999998</v>
      </c>
    </row>
    <row r="1604" spans="1:6" ht="13.5" customHeight="1" x14ac:dyDescent="0.3">
      <c r="A1604" s="19">
        <v>45708</v>
      </c>
      <c r="B1604" s="20">
        <v>131.82</v>
      </c>
      <c r="C1604" s="20">
        <v>3508.95</v>
      </c>
      <c r="D1604" s="20">
        <v>144.61000000000001</v>
      </c>
      <c r="E1604" s="20">
        <v>245.87</v>
      </c>
      <c r="F1604" s="20">
        <v>56112.639999999999</v>
      </c>
    </row>
    <row r="1605" spans="1:6" ht="13.5" customHeight="1" x14ac:dyDescent="0.3">
      <c r="A1605" s="21">
        <v>45709</v>
      </c>
      <c r="B1605" s="22">
        <v>130.28</v>
      </c>
      <c r="C1605" s="22">
        <v>3569.66</v>
      </c>
      <c r="D1605" s="22">
        <v>147.6</v>
      </c>
      <c r="E1605" s="22">
        <v>241.16</v>
      </c>
      <c r="F1605" s="22">
        <v>56356.75</v>
      </c>
    </row>
    <row r="1606" spans="1:6" ht="13.5" customHeight="1" x14ac:dyDescent="0.3">
      <c r="A1606" s="19">
        <v>45712</v>
      </c>
      <c r="B1606" s="20">
        <v>127.9</v>
      </c>
      <c r="C1606" s="20">
        <v>3689.78</v>
      </c>
      <c r="D1606" s="20">
        <v>144.1</v>
      </c>
      <c r="E1606" s="20">
        <v>235.71</v>
      </c>
      <c r="F1606" s="20">
        <v>56498.75</v>
      </c>
    </row>
    <row r="1607" spans="1:6" ht="13.5" customHeight="1" x14ac:dyDescent="0.3">
      <c r="A1607" s="21">
        <v>45713</v>
      </c>
      <c r="B1607" s="22">
        <v>125.25</v>
      </c>
      <c r="C1607" s="22">
        <v>3728.15</v>
      </c>
      <c r="D1607" s="22">
        <v>144.47999999999999</v>
      </c>
      <c r="E1607" s="22">
        <v>228.74</v>
      </c>
      <c r="F1607" s="22">
        <v>55453.69</v>
      </c>
    </row>
    <row r="1608" spans="1:6" ht="13.5" customHeight="1" x14ac:dyDescent="0.3">
      <c r="A1608" s="19">
        <v>45714</v>
      </c>
      <c r="B1608" s="20">
        <v>123.24</v>
      </c>
      <c r="C1608" s="20">
        <v>3709.54</v>
      </c>
      <c r="D1608" s="20">
        <v>148.07</v>
      </c>
      <c r="E1608" s="20">
        <v>227.35</v>
      </c>
      <c r="F1608" s="20">
        <v>54988.04</v>
      </c>
    </row>
    <row r="1609" spans="1:6" ht="13.5" customHeight="1" x14ac:dyDescent="0.3">
      <c r="A1609" s="21">
        <v>45715</v>
      </c>
      <c r="B1609" s="22">
        <v>120.34</v>
      </c>
      <c r="C1609" s="22">
        <v>3677.53</v>
      </c>
      <c r="D1609" s="22">
        <v>146.52000000000001</v>
      </c>
      <c r="E1609" s="22">
        <v>222.06</v>
      </c>
      <c r="F1609" s="22">
        <v>55240.85</v>
      </c>
    </row>
    <row r="1610" spans="1:6" ht="13.5" customHeight="1" x14ac:dyDescent="0.3">
      <c r="A1610" s="19">
        <v>45716</v>
      </c>
      <c r="B1610" s="20">
        <v>119.17</v>
      </c>
      <c r="C1610" s="20">
        <v>3636.18</v>
      </c>
      <c r="D1610" s="20">
        <v>147.82</v>
      </c>
      <c r="E1610" s="20">
        <v>224.05</v>
      </c>
      <c r="F1610" s="20">
        <v>55581.79</v>
      </c>
    </row>
    <row r="1611" spans="1:6" ht="13.5" customHeight="1" x14ac:dyDescent="0.3">
      <c r="A1611" s="21">
        <v>45719</v>
      </c>
      <c r="B1611" s="22">
        <v>119.7</v>
      </c>
      <c r="C1611" s="22">
        <v>3692.05</v>
      </c>
      <c r="D1611" s="22">
        <v>146.19</v>
      </c>
      <c r="E1611" s="22">
        <v>217.8</v>
      </c>
      <c r="F1611" s="22">
        <v>55559.29</v>
      </c>
    </row>
    <row r="1612" spans="1:6" ht="13.5" customHeight="1" x14ac:dyDescent="0.3">
      <c r="A1612" s="19">
        <v>45720</v>
      </c>
      <c r="B1612" s="20">
        <v>119.83</v>
      </c>
      <c r="C1612" s="20">
        <v>3597.83</v>
      </c>
      <c r="D1612" s="20">
        <v>147.76</v>
      </c>
      <c r="E1612" s="20">
        <v>215.94</v>
      </c>
      <c r="F1612" s="20">
        <v>54533.86</v>
      </c>
    </row>
    <row r="1613" spans="1:6" ht="13.5" customHeight="1" x14ac:dyDescent="0.3">
      <c r="A1613" s="21">
        <v>45721</v>
      </c>
      <c r="B1613" s="22">
        <v>118.5</v>
      </c>
      <c r="C1613" s="22">
        <v>3509.71</v>
      </c>
      <c r="D1613" s="22">
        <v>144.53</v>
      </c>
      <c r="E1613" s="22">
        <v>215.26</v>
      </c>
      <c r="F1613" s="22">
        <v>54387.63</v>
      </c>
    </row>
    <row r="1614" spans="1:6" ht="13.5" customHeight="1" x14ac:dyDescent="0.3">
      <c r="A1614" s="19">
        <v>45722</v>
      </c>
      <c r="B1614" s="20">
        <v>116.86</v>
      </c>
      <c r="C1614" s="20">
        <v>3606.67</v>
      </c>
      <c r="D1614" s="20">
        <v>143.65</v>
      </c>
      <c r="E1614" s="20">
        <v>212.88</v>
      </c>
      <c r="F1614" s="20">
        <v>53913.65</v>
      </c>
    </row>
    <row r="1615" spans="1:6" ht="13.5" customHeight="1" x14ac:dyDescent="0.3">
      <c r="A1615" s="21">
        <v>45723</v>
      </c>
      <c r="B1615" s="22">
        <v>115.29</v>
      </c>
      <c r="C1615" s="22">
        <v>3673.25</v>
      </c>
      <c r="D1615" s="22">
        <v>142.26</v>
      </c>
      <c r="E1615" s="22">
        <v>212.02</v>
      </c>
      <c r="F1615" s="22">
        <v>53461.83</v>
      </c>
    </row>
    <row r="1616" spans="1:6" ht="13.5" customHeight="1" x14ac:dyDescent="0.3">
      <c r="A1616" s="19">
        <v>45726</v>
      </c>
      <c r="B1616" s="20">
        <v>113.11</v>
      </c>
      <c r="C1616" s="20">
        <v>3702.28</v>
      </c>
      <c r="D1616" s="20">
        <v>142.55000000000001</v>
      </c>
      <c r="E1616" s="20">
        <v>208.27</v>
      </c>
      <c r="F1616" s="20">
        <v>53771.14</v>
      </c>
    </row>
    <row r="1617" spans="1:6" ht="13.5" customHeight="1" x14ac:dyDescent="0.3">
      <c r="A1617" s="21">
        <v>45727</v>
      </c>
      <c r="B1617" s="22">
        <v>111.21</v>
      </c>
      <c r="C1617" s="22">
        <v>3764.78</v>
      </c>
      <c r="D1617" s="22">
        <v>138.78</v>
      </c>
      <c r="E1617" s="22">
        <v>204.86</v>
      </c>
      <c r="F1617" s="22">
        <v>53974.559999999998</v>
      </c>
    </row>
    <row r="1618" spans="1:6" ht="13.5" customHeight="1" x14ac:dyDescent="0.3">
      <c r="A1618" s="19">
        <v>45728</v>
      </c>
      <c r="B1618" s="20">
        <v>112.34</v>
      </c>
      <c r="C1618" s="20">
        <v>3818.44</v>
      </c>
      <c r="D1618" s="20">
        <v>142.13</v>
      </c>
      <c r="E1618" s="20">
        <v>209.72</v>
      </c>
      <c r="F1618" s="20">
        <v>53068.66</v>
      </c>
    </row>
    <row r="1619" spans="1:6" ht="13.5" customHeight="1" x14ac:dyDescent="0.3">
      <c r="A1619" s="21">
        <v>45729</v>
      </c>
      <c r="B1619" s="22">
        <v>110.19</v>
      </c>
      <c r="C1619" s="22">
        <v>3808.13</v>
      </c>
      <c r="D1619" s="22">
        <v>142.88</v>
      </c>
      <c r="E1619" s="22">
        <v>211.5</v>
      </c>
      <c r="F1619" s="22">
        <v>53007.4</v>
      </c>
    </row>
    <row r="1620" spans="1:6" ht="13.5" customHeight="1" x14ac:dyDescent="0.3">
      <c r="A1620" s="19">
        <v>45730</v>
      </c>
      <c r="B1620" s="20">
        <v>110.25</v>
      </c>
      <c r="C1620" s="20">
        <v>3711.75</v>
      </c>
      <c r="D1620" s="20">
        <v>141.84</v>
      </c>
      <c r="E1620" s="20">
        <v>213.28</v>
      </c>
      <c r="F1620" s="20">
        <v>53366.95</v>
      </c>
    </row>
    <row r="1621" spans="1:6" ht="13.5" customHeight="1" x14ac:dyDescent="0.3">
      <c r="A1621" s="21">
        <v>45733</v>
      </c>
      <c r="B1621" s="22">
        <v>109.34</v>
      </c>
      <c r="C1621" s="22">
        <v>3797.96</v>
      </c>
      <c r="D1621" s="22">
        <v>145.22</v>
      </c>
      <c r="E1621" s="22">
        <v>217.64</v>
      </c>
      <c r="F1621" s="22">
        <v>53499.5</v>
      </c>
    </row>
    <row r="1622" spans="1:6" ht="13.5" customHeight="1" x14ac:dyDescent="0.3">
      <c r="A1622" s="19">
        <v>45734</v>
      </c>
      <c r="B1622" s="20">
        <v>113.06</v>
      </c>
      <c r="C1622" s="20">
        <v>3830.11</v>
      </c>
      <c r="D1622" s="20">
        <v>145.22999999999999</v>
      </c>
      <c r="E1622" s="20">
        <v>219.4</v>
      </c>
      <c r="F1622" s="20">
        <v>53413.32</v>
      </c>
    </row>
    <row r="1623" spans="1:6" ht="13.5" customHeight="1" x14ac:dyDescent="0.3">
      <c r="A1623" s="21">
        <v>45735</v>
      </c>
      <c r="B1623" s="22">
        <v>110.28</v>
      </c>
      <c r="C1623" s="22">
        <v>3739.42</v>
      </c>
      <c r="D1623" s="22">
        <v>145.87</v>
      </c>
      <c r="E1623" s="22">
        <v>218.24</v>
      </c>
      <c r="F1623" s="22">
        <v>53437.49</v>
      </c>
    </row>
    <row r="1624" spans="1:6" ht="13.5" customHeight="1" x14ac:dyDescent="0.3">
      <c r="A1624" s="19">
        <v>45736</v>
      </c>
      <c r="B1624" s="20">
        <v>110.61</v>
      </c>
      <c r="C1624" s="20">
        <v>3751.03</v>
      </c>
      <c r="D1624" s="20">
        <v>146.59</v>
      </c>
      <c r="E1624" s="20">
        <v>220.74</v>
      </c>
      <c r="F1624" s="20">
        <v>52739.78</v>
      </c>
    </row>
    <row r="1625" spans="1:6" ht="13.5" customHeight="1" x14ac:dyDescent="0.3">
      <c r="A1625" s="21">
        <v>45737</v>
      </c>
      <c r="B1625" s="22">
        <v>110.13</v>
      </c>
      <c r="C1625" s="22">
        <v>3722.25</v>
      </c>
      <c r="D1625" s="22">
        <v>150.32</v>
      </c>
      <c r="E1625" s="22">
        <v>219.82</v>
      </c>
      <c r="F1625" s="22">
        <v>53886.79</v>
      </c>
    </row>
    <row r="1626" spans="1:6" ht="13.5" customHeight="1" x14ac:dyDescent="0.3">
      <c r="A1626" s="19">
        <v>45740</v>
      </c>
      <c r="B1626" s="20">
        <v>108.99</v>
      </c>
      <c r="C1626" s="20">
        <v>3716.89</v>
      </c>
      <c r="D1626" s="20">
        <v>150.75</v>
      </c>
      <c r="E1626" s="20">
        <v>227.17</v>
      </c>
      <c r="F1626" s="20">
        <v>53984.87</v>
      </c>
    </row>
    <row r="1627" spans="1:6" ht="13.5" customHeight="1" x14ac:dyDescent="0.3">
      <c r="A1627" s="21">
        <v>45741</v>
      </c>
      <c r="B1627" s="22">
        <v>109.5</v>
      </c>
      <c r="C1627" s="22">
        <v>3697.6</v>
      </c>
      <c r="D1627" s="22">
        <v>148.28</v>
      </c>
      <c r="E1627" s="22">
        <v>228.18</v>
      </c>
      <c r="F1627" s="22">
        <v>53470.95</v>
      </c>
    </row>
    <row r="1628" spans="1:6" ht="13.5" customHeight="1" x14ac:dyDescent="0.3">
      <c r="A1628" s="19">
        <v>45742</v>
      </c>
      <c r="B1628" s="20">
        <v>109.77</v>
      </c>
      <c r="C1628" s="20">
        <v>3735.75</v>
      </c>
      <c r="D1628" s="20">
        <v>148.55000000000001</v>
      </c>
      <c r="E1628" s="20">
        <v>228.49</v>
      </c>
      <c r="F1628" s="20">
        <v>52369.48</v>
      </c>
    </row>
    <row r="1629" spans="1:6" ht="13.5" customHeight="1" x14ac:dyDescent="0.3">
      <c r="A1629" s="21">
        <v>45743</v>
      </c>
      <c r="B1629" s="22">
        <v>108.18</v>
      </c>
      <c r="C1629" s="22">
        <v>3724.24</v>
      </c>
      <c r="D1629" s="22">
        <v>149.59</v>
      </c>
      <c r="E1629" s="22">
        <v>235.34</v>
      </c>
      <c r="F1629" s="22">
        <v>51335.25</v>
      </c>
    </row>
    <row r="1630" spans="1:6" ht="13.5" customHeight="1" x14ac:dyDescent="0.3">
      <c r="A1630" s="19">
        <v>45744</v>
      </c>
      <c r="B1630" s="20">
        <v>108.85</v>
      </c>
      <c r="C1630" s="20">
        <v>3650.59</v>
      </c>
      <c r="D1630" s="20">
        <v>149.59</v>
      </c>
      <c r="E1630" s="20">
        <v>239.12</v>
      </c>
      <c r="F1630" s="20">
        <v>50988.160000000003</v>
      </c>
    </row>
    <row r="1631" spans="1:6" ht="13.5" customHeight="1" x14ac:dyDescent="0.3">
      <c r="A1631" s="21">
        <v>45747</v>
      </c>
      <c r="B1631" s="22">
        <v>109.48</v>
      </c>
      <c r="C1631" s="22">
        <v>3696.1</v>
      </c>
      <c r="D1631" s="22">
        <v>148.11000000000001</v>
      </c>
      <c r="E1631" s="22">
        <v>236.06</v>
      </c>
      <c r="F1631" s="22">
        <v>51602.74</v>
      </c>
    </row>
    <row r="1632" spans="1:6" ht="13.5" customHeight="1" x14ac:dyDescent="0.3">
      <c r="A1632" s="19">
        <v>45748</v>
      </c>
      <c r="B1632" s="20">
        <v>111.5</v>
      </c>
      <c r="C1632" s="20">
        <v>3729.97</v>
      </c>
      <c r="D1632" s="20">
        <v>146.29</v>
      </c>
      <c r="E1632" s="20">
        <v>238.31</v>
      </c>
      <c r="F1632" s="20">
        <v>51285.15</v>
      </c>
    </row>
    <row r="1633" spans="1:6" ht="13.5" customHeight="1" x14ac:dyDescent="0.3">
      <c r="A1633" s="21">
        <v>45749</v>
      </c>
      <c r="B1633" s="22">
        <v>110.59</v>
      </c>
      <c r="C1633" s="22">
        <v>3638.39</v>
      </c>
      <c r="D1633" s="22">
        <v>142.44</v>
      </c>
      <c r="E1633" s="22">
        <v>232.66</v>
      </c>
      <c r="F1633" s="22">
        <v>51149.24</v>
      </c>
    </row>
    <row r="1634" spans="1:6" ht="13.5" customHeight="1" x14ac:dyDescent="0.3">
      <c r="A1634" s="19">
        <v>45750</v>
      </c>
      <c r="B1634" s="20">
        <v>112.88</v>
      </c>
      <c r="C1634" s="20">
        <v>3666.81</v>
      </c>
      <c r="D1634" s="20">
        <v>143.57</v>
      </c>
      <c r="E1634" s="20">
        <v>231.68</v>
      </c>
      <c r="F1634" s="20">
        <v>50578.37</v>
      </c>
    </row>
    <row r="1635" spans="1:6" ht="13.5" customHeight="1" x14ac:dyDescent="0.3">
      <c r="A1635" s="21">
        <v>45751</v>
      </c>
      <c r="B1635" s="22">
        <v>112.61</v>
      </c>
      <c r="C1635" s="22">
        <v>3726.4</v>
      </c>
      <c r="D1635" s="22">
        <v>141.74</v>
      </c>
      <c r="E1635" s="22">
        <v>232.56</v>
      </c>
      <c r="F1635" s="22">
        <v>51448.9</v>
      </c>
    </row>
    <row r="1636" spans="1:6" ht="13.5" customHeight="1" x14ac:dyDescent="0.3">
      <c r="A1636" s="19">
        <v>45754</v>
      </c>
      <c r="B1636" s="20">
        <v>109.56</v>
      </c>
      <c r="C1636" s="20">
        <v>3718.6</v>
      </c>
      <c r="D1636" s="20">
        <v>140.36000000000001</v>
      </c>
      <c r="E1636" s="20">
        <v>233.29</v>
      </c>
      <c r="F1636" s="20">
        <v>52774.81</v>
      </c>
    </row>
    <row r="1637" spans="1:6" ht="13.5" customHeight="1" x14ac:dyDescent="0.3">
      <c r="A1637" s="21">
        <v>45755</v>
      </c>
      <c r="B1637" s="22">
        <v>110.39</v>
      </c>
      <c r="C1637" s="22">
        <v>3733.12</v>
      </c>
      <c r="D1637" s="22">
        <v>141.55000000000001</v>
      </c>
      <c r="E1637" s="22">
        <v>232.67</v>
      </c>
      <c r="F1637" s="22">
        <v>51156.11</v>
      </c>
    </row>
    <row r="1638" spans="1:6" ht="13.5" customHeight="1" x14ac:dyDescent="0.3">
      <c r="A1638" s="19">
        <v>45756</v>
      </c>
      <c r="B1638" s="20">
        <v>110.3</v>
      </c>
      <c r="C1638" s="20">
        <v>3685.01</v>
      </c>
      <c r="D1638" s="20">
        <v>144.01</v>
      </c>
      <c r="E1638" s="20">
        <v>228.58</v>
      </c>
      <c r="F1638" s="20">
        <v>50958.63</v>
      </c>
    </row>
    <row r="1639" spans="1:6" ht="13.5" customHeight="1" x14ac:dyDescent="0.3">
      <c r="A1639" s="21">
        <v>45757</v>
      </c>
      <c r="B1639" s="22">
        <v>108.99</v>
      </c>
      <c r="C1639" s="22">
        <v>3573.46</v>
      </c>
      <c r="D1639" s="22">
        <v>141.72</v>
      </c>
      <c r="E1639" s="22">
        <v>230.41</v>
      </c>
      <c r="F1639" s="22">
        <v>51258.53</v>
      </c>
    </row>
    <row r="1640" spans="1:6" ht="13.5" customHeight="1" x14ac:dyDescent="0.3">
      <c r="A1640" s="19">
        <v>45758</v>
      </c>
      <c r="B1640" s="20">
        <v>110.43</v>
      </c>
      <c r="C1640" s="20">
        <v>3608.47</v>
      </c>
      <c r="D1640" s="20">
        <v>140.99</v>
      </c>
      <c r="E1640" s="20">
        <v>232.94</v>
      </c>
      <c r="F1640" s="20">
        <v>51560.67</v>
      </c>
    </row>
    <row r="1641" spans="1:6" ht="13.5" customHeight="1" x14ac:dyDescent="0.3">
      <c r="A1641" s="21">
        <v>45761</v>
      </c>
      <c r="B1641" s="22">
        <v>109.74</v>
      </c>
      <c r="C1641" s="22">
        <v>3605.03</v>
      </c>
      <c r="D1641" s="22">
        <v>140.16999999999999</v>
      </c>
      <c r="E1641" s="22">
        <v>230.08</v>
      </c>
      <c r="F1641" s="22">
        <v>51277.82</v>
      </c>
    </row>
    <row r="1642" spans="1:6" ht="13.5" customHeight="1" x14ac:dyDescent="0.3">
      <c r="A1642" s="19">
        <v>45762</v>
      </c>
      <c r="B1642" s="20">
        <v>111.32</v>
      </c>
      <c r="C1642" s="20">
        <v>3634.49</v>
      </c>
      <c r="D1642" s="20">
        <v>141.34</v>
      </c>
      <c r="E1642" s="20">
        <v>230.09</v>
      </c>
      <c r="F1642" s="20">
        <v>51018.15</v>
      </c>
    </row>
    <row r="1643" spans="1:6" ht="13.5" customHeight="1" x14ac:dyDescent="0.3">
      <c r="A1643" s="21">
        <v>45763</v>
      </c>
      <c r="B1643" s="22">
        <v>111.23</v>
      </c>
      <c r="C1643" s="22">
        <v>3621.6</v>
      </c>
      <c r="D1643" s="22">
        <v>139.08000000000001</v>
      </c>
      <c r="E1643" s="22">
        <v>232.35</v>
      </c>
      <c r="F1643" s="22">
        <v>51423.92</v>
      </c>
    </row>
    <row r="1644" spans="1:6" ht="13.5" customHeight="1" x14ac:dyDescent="0.3">
      <c r="A1644" s="19">
        <v>45764</v>
      </c>
      <c r="B1644" s="20">
        <v>112.42</v>
      </c>
      <c r="C1644" s="20">
        <v>3607.13</v>
      </c>
      <c r="D1644" s="20">
        <v>137.38</v>
      </c>
      <c r="E1644" s="20">
        <v>234.62</v>
      </c>
      <c r="F1644" s="20">
        <v>52325.05</v>
      </c>
    </row>
    <row r="1645" spans="1:6" ht="13.5" customHeight="1" x14ac:dyDescent="0.3">
      <c r="A1645" s="21">
        <v>45765</v>
      </c>
      <c r="B1645" s="22">
        <v>113.52</v>
      </c>
      <c r="C1645" s="22">
        <v>3619.6</v>
      </c>
      <c r="D1645" s="22">
        <v>138.35</v>
      </c>
      <c r="E1645" s="22">
        <v>236.3</v>
      </c>
      <c r="F1645" s="22">
        <v>51282.69</v>
      </c>
    </row>
    <row r="1646" spans="1:6" ht="13.5" customHeight="1" x14ac:dyDescent="0.3">
      <c r="A1646" s="19">
        <v>45768</v>
      </c>
      <c r="B1646" s="20">
        <v>114.3</v>
      </c>
      <c r="C1646" s="20">
        <v>3617.71</v>
      </c>
      <c r="D1646" s="20">
        <v>137.09</v>
      </c>
      <c r="E1646" s="20">
        <v>238.54</v>
      </c>
      <c r="F1646" s="20">
        <v>50894.59</v>
      </c>
    </row>
    <row r="1647" spans="1:6" ht="13.5" customHeight="1" x14ac:dyDescent="0.3">
      <c r="A1647" s="21">
        <v>45769</v>
      </c>
      <c r="B1647" s="22">
        <v>112.7</v>
      </c>
      <c r="C1647" s="22">
        <v>3675.14</v>
      </c>
      <c r="D1647" s="22">
        <v>134.91999999999999</v>
      </c>
      <c r="E1647" s="22">
        <v>241.37</v>
      </c>
      <c r="F1647" s="22">
        <v>51176.25</v>
      </c>
    </row>
    <row r="1648" spans="1:6" ht="13.5" customHeight="1" x14ac:dyDescent="0.3">
      <c r="A1648" s="19">
        <v>45770</v>
      </c>
      <c r="B1648" s="20">
        <v>114.17</v>
      </c>
      <c r="C1648" s="20">
        <v>3649.85</v>
      </c>
      <c r="D1648" s="20">
        <v>134.94999999999999</v>
      </c>
      <c r="E1648" s="20">
        <v>244.79</v>
      </c>
      <c r="F1648" s="20">
        <v>50598.38</v>
      </c>
    </row>
    <row r="1649" spans="1:6" ht="13.5" customHeight="1" x14ac:dyDescent="0.3">
      <c r="A1649" s="21">
        <v>45771</v>
      </c>
      <c r="B1649" s="22">
        <v>114.24</v>
      </c>
      <c r="C1649" s="22">
        <v>3559.04</v>
      </c>
      <c r="D1649" s="22">
        <v>133.06</v>
      </c>
      <c r="E1649" s="22">
        <v>247.02</v>
      </c>
      <c r="F1649" s="22">
        <v>50298.51</v>
      </c>
    </row>
    <row r="1650" spans="1:6" ht="13.5" customHeight="1" x14ac:dyDescent="0.3">
      <c r="A1650" s="19">
        <v>45772</v>
      </c>
      <c r="B1650" s="20">
        <v>117.45</v>
      </c>
      <c r="C1650" s="20">
        <v>3570.2</v>
      </c>
      <c r="D1650" s="20">
        <v>132.54</v>
      </c>
      <c r="E1650" s="20">
        <v>244.76</v>
      </c>
      <c r="F1650" s="20">
        <v>51070.25</v>
      </c>
    </row>
    <row r="1651" spans="1:6" ht="13.5" customHeight="1" x14ac:dyDescent="0.3">
      <c r="A1651" s="21">
        <v>45775</v>
      </c>
      <c r="B1651" s="22">
        <v>118.27</v>
      </c>
      <c r="C1651" s="22">
        <v>3490.26</v>
      </c>
      <c r="D1651" s="22">
        <v>135.27000000000001</v>
      </c>
      <c r="E1651" s="22">
        <v>246.43</v>
      </c>
      <c r="F1651" s="22">
        <v>51250.65</v>
      </c>
    </row>
    <row r="1652" spans="1:6" ht="13.5" customHeight="1" x14ac:dyDescent="0.3">
      <c r="A1652" s="19">
        <v>45776</v>
      </c>
      <c r="B1652" s="20">
        <v>119.53</v>
      </c>
      <c r="C1652" s="20">
        <v>3336.34</v>
      </c>
      <c r="D1652" s="20">
        <v>134.94</v>
      </c>
      <c r="E1652" s="20">
        <v>243.44</v>
      </c>
      <c r="F1652" s="20">
        <v>50960.45</v>
      </c>
    </row>
    <row r="1653" spans="1:6" ht="13.5" customHeight="1" x14ac:dyDescent="0.3">
      <c r="A1653" s="21">
        <v>45777</v>
      </c>
      <c r="B1653" s="22">
        <v>118.31</v>
      </c>
      <c r="C1653" s="22">
        <v>3273.79</v>
      </c>
      <c r="D1653" s="22">
        <v>134.71</v>
      </c>
      <c r="E1653" s="22">
        <v>240.87</v>
      </c>
      <c r="F1653" s="22">
        <v>51252.79</v>
      </c>
    </row>
    <row r="1654" spans="1:6" ht="13.5" customHeight="1" x14ac:dyDescent="0.3">
      <c r="A1654" s="19">
        <v>45778</v>
      </c>
      <c r="B1654" s="20">
        <v>117.68</v>
      </c>
      <c r="C1654" s="20">
        <v>3250.41</v>
      </c>
      <c r="D1654" s="20">
        <v>133.76</v>
      </c>
      <c r="E1654" s="20">
        <v>242.54</v>
      </c>
      <c r="F1654" s="20">
        <v>50479.46</v>
      </c>
    </row>
    <row r="1655" spans="1:6" ht="13.5" customHeight="1" x14ac:dyDescent="0.3">
      <c r="A1655" s="21">
        <v>45779</v>
      </c>
      <c r="B1655" s="22">
        <v>117.87</v>
      </c>
      <c r="C1655" s="22">
        <v>3206.71</v>
      </c>
      <c r="D1655" s="22">
        <v>130.61000000000001</v>
      </c>
      <c r="E1655" s="22">
        <v>242.93</v>
      </c>
      <c r="F1655" s="22">
        <v>50590.81</v>
      </c>
    </row>
    <row r="1656" spans="1:6" ht="13.5" customHeight="1" x14ac:dyDescent="0.3">
      <c r="A1656" s="19">
        <v>45782</v>
      </c>
      <c r="B1656" s="20">
        <v>116</v>
      </c>
      <c r="C1656" s="20">
        <v>3121.7</v>
      </c>
      <c r="D1656" s="20">
        <v>131.03</v>
      </c>
      <c r="E1656" s="20">
        <v>239.93</v>
      </c>
      <c r="F1656" s="20">
        <v>50867.27</v>
      </c>
    </row>
    <row r="1657" spans="1:6" ht="13.5" customHeight="1" x14ac:dyDescent="0.3">
      <c r="A1657" s="21">
        <v>45783</v>
      </c>
      <c r="B1657" s="22">
        <v>114.15</v>
      </c>
      <c r="C1657" s="22">
        <v>3111.19</v>
      </c>
      <c r="D1657" s="22">
        <v>133.18</v>
      </c>
      <c r="E1657" s="22">
        <v>242.59</v>
      </c>
      <c r="F1657" s="22">
        <v>51577.78</v>
      </c>
    </row>
    <row r="1658" spans="1:6" ht="13.5" customHeight="1" x14ac:dyDescent="0.3">
      <c r="A1658" s="19">
        <v>45784</v>
      </c>
      <c r="B1658" s="20">
        <v>114.02</v>
      </c>
      <c r="C1658" s="20">
        <v>3179.8</v>
      </c>
      <c r="D1658" s="20">
        <v>135.88</v>
      </c>
      <c r="E1658" s="20">
        <v>239.24</v>
      </c>
      <c r="F1658" s="20">
        <v>51969.65</v>
      </c>
    </row>
    <row r="1659" spans="1:6" ht="13.5" customHeight="1" x14ac:dyDescent="0.3">
      <c r="A1659" s="21">
        <v>45785</v>
      </c>
      <c r="B1659" s="22">
        <v>113.93</v>
      </c>
      <c r="C1659" s="22">
        <v>3228.21</v>
      </c>
      <c r="D1659" s="22">
        <v>142.04</v>
      </c>
      <c r="E1659" s="22">
        <v>241.44</v>
      </c>
      <c r="F1659" s="22">
        <v>52068.39</v>
      </c>
    </row>
    <row r="1660" spans="1:6" ht="13.5" customHeight="1" x14ac:dyDescent="0.3">
      <c r="A1660" s="19">
        <v>45786</v>
      </c>
      <c r="B1660" s="20">
        <v>114.29</v>
      </c>
      <c r="C1660" s="20">
        <v>3230.6</v>
      </c>
      <c r="D1660" s="20">
        <v>141.43</v>
      </c>
      <c r="E1660" s="20">
        <v>235.48</v>
      </c>
      <c r="F1660" s="20">
        <v>51971.31</v>
      </c>
    </row>
    <row r="1661" spans="1:6" ht="13.5" customHeight="1" x14ac:dyDescent="0.3">
      <c r="A1661" s="21">
        <v>45789</v>
      </c>
      <c r="B1661" s="22">
        <v>116.09</v>
      </c>
      <c r="C1661" s="22">
        <v>3285.01</v>
      </c>
      <c r="D1661" s="22">
        <v>141.94</v>
      </c>
      <c r="E1661" s="22">
        <v>241.48</v>
      </c>
      <c r="F1661" s="22">
        <v>51841.94</v>
      </c>
    </row>
    <row r="1662" spans="1:6" ht="13.5" customHeight="1" x14ac:dyDescent="0.3">
      <c r="A1662" s="19">
        <v>45790</v>
      </c>
      <c r="B1662" s="20">
        <v>115.48</v>
      </c>
      <c r="C1662" s="20">
        <v>3261.45</v>
      </c>
      <c r="D1662" s="20">
        <v>139.54</v>
      </c>
      <c r="E1662" s="20">
        <v>243.82</v>
      </c>
      <c r="F1662" s="20">
        <v>52579.65</v>
      </c>
    </row>
    <row r="1663" spans="1:6" ht="13.5" customHeight="1" x14ac:dyDescent="0.3">
      <c r="A1663" s="21">
        <v>45791</v>
      </c>
      <c r="B1663" s="22">
        <v>116.61</v>
      </c>
      <c r="C1663" s="22">
        <v>3212.65</v>
      </c>
      <c r="D1663" s="22">
        <v>143.66</v>
      </c>
      <c r="E1663" s="22">
        <v>246.07</v>
      </c>
      <c r="F1663" s="22">
        <v>53335.59</v>
      </c>
    </row>
    <row r="1664" spans="1:6" ht="13.5" customHeight="1" x14ac:dyDescent="0.3">
      <c r="A1664" s="19">
        <v>45792</v>
      </c>
      <c r="B1664" s="20">
        <v>116.41</v>
      </c>
      <c r="C1664" s="20">
        <v>3253.01</v>
      </c>
      <c r="D1664" s="20">
        <v>145.96</v>
      </c>
      <c r="E1664" s="20">
        <v>246.27</v>
      </c>
      <c r="F1664" s="20">
        <v>53680</v>
      </c>
    </row>
    <row r="1665" spans="1:6" ht="13.5" customHeight="1" x14ac:dyDescent="0.3">
      <c r="A1665" s="21">
        <v>45793</v>
      </c>
      <c r="B1665" s="22">
        <v>116.14</v>
      </c>
      <c r="C1665" s="22">
        <v>3192.78</v>
      </c>
      <c r="D1665" s="22">
        <v>148.22999999999999</v>
      </c>
      <c r="E1665" s="22">
        <v>240.21</v>
      </c>
      <c r="F1665" s="22">
        <v>53720.61</v>
      </c>
    </row>
    <row r="1666" spans="1:6" ht="13.5" customHeight="1" x14ac:dyDescent="0.3">
      <c r="A1666" s="19">
        <v>45796</v>
      </c>
      <c r="B1666" s="20">
        <v>116.59</v>
      </c>
      <c r="C1666" s="20">
        <v>3213.49</v>
      </c>
      <c r="D1666" s="20">
        <v>149.68</v>
      </c>
      <c r="E1666" s="20">
        <v>232.74</v>
      </c>
      <c r="F1666" s="20">
        <v>53216.39</v>
      </c>
    </row>
    <row r="1667" spans="1:6" ht="13.5" customHeight="1" x14ac:dyDescent="0.3">
      <c r="A1667" s="21">
        <v>45797</v>
      </c>
      <c r="B1667" s="22">
        <v>113.28</v>
      </c>
      <c r="C1667" s="22">
        <v>3213.94</v>
      </c>
      <c r="D1667" s="22">
        <v>149.43</v>
      </c>
      <c r="E1667" s="22">
        <v>233.18</v>
      </c>
      <c r="F1667" s="22">
        <v>52419.73</v>
      </c>
    </row>
    <row r="1668" spans="1:6" ht="13.5" customHeight="1" x14ac:dyDescent="0.3">
      <c r="A1668" s="19">
        <v>45798</v>
      </c>
      <c r="B1668" s="20">
        <v>113.42</v>
      </c>
      <c r="C1668" s="20">
        <v>3195.29</v>
      </c>
      <c r="D1668" s="20">
        <v>143.51</v>
      </c>
      <c r="E1668" s="20">
        <v>231.65</v>
      </c>
      <c r="F1668" s="20">
        <v>52167.92</v>
      </c>
    </row>
    <row r="1669" spans="1:6" ht="13.5" customHeight="1" x14ac:dyDescent="0.3">
      <c r="A1669" s="21">
        <v>45799</v>
      </c>
      <c r="B1669" s="22">
        <v>112.46</v>
      </c>
      <c r="C1669" s="22">
        <v>3171.38</v>
      </c>
      <c r="D1669" s="22">
        <v>146.4</v>
      </c>
      <c r="E1669" s="22">
        <v>233.2</v>
      </c>
      <c r="F1669" s="22">
        <v>52645.34</v>
      </c>
    </row>
    <row r="1670" spans="1:6" ht="13.5" customHeight="1" x14ac:dyDescent="0.3">
      <c r="A1670" s="19">
        <v>45800</v>
      </c>
      <c r="B1670" s="20">
        <v>111.04</v>
      </c>
      <c r="C1670" s="20">
        <v>3236.88</v>
      </c>
      <c r="D1670" s="20">
        <v>147.99</v>
      </c>
      <c r="E1670" s="20">
        <v>237.88</v>
      </c>
      <c r="F1670" s="20">
        <v>52759.62</v>
      </c>
    </row>
    <row r="1671" spans="1:6" ht="13.5" customHeight="1" x14ac:dyDescent="0.3">
      <c r="A1671" s="21">
        <v>45803</v>
      </c>
      <c r="B1671" s="22">
        <v>108.18</v>
      </c>
      <c r="C1671" s="22">
        <v>3148.06</v>
      </c>
      <c r="D1671" s="22">
        <v>148.65</v>
      </c>
      <c r="E1671" s="22">
        <v>239.86</v>
      </c>
      <c r="F1671" s="22">
        <v>53541.86</v>
      </c>
    </row>
    <row r="1672" spans="1:6" ht="13.5" customHeight="1" x14ac:dyDescent="0.3">
      <c r="A1672" s="19">
        <v>45804</v>
      </c>
      <c r="B1672" s="20">
        <v>107.55</v>
      </c>
      <c r="C1672" s="20">
        <v>3164.87</v>
      </c>
      <c r="D1672" s="20">
        <v>146.78</v>
      </c>
      <c r="E1672" s="20">
        <v>235.63</v>
      </c>
      <c r="F1672" s="20">
        <v>53446.559999999998</v>
      </c>
    </row>
    <row r="1673" spans="1:6" ht="13.5" customHeight="1" x14ac:dyDescent="0.3">
      <c r="A1673" s="21">
        <v>45805</v>
      </c>
      <c r="B1673" s="22">
        <v>104.78</v>
      </c>
      <c r="C1673" s="22">
        <v>3150.65</v>
      </c>
      <c r="D1673" s="22">
        <v>148.84</v>
      </c>
      <c r="E1673" s="22">
        <v>238.56</v>
      </c>
      <c r="F1673" s="22">
        <v>52479.35</v>
      </c>
    </row>
    <row r="1674" spans="1:6" ht="13.5" customHeight="1" x14ac:dyDescent="0.3">
      <c r="A1674" s="19">
        <v>45806</v>
      </c>
      <c r="B1674" s="20">
        <v>106.08</v>
      </c>
      <c r="C1674" s="20">
        <v>3111.32</v>
      </c>
      <c r="D1674" s="20">
        <v>149.6</v>
      </c>
      <c r="E1674" s="20">
        <v>235.93</v>
      </c>
      <c r="F1674" s="20">
        <v>52088.09</v>
      </c>
    </row>
    <row r="1675" spans="1:6" ht="13.5" customHeight="1" x14ac:dyDescent="0.3">
      <c r="A1675" s="21">
        <v>45807</v>
      </c>
      <c r="B1675" s="22">
        <v>105.76</v>
      </c>
      <c r="C1675" s="22">
        <v>3115.31</v>
      </c>
      <c r="D1675" s="22">
        <v>150.13</v>
      </c>
      <c r="E1675" s="22">
        <v>237.83</v>
      </c>
      <c r="F1675" s="22">
        <v>52599.040000000001</v>
      </c>
    </row>
    <row r="1676" spans="1:6" ht="13.5" customHeight="1" x14ac:dyDescent="0.3">
      <c r="A1676" s="19">
        <v>45810</v>
      </c>
      <c r="B1676" s="20">
        <v>103.33</v>
      </c>
      <c r="C1676" s="20">
        <v>3134.52</v>
      </c>
      <c r="D1676" s="20">
        <v>147.57</v>
      </c>
      <c r="E1676" s="20">
        <v>240.63</v>
      </c>
      <c r="F1676" s="20">
        <v>52764.58</v>
      </c>
    </row>
    <row r="1677" spans="1:6" ht="13.5" customHeight="1" x14ac:dyDescent="0.3">
      <c r="A1677" s="21">
        <v>45811</v>
      </c>
      <c r="B1677" s="22">
        <v>102.4</v>
      </c>
      <c r="C1677" s="22">
        <v>3133.07</v>
      </c>
      <c r="D1677" s="22">
        <v>145.03</v>
      </c>
      <c r="E1677" s="22">
        <v>238.38</v>
      </c>
      <c r="F1677" s="22">
        <v>52856.63</v>
      </c>
    </row>
    <row r="1678" spans="1:6" ht="13.5" customHeight="1" x14ac:dyDescent="0.3">
      <c r="A1678" s="19">
        <v>45812</v>
      </c>
      <c r="B1678" s="20">
        <v>103.5</v>
      </c>
      <c r="C1678" s="20">
        <v>3148.48</v>
      </c>
      <c r="D1678" s="20">
        <v>144.88</v>
      </c>
      <c r="E1678" s="20">
        <v>245.07</v>
      </c>
      <c r="F1678" s="20">
        <v>52848.33</v>
      </c>
    </row>
    <row r="1679" spans="1:6" ht="13.5" customHeight="1" x14ac:dyDescent="0.3">
      <c r="A1679" s="21">
        <v>45813</v>
      </c>
      <c r="B1679" s="22">
        <v>102.68</v>
      </c>
      <c r="C1679" s="22">
        <v>3228.92</v>
      </c>
      <c r="D1679" s="22">
        <v>144.69</v>
      </c>
      <c r="E1679" s="22">
        <v>243.61</v>
      </c>
      <c r="F1679" s="22">
        <v>52564.01</v>
      </c>
    </row>
    <row r="1680" spans="1:6" ht="13.5" customHeight="1" x14ac:dyDescent="0.3">
      <c r="A1680" s="19">
        <v>45814</v>
      </c>
      <c r="B1680" s="20">
        <v>102.31</v>
      </c>
      <c r="C1680" s="20">
        <v>3196.62</v>
      </c>
      <c r="D1680" s="20">
        <v>142.38</v>
      </c>
      <c r="E1680" s="20">
        <v>243.86</v>
      </c>
      <c r="F1680" s="20">
        <v>52963.34</v>
      </c>
    </row>
    <row r="1681" spans="1:6" ht="13.5" customHeight="1" x14ac:dyDescent="0.3">
      <c r="A1681" s="21">
        <v>45817</v>
      </c>
      <c r="B1681" s="22">
        <v>101.82</v>
      </c>
      <c r="C1681" s="22">
        <v>3222.09</v>
      </c>
      <c r="D1681" s="22">
        <v>146.33000000000001</v>
      </c>
      <c r="E1681" s="22">
        <v>249.83</v>
      </c>
      <c r="F1681" s="22">
        <v>52665.1</v>
      </c>
    </row>
    <row r="1682" spans="1:6" ht="13.5" customHeight="1" x14ac:dyDescent="0.3">
      <c r="A1682" s="19">
        <v>45818</v>
      </c>
      <c r="B1682" s="20">
        <v>101.67</v>
      </c>
      <c r="C1682" s="20">
        <v>3125.2</v>
      </c>
      <c r="D1682" s="20">
        <v>145.37</v>
      </c>
      <c r="E1682" s="20">
        <v>250.84</v>
      </c>
      <c r="F1682" s="20">
        <v>52918.73</v>
      </c>
    </row>
    <row r="1683" spans="1:6" ht="13.5" customHeight="1" x14ac:dyDescent="0.3">
      <c r="A1683" s="21">
        <v>45819</v>
      </c>
      <c r="B1683" s="22">
        <v>99.31</v>
      </c>
      <c r="C1683" s="22">
        <v>3152.25</v>
      </c>
      <c r="D1683" s="22">
        <v>145.28</v>
      </c>
      <c r="E1683" s="22">
        <v>247.01</v>
      </c>
      <c r="F1683" s="22">
        <v>52948.800000000003</v>
      </c>
    </row>
    <row r="1684" spans="1:6" ht="13.5" customHeight="1" x14ac:dyDescent="0.3">
      <c r="A1684" s="19">
        <v>45820</v>
      </c>
      <c r="B1684" s="20">
        <v>99.28</v>
      </c>
      <c r="C1684" s="20">
        <v>3050.32</v>
      </c>
      <c r="D1684" s="20">
        <v>145.94</v>
      </c>
      <c r="E1684" s="20">
        <v>245.5</v>
      </c>
      <c r="F1684" s="20">
        <v>52002.12</v>
      </c>
    </row>
    <row r="1685" spans="1:6" ht="13.5" customHeight="1" x14ac:dyDescent="0.3">
      <c r="A1685" s="21">
        <v>45821</v>
      </c>
      <c r="B1685" s="22">
        <v>98.54</v>
      </c>
      <c r="C1685" s="22">
        <v>3086.11</v>
      </c>
      <c r="D1685" s="22">
        <v>149.38</v>
      </c>
      <c r="E1685" s="22">
        <v>246.69</v>
      </c>
      <c r="F1685" s="22">
        <v>52926.69</v>
      </c>
    </row>
    <row r="1686" spans="1:6" ht="13.5" customHeight="1" x14ac:dyDescent="0.3">
      <c r="A1686" s="19">
        <v>45824</v>
      </c>
      <c r="B1686" s="20">
        <v>102.61</v>
      </c>
      <c r="C1686" s="20">
        <v>3062.08</v>
      </c>
      <c r="D1686" s="20">
        <v>147.61000000000001</v>
      </c>
      <c r="E1686" s="20">
        <v>244.74</v>
      </c>
      <c r="F1686" s="20">
        <v>52792.71</v>
      </c>
    </row>
    <row r="1687" spans="1:6" ht="13.5" customHeight="1" x14ac:dyDescent="0.3">
      <c r="A1687" s="21">
        <v>45825</v>
      </c>
      <c r="B1687" s="22">
        <v>102.34</v>
      </c>
      <c r="C1687" s="22">
        <v>3072.77</v>
      </c>
      <c r="D1687" s="22">
        <v>147.24</v>
      </c>
      <c r="E1687" s="22">
        <v>242.51</v>
      </c>
      <c r="F1687" s="22">
        <v>53312.74</v>
      </c>
    </row>
    <row r="1688" spans="1:6" ht="13.5" customHeight="1" x14ac:dyDescent="0.3">
      <c r="A1688" s="19">
        <v>45826</v>
      </c>
      <c r="B1688" s="20">
        <v>101.72</v>
      </c>
      <c r="C1688" s="20">
        <v>2995.71</v>
      </c>
      <c r="D1688" s="20">
        <v>144.34</v>
      </c>
      <c r="E1688" s="20">
        <v>246.97</v>
      </c>
      <c r="F1688" s="20">
        <v>53686.92</v>
      </c>
    </row>
    <row r="1689" spans="1:6" ht="13.5" customHeight="1" x14ac:dyDescent="0.3">
      <c r="A1689" s="21">
        <v>45827</v>
      </c>
      <c r="B1689" s="22">
        <v>103.15</v>
      </c>
      <c r="C1689" s="22">
        <v>2998.76</v>
      </c>
      <c r="D1689" s="22">
        <v>146.78</v>
      </c>
      <c r="E1689" s="22">
        <v>246.18</v>
      </c>
      <c r="F1689" s="22">
        <v>53691.01</v>
      </c>
    </row>
    <row r="1690" spans="1:6" ht="13.5" customHeight="1" x14ac:dyDescent="0.3">
      <c r="A1690" s="19">
        <v>45828</v>
      </c>
      <c r="B1690" s="20">
        <v>102.96</v>
      </c>
      <c r="C1690" s="20">
        <v>3044.13</v>
      </c>
      <c r="D1690" s="20">
        <v>147.83000000000001</v>
      </c>
      <c r="E1690" s="20">
        <v>254.38</v>
      </c>
      <c r="F1690" s="20">
        <v>53429.65</v>
      </c>
    </row>
    <row r="1691" spans="1:6" ht="13.5" customHeight="1" x14ac:dyDescent="0.3">
      <c r="A1691" s="21">
        <v>45831</v>
      </c>
      <c r="B1691" s="22">
        <v>103.35</v>
      </c>
      <c r="C1691" s="22">
        <v>3079.23</v>
      </c>
      <c r="D1691" s="22">
        <v>148.25</v>
      </c>
      <c r="E1691" s="22">
        <v>253.73</v>
      </c>
      <c r="F1691" s="22">
        <v>53570.89</v>
      </c>
    </row>
    <row r="1692" spans="1:6" ht="13.5" customHeight="1" x14ac:dyDescent="0.3">
      <c r="A1692" s="19">
        <v>45832</v>
      </c>
      <c r="B1692" s="20">
        <v>102.13</v>
      </c>
      <c r="C1692" s="20">
        <v>3080.12</v>
      </c>
      <c r="D1692" s="20">
        <v>148.97999999999999</v>
      </c>
      <c r="E1692" s="20">
        <v>248.96</v>
      </c>
      <c r="F1692" s="20">
        <v>53265.85</v>
      </c>
    </row>
    <row r="1693" spans="1:6" ht="13.5" customHeight="1" x14ac:dyDescent="0.3">
      <c r="A1693" s="21">
        <v>45833</v>
      </c>
      <c r="B1693" s="22">
        <v>104.37</v>
      </c>
      <c r="C1693" s="22">
        <v>3081.6</v>
      </c>
      <c r="D1693" s="22">
        <v>153.30000000000001</v>
      </c>
      <c r="E1693" s="22">
        <v>247.92</v>
      </c>
      <c r="F1693" s="22">
        <v>52778.91</v>
      </c>
    </row>
    <row r="1694" spans="1:6" ht="13.5" customHeight="1" x14ac:dyDescent="0.3">
      <c r="A1694" s="19">
        <v>45834</v>
      </c>
      <c r="B1694" s="20">
        <v>103.49</v>
      </c>
      <c r="C1694" s="20">
        <v>3145.7</v>
      </c>
      <c r="D1694" s="20">
        <v>153.09</v>
      </c>
      <c r="E1694" s="20">
        <v>252.4</v>
      </c>
      <c r="F1694" s="20">
        <v>52491.94</v>
      </c>
    </row>
    <row r="1695" spans="1:6" ht="13.5" customHeight="1" x14ac:dyDescent="0.3">
      <c r="A1695" s="21">
        <v>45835</v>
      </c>
      <c r="B1695" s="22">
        <v>104.06</v>
      </c>
      <c r="C1695" s="22">
        <v>3188.41</v>
      </c>
      <c r="D1695" s="22">
        <v>151.75</v>
      </c>
      <c r="E1695" s="22">
        <v>249.76</v>
      </c>
      <c r="F1695" s="22">
        <v>51514.28</v>
      </c>
    </row>
    <row r="1696" spans="1:6" ht="13.5" customHeight="1" x14ac:dyDescent="0.3">
      <c r="A1696" s="19">
        <v>45838</v>
      </c>
      <c r="B1696" s="20">
        <v>105.73</v>
      </c>
      <c r="C1696" s="20">
        <v>3155.17</v>
      </c>
      <c r="D1696" s="20">
        <v>150.41999999999999</v>
      </c>
      <c r="E1696" s="20">
        <v>255.16</v>
      </c>
      <c r="F1696" s="20">
        <v>50943.05</v>
      </c>
    </row>
    <row r="1697" spans="1:6" ht="13.5" customHeight="1" x14ac:dyDescent="0.3">
      <c r="A1697" s="21">
        <v>45839</v>
      </c>
      <c r="B1697" s="22">
        <v>105.32</v>
      </c>
      <c r="C1697" s="22">
        <v>3124.78</v>
      </c>
      <c r="D1697" s="22">
        <v>152.91999999999999</v>
      </c>
      <c r="E1697" s="22">
        <v>255.31</v>
      </c>
      <c r="F1697" s="22">
        <v>50878.65</v>
      </c>
    </row>
    <row r="1698" spans="1:6" ht="13.5" customHeight="1" x14ac:dyDescent="0.3">
      <c r="A1698" s="19">
        <v>45840</v>
      </c>
      <c r="B1698" s="20">
        <v>105.35</v>
      </c>
      <c r="C1698" s="20">
        <v>3089.17</v>
      </c>
      <c r="D1698" s="20">
        <v>154.4</v>
      </c>
      <c r="E1698" s="20">
        <v>257.33999999999997</v>
      </c>
      <c r="F1698" s="20">
        <v>51217.11</v>
      </c>
    </row>
    <row r="1699" spans="1:6" ht="13.5" customHeight="1" x14ac:dyDescent="0.3">
      <c r="A1699" s="21">
        <v>45841</v>
      </c>
      <c r="B1699" s="22">
        <v>106.24</v>
      </c>
      <c r="C1699" s="22">
        <v>3089.06</v>
      </c>
      <c r="D1699" s="22">
        <v>155.63</v>
      </c>
      <c r="E1699" s="22">
        <v>253.93</v>
      </c>
      <c r="F1699" s="22">
        <v>50059.37</v>
      </c>
    </row>
    <row r="1700" spans="1:6" ht="13.5" customHeight="1" x14ac:dyDescent="0.3">
      <c r="A1700" s="19">
        <v>45842</v>
      </c>
      <c r="B1700" s="20">
        <v>107.28</v>
      </c>
      <c r="C1700" s="20">
        <v>3027.66</v>
      </c>
      <c r="D1700" s="20">
        <v>154.1</v>
      </c>
      <c r="E1700" s="20">
        <v>254.21</v>
      </c>
      <c r="F1700" s="20">
        <v>50348.58</v>
      </c>
    </row>
    <row r="1701" spans="1:6" ht="13.5" customHeight="1" x14ac:dyDescent="0.3">
      <c r="A1701" s="21">
        <v>45845</v>
      </c>
      <c r="B1701" s="22">
        <v>105.69</v>
      </c>
      <c r="C1701" s="22">
        <v>2914.2</v>
      </c>
      <c r="D1701" s="22">
        <v>155.49</v>
      </c>
      <c r="E1701" s="22">
        <v>254.3</v>
      </c>
      <c r="F1701" s="22">
        <v>51123.79</v>
      </c>
    </row>
    <row r="1702" spans="1:6" ht="13.5" customHeight="1" x14ac:dyDescent="0.3">
      <c r="A1702" s="19">
        <v>45846</v>
      </c>
      <c r="B1702" s="20">
        <v>105.99</v>
      </c>
      <c r="C1702" s="20">
        <v>2904.71</v>
      </c>
      <c r="D1702" s="20">
        <v>157.02000000000001</v>
      </c>
      <c r="E1702" s="20">
        <v>259.45999999999998</v>
      </c>
      <c r="F1702" s="20">
        <v>51652.6</v>
      </c>
    </row>
    <row r="1703" spans="1:6" ht="13.5" customHeight="1" x14ac:dyDescent="0.3">
      <c r="A1703" s="21">
        <v>45847</v>
      </c>
      <c r="B1703" s="22">
        <v>104.64</v>
      </c>
      <c r="C1703" s="22">
        <v>2919.4</v>
      </c>
      <c r="D1703" s="22">
        <v>157.35</v>
      </c>
      <c r="E1703" s="22">
        <v>257.31</v>
      </c>
      <c r="F1703" s="22">
        <v>52465.89</v>
      </c>
    </row>
    <row r="1704" spans="1:6" ht="13.5" customHeight="1" x14ac:dyDescent="0.3">
      <c r="A1704" s="19">
        <v>45848</v>
      </c>
      <c r="B1704" s="20">
        <v>103.59</v>
      </c>
      <c r="C1704" s="20">
        <v>2930.74</v>
      </c>
      <c r="D1704" s="20">
        <v>157.08000000000001</v>
      </c>
      <c r="E1704" s="20">
        <v>249.83</v>
      </c>
      <c r="F1704" s="20">
        <v>51767.44</v>
      </c>
    </row>
    <row r="1705" spans="1:6" ht="13.5" customHeight="1" x14ac:dyDescent="0.3">
      <c r="A1705" s="21">
        <v>45849</v>
      </c>
      <c r="B1705" s="22">
        <v>102.69</v>
      </c>
      <c r="C1705" s="22">
        <v>2988.57</v>
      </c>
      <c r="D1705" s="22">
        <v>158.32</v>
      </c>
      <c r="E1705" s="22">
        <v>244.74</v>
      </c>
      <c r="F1705" s="22">
        <v>51217.19</v>
      </c>
    </row>
    <row r="1706" spans="1:6" ht="13.5" customHeight="1" x14ac:dyDescent="0.3">
      <c r="A1706" s="19">
        <v>45852</v>
      </c>
      <c r="B1706" s="20">
        <v>104.45</v>
      </c>
      <c r="C1706" s="20">
        <v>2922.21</v>
      </c>
      <c r="D1706" s="20">
        <v>159.38</v>
      </c>
      <c r="E1706" s="20">
        <v>241.72</v>
      </c>
      <c r="F1706" s="20">
        <v>50416.160000000003</v>
      </c>
    </row>
    <row r="1707" spans="1:6" ht="13.5" customHeight="1" x14ac:dyDescent="0.3">
      <c r="A1707" s="21">
        <v>45853</v>
      </c>
      <c r="B1707" s="22">
        <v>106.8</v>
      </c>
      <c r="C1707" s="22">
        <v>2897.5</v>
      </c>
      <c r="D1707" s="22">
        <v>158.22999999999999</v>
      </c>
      <c r="E1707" s="22">
        <v>244.74</v>
      </c>
      <c r="F1707" s="22">
        <v>51214.7</v>
      </c>
    </row>
    <row r="1708" spans="1:6" ht="13.5" customHeight="1" x14ac:dyDescent="0.3">
      <c r="A1708" s="19">
        <v>45854</v>
      </c>
      <c r="B1708" s="20">
        <v>110.69</v>
      </c>
      <c r="C1708" s="20">
        <v>2825.51</v>
      </c>
      <c r="D1708" s="20">
        <v>157.52000000000001</v>
      </c>
      <c r="E1708" s="20">
        <v>240.72</v>
      </c>
      <c r="F1708" s="20">
        <v>52500.75</v>
      </c>
    </row>
    <row r="1709" spans="1:6" ht="13.5" customHeight="1" x14ac:dyDescent="0.3">
      <c r="A1709" s="21">
        <v>45855</v>
      </c>
      <c r="B1709" s="22">
        <v>110.64</v>
      </c>
      <c r="C1709" s="22">
        <v>2839.44</v>
      </c>
      <c r="D1709" s="22">
        <v>153.33000000000001</v>
      </c>
      <c r="E1709" s="22">
        <v>236.38</v>
      </c>
      <c r="F1709" s="22">
        <v>51562.94</v>
      </c>
    </row>
    <row r="1710" spans="1:6" ht="13.5" customHeight="1" x14ac:dyDescent="0.3">
      <c r="A1710" s="19">
        <v>45856</v>
      </c>
      <c r="B1710" s="20">
        <v>109.38</v>
      </c>
      <c r="C1710" s="20">
        <v>2835.9</v>
      </c>
      <c r="D1710" s="20">
        <v>154.83000000000001</v>
      </c>
      <c r="E1710" s="20">
        <v>235.13</v>
      </c>
      <c r="F1710" s="20">
        <v>51484.800000000003</v>
      </c>
    </row>
    <row r="1711" spans="1:6" ht="13.5" customHeight="1" x14ac:dyDescent="0.3">
      <c r="A1711" s="21">
        <v>45859</v>
      </c>
      <c r="B1711" s="22">
        <v>107.95</v>
      </c>
      <c r="C1711" s="22">
        <v>2813.53</v>
      </c>
      <c r="D1711" s="22">
        <v>154.62</v>
      </c>
      <c r="E1711" s="22">
        <v>235.15</v>
      </c>
      <c r="F1711" s="22">
        <v>50720.94</v>
      </c>
    </row>
    <row r="1712" spans="1:6" ht="13.5" customHeight="1" x14ac:dyDescent="0.3">
      <c r="A1712" s="19">
        <v>45860</v>
      </c>
      <c r="B1712" s="20">
        <v>110.39</v>
      </c>
      <c r="C1712" s="20">
        <v>2817.26</v>
      </c>
      <c r="D1712" s="20">
        <v>158.46</v>
      </c>
      <c r="E1712" s="20">
        <v>234.88</v>
      </c>
      <c r="F1712" s="20">
        <v>49658.57</v>
      </c>
    </row>
    <row r="1713" spans="1:6" ht="13.5" customHeight="1" x14ac:dyDescent="0.3">
      <c r="A1713" s="21">
        <v>45861</v>
      </c>
      <c r="B1713" s="22">
        <v>108.07</v>
      </c>
      <c r="C1713" s="22">
        <v>2783.81</v>
      </c>
      <c r="D1713" s="22">
        <v>154.07</v>
      </c>
      <c r="E1713" s="22">
        <v>229.29</v>
      </c>
      <c r="F1713" s="22">
        <v>49139.62</v>
      </c>
    </row>
    <row r="1714" spans="1:6" ht="13.5" customHeight="1" x14ac:dyDescent="0.3">
      <c r="A1714" s="19">
        <v>45862</v>
      </c>
      <c r="B1714" s="20">
        <v>107.63</v>
      </c>
      <c r="C1714" s="20">
        <v>2735.29</v>
      </c>
      <c r="D1714" s="20">
        <v>154.54</v>
      </c>
      <c r="E1714" s="20">
        <v>228.04</v>
      </c>
      <c r="F1714" s="20">
        <v>49977.79</v>
      </c>
    </row>
    <row r="1715" spans="1:6" ht="13.5" customHeight="1" x14ac:dyDescent="0.3">
      <c r="A1715" s="21">
        <v>45863</v>
      </c>
      <c r="B1715" s="22">
        <v>106.82</v>
      </c>
      <c r="C1715" s="22">
        <v>2813.17</v>
      </c>
      <c r="D1715" s="22">
        <v>156.05000000000001</v>
      </c>
      <c r="E1715" s="22">
        <v>232.25</v>
      </c>
      <c r="F1715" s="22">
        <v>49711.39</v>
      </c>
    </row>
    <row r="1716" spans="1:6" ht="13.5" customHeight="1" x14ac:dyDescent="0.3">
      <c r="A1716" s="19">
        <v>45866</v>
      </c>
      <c r="B1716" s="20">
        <v>109.44</v>
      </c>
      <c r="C1716" s="20">
        <v>2855.05</v>
      </c>
      <c r="D1716" s="20">
        <v>154.38999999999999</v>
      </c>
      <c r="E1716" s="20">
        <v>234.09</v>
      </c>
      <c r="F1716" s="20">
        <v>50180.78</v>
      </c>
    </row>
    <row r="1717" spans="1:6" ht="13.5" customHeight="1" x14ac:dyDescent="0.3">
      <c r="A1717" s="21">
        <v>45867</v>
      </c>
      <c r="B1717" s="22">
        <v>107.94</v>
      </c>
      <c r="C1717" s="22">
        <v>2847.48</v>
      </c>
      <c r="D1717" s="22">
        <v>155.63</v>
      </c>
      <c r="E1717" s="22">
        <v>235.89</v>
      </c>
      <c r="F1717" s="22">
        <v>50571.839999999997</v>
      </c>
    </row>
    <row r="1718" spans="1:6" ht="13.5" customHeight="1" x14ac:dyDescent="0.3">
      <c r="A1718" s="19">
        <v>45868</v>
      </c>
      <c r="B1718" s="20">
        <v>109.62</v>
      </c>
      <c r="C1718" s="20">
        <v>2771.75</v>
      </c>
      <c r="D1718" s="20">
        <v>156.38</v>
      </c>
      <c r="E1718" s="20">
        <v>232.62</v>
      </c>
      <c r="F1718" s="20">
        <v>50111.05</v>
      </c>
    </row>
    <row r="1719" spans="1:6" ht="13.5" customHeight="1" x14ac:dyDescent="0.3">
      <c r="A1719" s="21">
        <v>45869</v>
      </c>
      <c r="B1719" s="22">
        <v>111.65</v>
      </c>
      <c r="C1719" s="22">
        <v>2762.93</v>
      </c>
      <c r="D1719" s="22">
        <v>157.75</v>
      </c>
      <c r="E1719" s="22">
        <v>231.49</v>
      </c>
      <c r="F1719" s="22">
        <v>50886.879999999997</v>
      </c>
    </row>
    <row r="1720" spans="1:6" ht="13.5" customHeight="1" x14ac:dyDescent="0.3">
      <c r="A1720" s="19">
        <v>45870</v>
      </c>
      <c r="B1720" s="20">
        <v>111.43</v>
      </c>
      <c r="C1720" s="20">
        <v>2792.56</v>
      </c>
      <c r="D1720" s="20">
        <v>157.22999999999999</v>
      </c>
      <c r="E1720" s="20">
        <v>226.14</v>
      </c>
      <c r="F1720" s="20">
        <v>50273.85</v>
      </c>
    </row>
    <row r="1721" spans="1:6" ht="13.5" customHeight="1" x14ac:dyDescent="0.3">
      <c r="A1721" s="21">
        <v>45873</v>
      </c>
      <c r="B1721" s="22">
        <v>112.18</v>
      </c>
      <c r="C1721" s="22">
        <v>2802.59</v>
      </c>
      <c r="D1721" s="22">
        <v>149.43</v>
      </c>
      <c r="E1721" s="22">
        <v>228.68</v>
      </c>
      <c r="F1721" s="22">
        <v>49994.9</v>
      </c>
    </row>
    <row r="1722" spans="1:6" ht="13.5" customHeight="1" x14ac:dyDescent="0.3">
      <c r="A1722" s="19">
        <v>45874</v>
      </c>
      <c r="B1722" s="20">
        <v>109.83</v>
      </c>
      <c r="C1722" s="20">
        <v>2854.14</v>
      </c>
      <c r="D1722" s="20">
        <v>149.68</v>
      </c>
      <c r="E1722" s="20">
        <v>232.44</v>
      </c>
      <c r="F1722" s="20">
        <v>50264.5</v>
      </c>
    </row>
    <row r="1723" spans="1:6" ht="13.5" customHeight="1" x14ac:dyDescent="0.3">
      <c r="A1723" s="21">
        <v>45875</v>
      </c>
      <c r="B1723" s="22">
        <v>109.73</v>
      </c>
      <c r="C1723" s="22">
        <v>2917.6</v>
      </c>
      <c r="D1723" s="22">
        <v>149.96</v>
      </c>
      <c r="E1723" s="22">
        <v>231.53</v>
      </c>
      <c r="F1723" s="22">
        <v>50109.39</v>
      </c>
    </row>
    <row r="1724" spans="1:6" ht="13.5" customHeight="1" x14ac:dyDescent="0.3">
      <c r="A1724" s="19">
        <v>45876</v>
      </c>
      <c r="B1724" s="20">
        <v>109.44</v>
      </c>
      <c r="C1724" s="20">
        <v>2914.99</v>
      </c>
      <c r="D1724" s="20">
        <v>148.29</v>
      </c>
      <c r="E1724" s="20">
        <v>229.98</v>
      </c>
      <c r="F1724" s="20">
        <v>49983.86</v>
      </c>
    </row>
    <row r="1725" spans="1:6" ht="13.5" customHeight="1" x14ac:dyDescent="0.3">
      <c r="A1725" s="21">
        <v>45877</v>
      </c>
      <c r="B1725" s="22">
        <v>105.56</v>
      </c>
      <c r="C1725" s="22">
        <v>2892.66</v>
      </c>
      <c r="D1725" s="22">
        <v>145.26</v>
      </c>
      <c r="E1725" s="22">
        <v>226.47</v>
      </c>
      <c r="F1725" s="22">
        <v>50460.29</v>
      </c>
    </row>
    <row r="1726" spans="1:6" ht="13.5" customHeight="1" x14ac:dyDescent="0.3">
      <c r="A1726" s="19">
        <v>45880</v>
      </c>
      <c r="B1726" s="20">
        <v>106.2</v>
      </c>
      <c r="C1726" s="20">
        <v>2869.15</v>
      </c>
      <c r="D1726" s="20">
        <v>146.51</v>
      </c>
      <c r="E1726" s="20">
        <v>226.06</v>
      </c>
      <c r="F1726" s="20">
        <v>51136.160000000003</v>
      </c>
    </row>
    <row r="1727" spans="1:6" ht="13.5" customHeight="1" x14ac:dyDescent="0.3">
      <c r="A1727" s="21">
        <v>45881</v>
      </c>
      <c r="B1727" s="22">
        <v>106.76</v>
      </c>
      <c r="C1727" s="22">
        <v>2849.94</v>
      </c>
      <c r="D1727" s="22">
        <v>147.47999999999999</v>
      </c>
      <c r="E1727" s="22">
        <v>233.3</v>
      </c>
      <c r="F1727" s="22">
        <v>50106.559999999998</v>
      </c>
    </row>
    <row r="1728" spans="1:6" ht="13.5" customHeight="1" x14ac:dyDescent="0.3">
      <c r="A1728" s="19">
        <v>45882</v>
      </c>
      <c r="B1728" s="20">
        <v>104.28</v>
      </c>
      <c r="C1728" s="20">
        <v>2897.1</v>
      </c>
      <c r="D1728" s="20">
        <v>151.21</v>
      </c>
      <c r="E1728" s="20">
        <v>230.24</v>
      </c>
      <c r="F1728" s="20">
        <v>50140.44</v>
      </c>
    </row>
    <row r="1729" spans="1:6" ht="13.5" customHeight="1" x14ac:dyDescent="0.3">
      <c r="A1729" s="21">
        <v>45883</v>
      </c>
      <c r="B1729" s="22">
        <v>102.28</v>
      </c>
      <c r="C1729" s="22">
        <v>2877.15</v>
      </c>
      <c r="D1729" s="22">
        <v>149.35</v>
      </c>
      <c r="E1729" s="22">
        <v>231.31</v>
      </c>
      <c r="F1729" s="22">
        <v>50876.34</v>
      </c>
    </row>
    <row r="1730" spans="1:6" ht="13.5" customHeight="1" x14ac:dyDescent="0.3">
      <c r="A1730" s="19">
        <v>45884</v>
      </c>
      <c r="B1730" s="20">
        <v>101.25</v>
      </c>
      <c r="C1730" s="20">
        <v>2793.57</v>
      </c>
      <c r="D1730" s="20">
        <v>152.19999999999999</v>
      </c>
      <c r="E1730" s="20">
        <v>235.39</v>
      </c>
      <c r="F1730" s="20">
        <v>51805.3</v>
      </c>
    </row>
    <row r="1731" spans="1:6" ht="13.5" customHeight="1" x14ac:dyDescent="0.3">
      <c r="A1731" s="21">
        <v>45887</v>
      </c>
      <c r="B1731" s="22">
        <v>100.54</v>
      </c>
      <c r="C1731" s="22">
        <v>2818.14</v>
      </c>
      <c r="D1731" s="22">
        <v>152.30000000000001</v>
      </c>
      <c r="E1731" s="22">
        <v>235.07</v>
      </c>
      <c r="F1731" s="22">
        <v>50343.25</v>
      </c>
    </row>
    <row r="1732" spans="1:6" ht="13.5" customHeight="1" x14ac:dyDescent="0.3">
      <c r="A1732" s="19">
        <v>45888</v>
      </c>
      <c r="B1732" s="20">
        <v>100.14</v>
      </c>
      <c r="C1732" s="20">
        <v>2814.9</v>
      </c>
      <c r="D1732" s="20">
        <v>151.16999999999999</v>
      </c>
      <c r="E1732" s="20">
        <v>229.36</v>
      </c>
      <c r="F1732" s="20">
        <v>49922.2</v>
      </c>
    </row>
    <row r="1733" spans="1:6" ht="13.5" customHeight="1" x14ac:dyDescent="0.3">
      <c r="A1733" s="21">
        <v>45889</v>
      </c>
      <c r="B1733" s="22">
        <v>98.84</v>
      </c>
      <c r="C1733" s="22">
        <v>2793.38</v>
      </c>
      <c r="D1733" s="22">
        <v>152.41999999999999</v>
      </c>
      <c r="E1733" s="22">
        <v>230.94</v>
      </c>
      <c r="F1733" s="22">
        <v>49987.49</v>
      </c>
    </row>
    <row r="1734" spans="1:6" ht="13.5" customHeight="1" x14ac:dyDescent="0.3">
      <c r="A1734" s="19">
        <v>45890</v>
      </c>
      <c r="B1734" s="20">
        <v>97.49</v>
      </c>
      <c r="C1734" s="20">
        <v>2698.3</v>
      </c>
      <c r="D1734" s="20">
        <v>154.58000000000001</v>
      </c>
      <c r="E1734" s="20">
        <v>237.71</v>
      </c>
      <c r="F1734" s="20">
        <v>49767.98</v>
      </c>
    </row>
    <row r="1735" spans="1:6" ht="13.5" customHeight="1" x14ac:dyDescent="0.3">
      <c r="A1735" s="21">
        <v>45891</v>
      </c>
      <c r="B1735" s="22">
        <v>97.94</v>
      </c>
      <c r="C1735" s="22">
        <v>2755.6</v>
      </c>
      <c r="D1735" s="22">
        <v>153.36000000000001</v>
      </c>
      <c r="E1735" s="22">
        <v>238.51</v>
      </c>
      <c r="F1735" s="22">
        <v>50192.27</v>
      </c>
    </row>
    <row r="1736" spans="1:6" ht="13.5" customHeight="1" x14ac:dyDescent="0.3">
      <c r="A1736" s="19">
        <v>45894</v>
      </c>
      <c r="B1736" s="20">
        <v>97.33</v>
      </c>
      <c r="C1736" s="20">
        <v>2791.08</v>
      </c>
      <c r="D1736" s="20">
        <v>157.22</v>
      </c>
      <c r="E1736" s="20">
        <v>238.45</v>
      </c>
      <c r="F1736" s="20">
        <v>50485.5</v>
      </c>
    </row>
    <row r="1737" spans="1:6" ht="13.5" customHeight="1" x14ac:dyDescent="0.3">
      <c r="A1737" s="21">
        <v>45895</v>
      </c>
      <c r="B1737" s="22">
        <v>97.21</v>
      </c>
      <c r="C1737" s="22">
        <v>2736.77</v>
      </c>
      <c r="D1737" s="22">
        <v>157.33000000000001</v>
      </c>
      <c r="E1737" s="22">
        <v>238.33</v>
      </c>
      <c r="F1737" s="22">
        <v>50814.52</v>
      </c>
    </row>
    <row r="1738" spans="1:6" ht="13.5" customHeight="1" x14ac:dyDescent="0.3">
      <c r="A1738" s="19">
        <v>45896</v>
      </c>
      <c r="B1738" s="20">
        <v>96.93</v>
      </c>
      <c r="C1738" s="20">
        <v>2745.73</v>
      </c>
      <c r="D1738" s="20">
        <v>154.33000000000001</v>
      </c>
      <c r="E1738" s="20">
        <v>228.85</v>
      </c>
      <c r="F1738" s="20">
        <v>50695</v>
      </c>
    </row>
    <row r="1739" spans="1:6" ht="13.5" customHeight="1" x14ac:dyDescent="0.3">
      <c r="A1739" s="21">
        <v>45897</v>
      </c>
      <c r="B1739" s="22">
        <v>97.58</v>
      </c>
      <c r="C1739" s="22">
        <v>2694.88</v>
      </c>
      <c r="D1739" s="22">
        <v>151.63</v>
      </c>
      <c r="E1739" s="22">
        <v>230.33</v>
      </c>
      <c r="F1739" s="22">
        <v>50610.36</v>
      </c>
    </row>
    <row r="1740" spans="1:6" ht="13.5" customHeight="1" x14ac:dyDescent="0.3">
      <c r="A1740" s="19">
        <v>45898</v>
      </c>
      <c r="B1740" s="20">
        <v>97.4</v>
      </c>
      <c r="C1740" s="20">
        <v>2631.81</v>
      </c>
      <c r="D1740" s="20">
        <v>154.25</v>
      </c>
      <c r="E1740" s="20">
        <v>228.34</v>
      </c>
      <c r="F1740" s="20">
        <v>51164.02</v>
      </c>
    </row>
    <row r="1741" spans="1:6" ht="13.5" customHeight="1" x14ac:dyDescent="0.3">
      <c r="A1741" s="21">
        <v>45901</v>
      </c>
      <c r="B1741" s="22">
        <v>98.6</v>
      </c>
      <c r="C1741" s="22">
        <v>2535.9499999999998</v>
      </c>
      <c r="D1741" s="22">
        <v>152.97</v>
      </c>
      <c r="E1741" s="22">
        <v>224.51</v>
      </c>
      <c r="F1741" s="22">
        <v>51491.06</v>
      </c>
    </row>
    <row r="1742" spans="1:6" ht="13.5" customHeight="1" x14ac:dyDescent="0.3">
      <c r="A1742" s="19">
        <v>45902</v>
      </c>
      <c r="B1742" s="20">
        <v>98.77</v>
      </c>
      <c r="C1742" s="20">
        <v>2572.3200000000002</v>
      </c>
      <c r="D1742" s="20">
        <v>153.24</v>
      </c>
      <c r="E1742" s="20">
        <v>229.85</v>
      </c>
      <c r="F1742" s="20">
        <v>51704.55</v>
      </c>
    </row>
    <row r="1743" spans="1:6" ht="13.5" customHeight="1" x14ac:dyDescent="0.3">
      <c r="A1743" s="21">
        <v>45903</v>
      </c>
      <c r="B1743" s="22">
        <v>100.02</v>
      </c>
      <c r="C1743" s="22">
        <v>2613.7800000000002</v>
      </c>
      <c r="D1743" s="22">
        <v>153.56</v>
      </c>
      <c r="E1743" s="22">
        <v>225.82</v>
      </c>
      <c r="F1743" s="22">
        <v>51785.25</v>
      </c>
    </row>
    <row r="1744" spans="1:6" ht="13.5" customHeight="1" x14ac:dyDescent="0.3">
      <c r="A1744" s="19">
        <v>45904</v>
      </c>
      <c r="B1744" s="20">
        <v>101.78</v>
      </c>
      <c r="C1744" s="20">
        <v>2601.0500000000002</v>
      </c>
      <c r="D1744" s="20">
        <v>153.35</v>
      </c>
      <c r="E1744" s="20">
        <v>226.34</v>
      </c>
      <c r="F1744" s="20">
        <v>51354.48</v>
      </c>
    </row>
    <row r="1745" spans="1:6" ht="13.5" customHeight="1" x14ac:dyDescent="0.3">
      <c r="A1745" s="21">
        <v>45905</v>
      </c>
      <c r="B1745" s="22">
        <v>99.75</v>
      </c>
      <c r="C1745" s="22">
        <v>2599.85</v>
      </c>
      <c r="D1745" s="22">
        <v>155.77000000000001</v>
      </c>
      <c r="E1745" s="22">
        <v>221.15</v>
      </c>
      <c r="F1745" s="22">
        <v>50931.28</v>
      </c>
    </row>
    <row r="1746" spans="1:6" ht="13.5" customHeight="1" x14ac:dyDescent="0.3">
      <c r="A1746" s="19">
        <v>45908</v>
      </c>
      <c r="B1746" s="20">
        <v>101.05</v>
      </c>
      <c r="C1746" s="20">
        <v>2681.87</v>
      </c>
      <c r="D1746" s="20">
        <v>154.65</v>
      </c>
      <c r="E1746" s="20">
        <v>222.66</v>
      </c>
      <c r="F1746" s="20">
        <v>51023.74</v>
      </c>
    </row>
    <row r="1747" spans="1:6" ht="13.5" customHeight="1" x14ac:dyDescent="0.3">
      <c r="A1747" s="21">
        <v>45909</v>
      </c>
      <c r="B1747" s="22">
        <v>103.58</v>
      </c>
      <c r="C1747" s="22">
        <v>2647.74</v>
      </c>
      <c r="D1747" s="22">
        <v>152.01</v>
      </c>
      <c r="E1747" s="22">
        <v>216.84</v>
      </c>
      <c r="F1747" s="22">
        <v>51641.13</v>
      </c>
    </row>
    <row r="1748" spans="1:6" ht="13.5" customHeight="1" x14ac:dyDescent="0.3">
      <c r="A1748" s="19">
        <v>45910</v>
      </c>
      <c r="B1748" s="20">
        <v>102.22</v>
      </c>
      <c r="C1748" s="20">
        <v>2593.98</v>
      </c>
      <c r="D1748" s="20">
        <v>146.56</v>
      </c>
      <c r="E1748" s="20">
        <v>217.85</v>
      </c>
      <c r="F1748" s="20">
        <v>51065.66</v>
      </c>
    </row>
    <row r="1749" spans="1:6" ht="13.5" customHeight="1" x14ac:dyDescent="0.3">
      <c r="A1749" s="21">
        <v>45911</v>
      </c>
      <c r="B1749" s="22">
        <v>102.21</v>
      </c>
      <c r="C1749" s="22">
        <v>2601.36</v>
      </c>
      <c r="D1749" s="22">
        <v>146.35</v>
      </c>
      <c r="E1749" s="22">
        <v>218.44</v>
      </c>
      <c r="F1749" s="22">
        <v>51273.14</v>
      </c>
    </row>
    <row r="1750" spans="1:6" ht="13.5" customHeight="1" x14ac:dyDescent="0.3">
      <c r="A1750" s="19">
        <v>45912</v>
      </c>
      <c r="B1750" s="20">
        <v>101.73</v>
      </c>
      <c r="C1750" s="20">
        <v>2628.12</v>
      </c>
      <c r="D1750" s="20">
        <v>145.80000000000001</v>
      </c>
      <c r="E1750" s="20">
        <v>221.58</v>
      </c>
      <c r="F1750" s="20">
        <v>51522.46</v>
      </c>
    </row>
    <row r="1751" spans="1:6" ht="13.5" customHeight="1" x14ac:dyDescent="0.3">
      <c r="A1751" s="21">
        <v>45915</v>
      </c>
      <c r="B1751" s="22">
        <v>102.39</v>
      </c>
      <c r="C1751" s="22">
        <v>2615.9299999999998</v>
      </c>
      <c r="D1751" s="22">
        <v>148.69999999999999</v>
      </c>
      <c r="E1751" s="22">
        <v>216.25</v>
      </c>
      <c r="F1751" s="22">
        <v>51390.05</v>
      </c>
    </row>
    <row r="1752" spans="1:6" ht="13.5" customHeight="1" x14ac:dyDescent="0.3">
      <c r="A1752" s="19">
        <v>45916</v>
      </c>
      <c r="B1752" s="20">
        <v>103.16</v>
      </c>
      <c r="C1752" s="20">
        <v>2551.6799999999998</v>
      </c>
      <c r="D1752" s="20">
        <v>147.11000000000001</v>
      </c>
      <c r="E1752" s="20">
        <v>214.57</v>
      </c>
      <c r="F1752" s="20">
        <v>51339.08</v>
      </c>
    </row>
    <row r="1753" spans="1:6" ht="13.5" customHeight="1" x14ac:dyDescent="0.3">
      <c r="A1753" s="21">
        <v>45917</v>
      </c>
      <c r="B1753" s="22">
        <v>102.23</v>
      </c>
      <c r="C1753" s="22">
        <v>2518.67</v>
      </c>
      <c r="D1753" s="22">
        <v>149.54</v>
      </c>
      <c r="E1753" s="22">
        <v>211.33</v>
      </c>
      <c r="F1753" s="22">
        <v>51730.19</v>
      </c>
    </row>
    <row r="1754" spans="1:6" ht="13.5" customHeight="1" x14ac:dyDescent="0.3">
      <c r="A1754" s="19">
        <v>45918</v>
      </c>
      <c r="B1754" s="20">
        <v>104.13</v>
      </c>
      <c r="C1754" s="20">
        <v>2550.6</v>
      </c>
      <c r="D1754" s="20">
        <v>148.91</v>
      </c>
      <c r="E1754" s="20">
        <v>214.3</v>
      </c>
      <c r="F1754" s="20">
        <v>51288.79</v>
      </c>
    </row>
    <row r="1755" spans="1:6" ht="13.5" customHeight="1" x14ac:dyDescent="0.3">
      <c r="A1755" s="21">
        <v>45919</v>
      </c>
      <c r="B1755" s="22">
        <v>102.92</v>
      </c>
      <c r="C1755" s="22">
        <v>2584.2800000000002</v>
      </c>
      <c r="D1755" s="22">
        <v>153.01</v>
      </c>
      <c r="E1755" s="22">
        <v>207.4</v>
      </c>
      <c r="F1755" s="22">
        <v>52115.46</v>
      </c>
    </row>
    <row r="1756" spans="1:6" ht="13.5" customHeight="1" x14ac:dyDescent="0.3">
      <c r="A1756" s="19">
        <v>45922</v>
      </c>
      <c r="B1756" s="20">
        <v>102.76</v>
      </c>
      <c r="C1756" s="20">
        <v>2509.66</v>
      </c>
      <c r="D1756" s="20">
        <v>150.72</v>
      </c>
      <c r="E1756" s="20">
        <v>205.96</v>
      </c>
      <c r="F1756" s="20">
        <v>51102.2</v>
      </c>
    </row>
    <row r="1757" spans="1:6" ht="13.5" customHeight="1" x14ac:dyDescent="0.3">
      <c r="A1757" s="21">
        <v>45923</v>
      </c>
      <c r="B1757" s="22">
        <v>104.25</v>
      </c>
      <c r="C1757" s="22">
        <v>2457.0300000000002</v>
      </c>
      <c r="D1757" s="22">
        <v>149.83000000000001</v>
      </c>
      <c r="E1757" s="22">
        <v>207.95</v>
      </c>
      <c r="F1757" s="22">
        <v>51502.18</v>
      </c>
    </row>
    <row r="1758" spans="1:6" ht="13.5" customHeight="1" x14ac:dyDescent="0.3">
      <c r="A1758" s="19">
        <v>45924</v>
      </c>
      <c r="B1758" s="20">
        <v>107.1</v>
      </c>
      <c r="C1758" s="20">
        <v>2415.8000000000002</v>
      </c>
      <c r="D1758" s="20">
        <v>151.49</v>
      </c>
      <c r="E1758" s="20">
        <v>208.73</v>
      </c>
      <c r="F1758" s="20">
        <v>51925.05</v>
      </c>
    </row>
    <row r="1759" spans="1:6" ht="13.5" customHeight="1" x14ac:dyDescent="0.3">
      <c r="A1759" s="21">
        <v>45925</v>
      </c>
      <c r="B1759" s="22">
        <v>106.38</v>
      </c>
      <c r="C1759" s="22">
        <v>2416.16</v>
      </c>
      <c r="D1759" s="22">
        <v>154.38999999999999</v>
      </c>
      <c r="E1759" s="22">
        <v>202.78</v>
      </c>
      <c r="F1759" s="22">
        <v>52758.04</v>
      </c>
    </row>
    <row r="1760" spans="1:6" ht="13.5" customHeight="1" x14ac:dyDescent="0.3">
      <c r="A1760" s="19">
        <v>45926</v>
      </c>
      <c r="B1760" s="20">
        <v>107.56</v>
      </c>
      <c r="C1760" s="20">
        <v>2511.64</v>
      </c>
      <c r="D1760" s="20">
        <v>156.5</v>
      </c>
      <c r="E1760" s="20">
        <v>207.14</v>
      </c>
      <c r="F1760" s="20">
        <v>51556.53</v>
      </c>
    </row>
    <row r="1761" spans="1:6" ht="13.5" customHeight="1" x14ac:dyDescent="0.3">
      <c r="A1761" s="21">
        <v>45929</v>
      </c>
      <c r="B1761" s="22">
        <v>107.93</v>
      </c>
      <c r="C1761" s="22">
        <v>2500.4699999999998</v>
      </c>
      <c r="D1761" s="22">
        <v>153.27000000000001</v>
      </c>
      <c r="E1761" s="22">
        <v>207.47</v>
      </c>
      <c r="F1761" s="22">
        <v>50954.23</v>
      </c>
    </row>
    <row r="1762" spans="1:6" ht="13.5" customHeight="1" x14ac:dyDescent="0.3">
      <c r="A1762" s="19">
        <v>45930</v>
      </c>
      <c r="B1762" s="20">
        <v>105.59</v>
      </c>
      <c r="C1762" s="20">
        <v>2504.6999999999998</v>
      </c>
      <c r="D1762" s="20">
        <v>155.96</v>
      </c>
      <c r="E1762" s="20">
        <v>211.48</v>
      </c>
      <c r="F1762" s="20">
        <v>51596.13</v>
      </c>
    </row>
    <row r="1763" spans="1:6" ht="13.5" customHeight="1" x14ac:dyDescent="0.3">
      <c r="A1763" s="21">
        <v>45931</v>
      </c>
      <c r="B1763" s="22">
        <v>104.23</v>
      </c>
      <c r="C1763" s="22">
        <v>2470.98</v>
      </c>
      <c r="D1763" s="22">
        <v>156</v>
      </c>
      <c r="E1763" s="22">
        <v>209.89</v>
      </c>
      <c r="F1763" s="22">
        <v>51157.99</v>
      </c>
    </row>
    <row r="1764" spans="1:6" ht="13.5" customHeight="1" x14ac:dyDescent="0.3">
      <c r="A1764" s="19">
        <v>45932</v>
      </c>
      <c r="B1764" s="20">
        <v>102.52</v>
      </c>
      <c r="C1764" s="20">
        <v>2585.12</v>
      </c>
      <c r="D1764" s="20">
        <v>152.06</v>
      </c>
      <c r="E1764" s="20">
        <v>210.13</v>
      </c>
      <c r="F1764" s="20">
        <v>51159.35</v>
      </c>
    </row>
    <row r="1765" spans="1:6" ht="13.5" customHeight="1" x14ac:dyDescent="0.3">
      <c r="A1765" s="21">
        <v>45933</v>
      </c>
      <c r="B1765" s="22">
        <v>101.84</v>
      </c>
      <c r="C1765" s="22">
        <v>2559.2199999999998</v>
      </c>
      <c r="D1765" s="22">
        <v>150.78</v>
      </c>
      <c r="E1765" s="22">
        <v>211.01</v>
      </c>
      <c r="F1765" s="22">
        <v>51801.1</v>
      </c>
    </row>
    <row r="1766" spans="1:6" ht="13.5" customHeight="1" x14ac:dyDescent="0.3">
      <c r="A1766" s="19">
        <v>45936</v>
      </c>
      <c r="B1766" s="20">
        <v>101.28</v>
      </c>
      <c r="C1766" s="20">
        <v>2537.64</v>
      </c>
      <c r="D1766" s="20">
        <v>150.01</v>
      </c>
      <c r="E1766" s="20">
        <v>209.37</v>
      </c>
      <c r="F1766" s="20">
        <v>51192.54</v>
      </c>
    </row>
    <row r="1767" spans="1:6" ht="13.5" customHeight="1" x14ac:dyDescent="0.3">
      <c r="A1767" s="21">
        <v>45937</v>
      </c>
      <c r="B1767" s="22">
        <v>101.36</v>
      </c>
      <c r="C1767" s="22">
        <v>2546.14</v>
      </c>
      <c r="D1767" s="22">
        <v>148.19</v>
      </c>
      <c r="E1767" s="22">
        <v>218.22</v>
      </c>
      <c r="F1767" s="22">
        <v>50604.98</v>
      </c>
    </row>
    <row r="1768" spans="1:6" ht="13.5" customHeight="1" x14ac:dyDescent="0.3">
      <c r="A1768" s="19">
        <v>45938</v>
      </c>
      <c r="B1768" s="20">
        <v>103.18</v>
      </c>
      <c r="C1768" s="20">
        <v>2488.1799999999998</v>
      </c>
      <c r="D1768" s="20">
        <v>151.29</v>
      </c>
      <c r="E1768" s="20">
        <v>217.2</v>
      </c>
      <c r="F1768" s="20">
        <v>50056.3</v>
      </c>
    </row>
    <row r="1769" spans="1:6" ht="13.5" customHeight="1" x14ac:dyDescent="0.3">
      <c r="A1769" s="21">
        <v>45939</v>
      </c>
      <c r="B1769" s="22">
        <v>103.82</v>
      </c>
      <c r="C1769" s="22">
        <v>2525.16</v>
      </c>
      <c r="D1769" s="22">
        <v>152.63</v>
      </c>
      <c r="E1769" s="22">
        <v>218.69</v>
      </c>
      <c r="F1769" s="22">
        <v>50050.25</v>
      </c>
    </row>
    <row r="1770" spans="1:6" ht="13.5" customHeight="1" x14ac:dyDescent="0.3">
      <c r="A1770" s="19">
        <v>45940</v>
      </c>
      <c r="B1770" s="20">
        <v>107.67</v>
      </c>
      <c r="C1770" s="20">
        <v>2526.29</v>
      </c>
      <c r="D1770" s="20">
        <v>155.43</v>
      </c>
      <c r="E1770" s="20">
        <v>216.14</v>
      </c>
      <c r="F1770" s="20">
        <v>49643.51</v>
      </c>
    </row>
    <row r="1771" spans="1:6" ht="13.5" customHeight="1" x14ac:dyDescent="0.3">
      <c r="A1771" s="21">
        <v>45943</v>
      </c>
      <c r="B1771" s="22">
        <v>107.34</v>
      </c>
      <c r="C1771" s="22">
        <v>2490.2399999999998</v>
      </c>
      <c r="D1771" s="22">
        <v>153.34</v>
      </c>
      <c r="E1771" s="22">
        <v>213.97</v>
      </c>
      <c r="F1771" s="22">
        <v>49692</v>
      </c>
    </row>
    <row r="1772" spans="1:6" ht="13.5" customHeight="1" x14ac:dyDescent="0.3">
      <c r="A1772" s="19">
        <v>45944</v>
      </c>
      <c r="B1772" s="20">
        <v>108.55</v>
      </c>
      <c r="C1772" s="20">
        <v>2465.5500000000002</v>
      </c>
      <c r="D1772" s="20">
        <v>149.37</v>
      </c>
      <c r="E1772" s="20">
        <v>213.48</v>
      </c>
      <c r="F1772" s="20">
        <v>49645.599999999999</v>
      </c>
    </row>
    <row r="1773" spans="1:6" ht="13.5" customHeight="1" x14ac:dyDescent="0.3">
      <c r="A1773" s="21">
        <v>45945</v>
      </c>
      <c r="B1773" s="22">
        <v>109.21</v>
      </c>
      <c r="C1773" s="22">
        <v>2384.65</v>
      </c>
      <c r="D1773" s="22">
        <v>150.49</v>
      </c>
      <c r="E1773" s="22">
        <v>210.7</v>
      </c>
      <c r="F1773" s="22">
        <v>49944.76</v>
      </c>
    </row>
    <row r="1774" spans="1:6" ht="13.5" customHeight="1" x14ac:dyDescent="0.3">
      <c r="A1774" s="19">
        <v>45946</v>
      </c>
      <c r="B1774" s="20">
        <v>111.52</v>
      </c>
      <c r="C1774" s="20">
        <v>2362.71</v>
      </c>
      <c r="D1774" s="20">
        <v>150.63</v>
      </c>
      <c r="E1774" s="20">
        <v>207.02</v>
      </c>
      <c r="F1774" s="20">
        <v>49588.26</v>
      </c>
    </row>
    <row r="1775" spans="1:6" ht="13.5" customHeight="1" x14ac:dyDescent="0.3">
      <c r="A1775" s="21">
        <v>45947</v>
      </c>
      <c r="B1775" s="22">
        <v>110.97</v>
      </c>
      <c r="C1775" s="22">
        <v>2269.3200000000002</v>
      </c>
      <c r="D1775" s="22">
        <v>152.74</v>
      </c>
      <c r="E1775" s="22">
        <v>207.26</v>
      </c>
      <c r="F1775" s="22">
        <v>49915.53</v>
      </c>
    </row>
    <row r="1776" spans="1:6" ht="13.5" customHeight="1" x14ac:dyDescent="0.3">
      <c r="A1776" s="19">
        <v>45950</v>
      </c>
      <c r="B1776" s="20">
        <v>112.31</v>
      </c>
      <c r="C1776" s="20">
        <v>2252.64</v>
      </c>
      <c r="D1776" s="20">
        <v>154.38999999999999</v>
      </c>
      <c r="E1776" s="20">
        <v>205.73</v>
      </c>
      <c r="F1776" s="20">
        <v>50412.33</v>
      </c>
    </row>
    <row r="1777" spans="1:6" ht="13.5" customHeight="1" x14ac:dyDescent="0.3">
      <c r="A1777" s="21">
        <v>45951</v>
      </c>
      <c r="B1777" s="22">
        <v>114.88</v>
      </c>
      <c r="C1777" s="22">
        <v>2234.29</v>
      </c>
      <c r="D1777" s="22">
        <v>154.83000000000001</v>
      </c>
      <c r="E1777" s="22">
        <v>214.1</v>
      </c>
      <c r="F1777" s="22">
        <v>50938.47</v>
      </c>
    </row>
    <row r="1778" spans="1:6" ht="13.5" customHeight="1" x14ac:dyDescent="0.3">
      <c r="A1778" s="19">
        <v>45952</v>
      </c>
      <c r="B1778" s="20">
        <v>113.77</v>
      </c>
      <c r="C1778" s="20">
        <v>2212.41</v>
      </c>
      <c r="D1778" s="20">
        <v>156.84</v>
      </c>
      <c r="E1778" s="20">
        <v>213.46</v>
      </c>
      <c r="F1778" s="20">
        <v>51210.12</v>
      </c>
    </row>
    <row r="1779" spans="1:6" ht="13.5" customHeight="1" x14ac:dyDescent="0.3">
      <c r="A1779" s="21">
        <v>45953</v>
      </c>
      <c r="B1779" s="22">
        <v>113.68</v>
      </c>
      <c r="C1779" s="22">
        <v>2190.98</v>
      </c>
      <c r="D1779" s="22">
        <v>157.09</v>
      </c>
      <c r="E1779" s="22">
        <v>210.9</v>
      </c>
      <c r="F1779" s="22">
        <v>50978.31</v>
      </c>
    </row>
    <row r="1780" spans="1:6" ht="13.5" customHeight="1" x14ac:dyDescent="0.3">
      <c r="A1780" s="19">
        <v>45954</v>
      </c>
      <c r="B1780" s="20">
        <v>114.51</v>
      </c>
      <c r="C1780" s="20">
        <v>2159.75</v>
      </c>
      <c r="D1780" s="20">
        <v>157.66</v>
      </c>
      <c r="E1780" s="20">
        <v>213.45</v>
      </c>
      <c r="F1780" s="20">
        <v>51056.65</v>
      </c>
    </row>
    <row r="1781" spans="1:6" ht="13.5" customHeight="1" x14ac:dyDescent="0.3">
      <c r="A1781" s="21">
        <v>45957</v>
      </c>
      <c r="B1781" s="22">
        <v>113.86</v>
      </c>
      <c r="C1781" s="22">
        <v>2208.04</v>
      </c>
      <c r="D1781" s="22">
        <v>162.63999999999999</v>
      </c>
      <c r="E1781" s="22">
        <v>220.61</v>
      </c>
      <c r="F1781" s="22">
        <v>50263.55</v>
      </c>
    </row>
    <row r="1782" spans="1:6" ht="13.5" customHeight="1" x14ac:dyDescent="0.3">
      <c r="A1782" s="19">
        <v>45958</v>
      </c>
      <c r="B1782" s="20">
        <v>112.52</v>
      </c>
      <c r="C1782" s="20">
        <v>2265.41</v>
      </c>
      <c r="D1782" s="20">
        <v>166.01</v>
      </c>
      <c r="E1782" s="20">
        <v>214.03</v>
      </c>
      <c r="F1782" s="20">
        <v>50455.42</v>
      </c>
    </row>
    <row r="1783" spans="1:6" ht="13.5" customHeight="1" x14ac:dyDescent="0.3">
      <c r="A1783" s="21">
        <v>45959</v>
      </c>
      <c r="B1783" s="22">
        <v>115.41</v>
      </c>
      <c r="C1783" s="22">
        <v>2259.98</v>
      </c>
      <c r="D1783" s="22">
        <v>163.32</v>
      </c>
      <c r="E1783" s="22">
        <v>219.1</v>
      </c>
      <c r="F1783" s="22">
        <v>50991.31</v>
      </c>
    </row>
    <row r="1784" spans="1:6" ht="13.5" customHeight="1" x14ac:dyDescent="0.3">
      <c r="A1784" s="19">
        <v>45960</v>
      </c>
      <c r="B1784" s="20">
        <v>115.08</v>
      </c>
      <c r="C1784" s="20">
        <v>2306.92</v>
      </c>
      <c r="D1784" s="20">
        <v>159.32</v>
      </c>
      <c r="E1784" s="20">
        <v>214.82</v>
      </c>
      <c r="F1784" s="20">
        <v>50629.91</v>
      </c>
    </row>
    <row r="1785" spans="1:6" ht="13.5" customHeight="1" x14ac:dyDescent="0.3">
      <c r="A1785" s="21">
        <v>45961</v>
      </c>
      <c r="B1785" s="22">
        <v>117.88</v>
      </c>
      <c r="C1785" s="22">
        <v>2295.8200000000002</v>
      </c>
      <c r="D1785" s="22">
        <v>162.79</v>
      </c>
      <c r="E1785" s="22">
        <v>212.92</v>
      </c>
      <c r="F1785" s="22">
        <v>51447.18</v>
      </c>
    </row>
    <row r="1786" spans="1:6" ht="13.5" customHeight="1" x14ac:dyDescent="0.3">
      <c r="A1786" s="19">
        <v>45964</v>
      </c>
      <c r="B1786" s="20">
        <v>117.09</v>
      </c>
      <c r="C1786" s="20">
        <v>2284.94</v>
      </c>
      <c r="D1786" s="20">
        <v>161.72999999999999</v>
      </c>
      <c r="E1786" s="20">
        <v>207.43</v>
      </c>
      <c r="F1786" s="20">
        <v>51951.51</v>
      </c>
    </row>
    <row r="1787" spans="1:6" ht="13.5" customHeight="1" x14ac:dyDescent="0.3">
      <c r="A1787" s="21">
        <v>45965</v>
      </c>
      <c r="B1787" s="22">
        <v>116.79</v>
      </c>
      <c r="C1787" s="22">
        <v>2252.9</v>
      </c>
      <c r="D1787" s="22">
        <v>161.46</v>
      </c>
      <c r="E1787" s="22">
        <v>205.69</v>
      </c>
      <c r="F1787" s="22">
        <v>53127.12</v>
      </c>
    </row>
    <row r="1788" spans="1:6" ht="13.5" customHeight="1" x14ac:dyDescent="0.3">
      <c r="A1788" s="19">
        <v>45966</v>
      </c>
      <c r="B1788" s="20">
        <v>118.12</v>
      </c>
      <c r="C1788" s="20">
        <v>2281.9499999999998</v>
      </c>
      <c r="D1788" s="20">
        <v>160.28</v>
      </c>
      <c r="E1788" s="20">
        <v>200.39</v>
      </c>
      <c r="F1788" s="20">
        <v>52470.79</v>
      </c>
    </row>
    <row r="1789" spans="1:6" ht="13.5" customHeight="1" x14ac:dyDescent="0.3">
      <c r="A1789" s="21">
        <v>45967</v>
      </c>
      <c r="B1789" s="22">
        <v>117.82</v>
      </c>
      <c r="C1789" s="22">
        <v>2308.19</v>
      </c>
      <c r="D1789" s="22">
        <v>161.16999999999999</v>
      </c>
      <c r="E1789" s="22">
        <v>198.18</v>
      </c>
      <c r="F1789" s="22">
        <v>52534.86</v>
      </c>
    </row>
    <row r="1790" spans="1:6" ht="13.5" customHeight="1" x14ac:dyDescent="0.3">
      <c r="A1790" s="19">
        <v>45968</v>
      </c>
      <c r="B1790" s="20">
        <v>116.39</v>
      </c>
      <c r="C1790" s="20">
        <v>2257.02</v>
      </c>
      <c r="D1790" s="20">
        <v>160.19</v>
      </c>
      <c r="E1790" s="20">
        <v>197.02</v>
      </c>
      <c r="F1790" s="20">
        <v>52158.86</v>
      </c>
    </row>
    <row r="1791" spans="1:6" ht="13.5" customHeight="1" x14ac:dyDescent="0.3">
      <c r="A1791" s="21">
        <v>45971</v>
      </c>
      <c r="B1791" s="22">
        <v>115.26</v>
      </c>
      <c r="C1791" s="22">
        <v>2264.73</v>
      </c>
      <c r="D1791" s="22">
        <v>157.25</v>
      </c>
      <c r="E1791" s="22">
        <v>196.57</v>
      </c>
      <c r="F1791" s="22">
        <v>51932.2</v>
      </c>
    </row>
    <row r="1792" spans="1:6" ht="13.5" customHeight="1" x14ac:dyDescent="0.3">
      <c r="A1792" s="19">
        <v>45972</v>
      </c>
      <c r="B1792" s="20">
        <v>115.73</v>
      </c>
      <c r="C1792" s="20">
        <v>2245.4299999999998</v>
      </c>
      <c r="D1792" s="20">
        <v>152.88999999999999</v>
      </c>
      <c r="E1792" s="20">
        <v>197.6</v>
      </c>
      <c r="F1792" s="20">
        <v>52403.57</v>
      </c>
    </row>
    <row r="1793" spans="1:6" ht="13.5" customHeight="1" x14ac:dyDescent="0.3">
      <c r="A1793" s="21">
        <v>45973</v>
      </c>
      <c r="B1793" s="22">
        <v>114.7</v>
      </c>
      <c r="C1793" s="22">
        <v>2211.04</v>
      </c>
      <c r="D1793" s="22">
        <v>147.19</v>
      </c>
      <c r="E1793" s="22">
        <v>198.68</v>
      </c>
      <c r="F1793" s="22">
        <v>53107.95</v>
      </c>
    </row>
    <row r="1794" spans="1:6" ht="13.5" customHeight="1" x14ac:dyDescent="0.3">
      <c r="A1794" s="19">
        <v>45974</v>
      </c>
      <c r="B1794" s="20">
        <v>114.88</v>
      </c>
      <c r="C1794" s="20">
        <v>2211.36</v>
      </c>
      <c r="D1794" s="20">
        <v>144.80000000000001</v>
      </c>
      <c r="E1794" s="20">
        <v>198.48</v>
      </c>
      <c r="F1794" s="20">
        <v>53111.37</v>
      </c>
    </row>
    <row r="1795" spans="1:6" ht="13.5" customHeight="1" x14ac:dyDescent="0.3">
      <c r="A1795" s="21">
        <v>45975</v>
      </c>
      <c r="B1795" s="22">
        <v>111.32</v>
      </c>
      <c r="C1795" s="22">
        <v>2137.83</v>
      </c>
      <c r="D1795" s="22">
        <v>147.66</v>
      </c>
      <c r="E1795" s="22">
        <v>203.44</v>
      </c>
      <c r="F1795" s="22">
        <v>52928.09</v>
      </c>
    </row>
    <row r="1796" spans="1:6" ht="13.5" customHeight="1" x14ac:dyDescent="0.3">
      <c r="A1796" s="19">
        <v>45978</v>
      </c>
      <c r="B1796" s="20">
        <v>110.5</v>
      </c>
      <c r="C1796" s="20">
        <v>2122.7399999999998</v>
      </c>
      <c r="D1796" s="20">
        <v>145.53</v>
      </c>
      <c r="E1796" s="20">
        <v>204.18</v>
      </c>
      <c r="F1796" s="20">
        <v>52294.9</v>
      </c>
    </row>
    <row r="1797" spans="1:6" ht="13.5" customHeight="1" x14ac:dyDescent="0.3">
      <c r="A1797" s="21">
        <v>45979</v>
      </c>
      <c r="B1797" s="22">
        <v>110.25</v>
      </c>
      <c r="C1797" s="22">
        <v>2194.75</v>
      </c>
      <c r="D1797" s="22">
        <v>145.54</v>
      </c>
      <c r="E1797" s="22">
        <v>208.93</v>
      </c>
      <c r="F1797" s="22">
        <v>52284.2</v>
      </c>
    </row>
    <row r="1798" spans="1:6" ht="13.5" customHeight="1" x14ac:dyDescent="0.3">
      <c r="A1798" s="19">
        <v>45980</v>
      </c>
      <c r="B1798" s="20">
        <v>109.51</v>
      </c>
      <c r="C1798" s="20">
        <v>2212.92</v>
      </c>
      <c r="D1798" s="20">
        <v>148.16999999999999</v>
      </c>
      <c r="E1798" s="20">
        <v>209.55</v>
      </c>
      <c r="F1798" s="20">
        <v>52465.89</v>
      </c>
    </row>
    <row r="1799" spans="1:6" ht="13.5" customHeight="1" x14ac:dyDescent="0.3">
      <c r="A1799" s="21">
        <v>45981</v>
      </c>
      <c r="B1799" s="22">
        <v>108.03</v>
      </c>
      <c r="C1799" s="22">
        <v>2169.92</v>
      </c>
      <c r="D1799" s="22">
        <v>151.29</v>
      </c>
      <c r="E1799" s="22">
        <v>207.12</v>
      </c>
      <c r="F1799" s="22">
        <v>52858.82</v>
      </c>
    </row>
    <row r="1800" spans="1:6" ht="13.5" customHeight="1" x14ac:dyDescent="0.3">
      <c r="A1800" s="19">
        <v>45982</v>
      </c>
      <c r="B1800" s="20">
        <v>106.75</v>
      </c>
      <c r="C1800" s="20">
        <v>2192.39</v>
      </c>
      <c r="D1800" s="20">
        <v>150.02000000000001</v>
      </c>
      <c r="E1800" s="20">
        <v>201.9</v>
      </c>
      <c r="F1800" s="20">
        <v>53438.03</v>
      </c>
    </row>
    <row r="1801" spans="1:6" ht="13.5" customHeight="1" x14ac:dyDescent="0.3">
      <c r="A1801" s="21">
        <v>45985</v>
      </c>
      <c r="B1801" s="22">
        <v>106.88</v>
      </c>
      <c r="C1801" s="22">
        <v>2197.12</v>
      </c>
      <c r="D1801" s="22">
        <v>151.76</v>
      </c>
      <c r="E1801" s="22">
        <v>191.34</v>
      </c>
      <c r="F1801" s="22">
        <v>53118.34</v>
      </c>
    </row>
    <row r="1802" spans="1:6" ht="13.5" customHeight="1" x14ac:dyDescent="0.3">
      <c r="A1802" s="19">
        <v>45986</v>
      </c>
      <c r="B1802" s="20">
        <v>109.12</v>
      </c>
      <c r="C1802" s="20">
        <v>2185.9899999999998</v>
      </c>
      <c r="D1802" s="20">
        <v>150.93</v>
      </c>
      <c r="E1802" s="20">
        <v>189.87</v>
      </c>
      <c r="F1802" s="20">
        <v>52729.13</v>
      </c>
    </row>
    <row r="1803" spans="1:6" ht="13.5" customHeight="1" x14ac:dyDescent="0.3">
      <c r="A1803" s="21">
        <v>45987</v>
      </c>
      <c r="B1803" s="22">
        <v>107.04</v>
      </c>
      <c r="C1803" s="22">
        <v>2164.71</v>
      </c>
      <c r="D1803" s="22">
        <v>146.38</v>
      </c>
      <c r="E1803" s="22">
        <v>185.81</v>
      </c>
      <c r="F1803" s="22">
        <v>53542.89</v>
      </c>
    </row>
    <row r="1804" spans="1:6" ht="13.5" customHeight="1" x14ac:dyDescent="0.3">
      <c r="A1804" s="19">
        <v>45988</v>
      </c>
      <c r="B1804" s="20">
        <v>106.66</v>
      </c>
      <c r="C1804" s="20">
        <v>2166.02</v>
      </c>
      <c r="D1804" s="20">
        <v>148.63999999999999</v>
      </c>
      <c r="E1804" s="20">
        <v>185.82</v>
      </c>
      <c r="F1804" s="20">
        <v>53722.96</v>
      </c>
    </row>
    <row r="1805" spans="1:6" ht="13.5" customHeight="1" x14ac:dyDescent="0.3">
      <c r="A1805" s="21">
        <v>45989</v>
      </c>
      <c r="B1805" s="22">
        <v>108.14</v>
      </c>
      <c r="C1805" s="22">
        <v>2144.6799999999998</v>
      </c>
      <c r="D1805" s="22">
        <v>148.96</v>
      </c>
      <c r="E1805" s="22">
        <v>190.41</v>
      </c>
      <c r="F1805" s="22">
        <v>52697.83</v>
      </c>
    </row>
    <row r="1806" spans="1:6" ht="13.5" customHeight="1" x14ac:dyDescent="0.3">
      <c r="A1806" s="19">
        <v>45992</v>
      </c>
      <c r="B1806" s="20">
        <v>108.68</v>
      </c>
      <c r="C1806" s="20">
        <v>2139.41</v>
      </c>
      <c r="D1806" s="20">
        <v>146.96</v>
      </c>
      <c r="E1806" s="20">
        <v>182.37</v>
      </c>
      <c r="F1806" s="20">
        <v>53675.17</v>
      </c>
    </row>
    <row r="1807" spans="1:6" ht="13.5" customHeight="1" x14ac:dyDescent="0.3">
      <c r="A1807" s="21">
        <v>45993</v>
      </c>
      <c r="B1807" s="22">
        <v>108.57</v>
      </c>
      <c r="C1807" s="22">
        <v>2168.59</v>
      </c>
      <c r="D1807" s="22">
        <v>147.5</v>
      </c>
      <c r="E1807" s="22">
        <v>184.77</v>
      </c>
      <c r="F1807" s="22">
        <v>53278.28</v>
      </c>
    </row>
    <row r="1808" spans="1:6" ht="13.5" customHeight="1" x14ac:dyDescent="0.3">
      <c r="A1808" s="19">
        <v>45994</v>
      </c>
      <c r="B1808" s="20">
        <v>107.93</v>
      </c>
      <c r="C1808" s="20">
        <v>2201.08</v>
      </c>
      <c r="D1808" s="20">
        <v>148.33000000000001</v>
      </c>
      <c r="E1808" s="20">
        <v>179.57</v>
      </c>
      <c r="F1808" s="20">
        <v>53787.09</v>
      </c>
    </row>
    <row r="1809" spans="1:6" ht="13.5" customHeight="1" x14ac:dyDescent="0.3">
      <c r="A1809" s="21">
        <v>45995</v>
      </c>
      <c r="B1809" s="22">
        <v>107.98</v>
      </c>
      <c r="C1809" s="22">
        <v>2152.0500000000002</v>
      </c>
      <c r="D1809" s="22">
        <v>148.78</v>
      </c>
      <c r="E1809" s="22">
        <v>173.37</v>
      </c>
      <c r="F1809" s="22">
        <v>53605.77</v>
      </c>
    </row>
    <row r="1810" spans="1:6" ht="13.5" customHeight="1" x14ac:dyDescent="0.3">
      <c r="A1810" s="19">
        <v>45996</v>
      </c>
      <c r="B1810" s="20">
        <v>107.86</v>
      </c>
      <c r="C1810" s="20">
        <v>2135.56</v>
      </c>
      <c r="D1810" s="20">
        <v>146.57</v>
      </c>
      <c r="E1810" s="20">
        <v>180.78</v>
      </c>
      <c r="F1810" s="20">
        <v>53658.62</v>
      </c>
    </row>
    <row r="1811" spans="1:6" ht="13.5" customHeight="1" x14ac:dyDescent="0.3">
      <c r="A1811" s="21">
        <v>45999</v>
      </c>
      <c r="B1811" s="22">
        <v>104.63</v>
      </c>
      <c r="C1811" s="22">
        <v>2197.36</v>
      </c>
      <c r="D1811" s="22">
        <v>146.22</v>
      </c>
      <c r="E1811" s="22">
        <v>183.46</v>
      </c>
      <c r="F1811" s="22">
        <v>54692.77</v>
      </c>
    </row>
    <row r="1812" spans="1:6" ht="13.5" customHeight="1" x14ac:dyDescent="0.3">
      <c r="A1812" s="19">
        <v>46000</v>
      </c>
      <c r="B1812" s="20">
        <v>103.63</v>
      </c>
      <c r="C1812" s="20">
        <v>2268.29</v>
      </c>
      <c r="D1812" s="20">
        <v>146.99</v>
      </c>
      <c r="E1812" s="20">
        <v>173.23</v>
      </c>
      <c r="F1812" s="20">
        <v>53582.79</v>
      </c>
    </row>
    <row r="1813" spans="1:6" ht="13.5" customHeight="1" x14ac:dyDescent="0.3">
      <c r="A1813" s="21">
        <v>46001</v>
      </c>
      <c r="B1813" s="22">
        <v>100.86</v>
      </c>
      <c r="C1813" s="22">
        <v>2284.44</v>
      </c>
      <c r="D1813" s="22">
        <v>148.79</v>
      </c>
      <c r="E1813" s="22">
        <v>177.71</v>
      </c>
      <c r="F1813" s="22">
        <v>53406.87</v>
      </c>
    </row>
    <row r="1814" spans="1:6" ht="13.5" customHeight="1" x14ac:dyDescent="0.3">
      <c r="A1814" s="19">
        <v>46002</v>
      </c>
      <c r="B1814" s="20">
        <v>102.7</v>
      </c>
      <c r="C1814" s="20">
        <v>2350.65</v>
      </c>
      <c r="D1814" s="20">
        <v>148.34</v>
      </c>
      <c r="E1814" s="20">
        <v>177.03</v>
      </c>
      <c r="F1814" s="20">
        <v>52986.77</v>
      </c>
    </row>
    <row r="1815" spans="1:6" ht="13.5" customHeight="1" x14ac:dyDescent="0.3">
      <c r="A1815" s="21">
        <v>46003</v>
      </c>
      <c r="B1815" s="22">
        <v>103.9</v>
      </c>
      <c r="C1815" s="22">
        <v>2402.15</v>
      </c>
      <c r="D1815" s="22">
        <v>145.87</v>
      </c>
      <c r="E1815" s="22">
        <v>182.11</v>
      </c>
      <c r="F1815" s="22">
        <v>52840.49</v>
      </c>
    </row>
    <row r="1816" spans="1:6" ht="13.5" customHeight="1" x14ac:dyDescent="0.3">
      <c r="A1816" s="19">
        <v>46006</v>
      </c>
      <c r="B1816" s="20">
        <v>102.8</v>
      </c>
      <c r="C1816" s="20">
        <v>2397.98</v>
      </c>
      <c r="D1816" s="20">
        <v>146.9</v>
      </c>
      <c r="E1816" s="20">
        <v>179.01</v>
      </c>
      <c r="F1816" s="20">
        <v>52670.86</v>
      </c>
    </row>
    <row r="1817" spans="1:6" ht="13.5" customHeight="1" x14ac:dyDescent="0.3">
      <c r="A1817" s="21">
        <v>46007</v>
      </c>
      <c r="B1817" s="22">
        <v>103.98</v>
      </c>
      <c r="C1817" s="22">
        <v>2314.9699999999998</v>
      </c>
      <c r="D1817" s="22">
        <v>149.82</v>
      </c>
      <c r="E1817" s="22">
        <v>179.76</v>
      </c>
      <c r="F1817" s="22">
        <v>53241.599999999999</v>
      </c>
    </row>
    <row r="1818" spans="1:6" ht="13.5" customHeight="1" x14ac:dyDescent="0.3">
      <c r="A1818" s="19">
        <v>46008</v>
      </c>
      <c r="B1818" s="20">
        <v>107.54</v>
      </c>
      <c r="C1818" s="20">
        <v>2313.85</v>
      </c>
      <c r="D1818" s="20">
        <v>148.47999999999999</v>
      </c>
      <c r="E1818" s="20">
        <v>180.24</v>
      </c>
      <c r="F1818" s="20">
        <v>53519.98</v>
      </c>
    </row>
    <row r="1819" spans="1:6" ht="13.5" customHeight="1" x14ac:dyDescent="0.3">
      <c r="A1819" s="21">
        <v>46009</v>
      </c>
      <c r="B1819" s="22">
        <v>106.64</v>
      </c>
      <c r="C1819" s="22">
        <v>2262.9</v>
      </c>
      <c r="D1819" s="22">
        <v>149.72</v>
      </c>
      <c r="E1819" s="22">
        <v>173.27</v>
      </c>
      <c r="F1819" s="22">
        <v>53252.65</v>
      </c>
    </row>
    <row r="1820" spans="1:6" ht="13.5" customHeight="1" x14ac:dyDescent="0.3">
      <c r="A1820" s="19">
        <v>46010</v>
      </c>
      <c r="B1820" s="20">
        <v>108.6</v>
      </c>
      <c r="C1820" s="20">
        <v>2269.69</v>
      </c>
      <c r="D1820" s="20">
        <v>152.25</v>
      </c>
      <c r="E1820" s="20">
        <v>173.78</v>
      </c>
      <c r="F1820" s="20">
        <v>54181.08</v>
      </c>
    </row>
    <row r="1821" spans="1:6" ht="13.5" customHeight="1" x14ac:dyDescent="0.3">
      <c r="A1821" s="21">
        <v>46013</v>
      </c>
      <c r="B1821" s="22">
        <v>109.18</v>
      </c>
      <c r="C1821" s="22">
        <v>2340.9499999999998</v>
      </c>
      <c r="D1821" s="22">
        <v>154.85</v>
      </c>
      <c r="E1821" s="22">
        <v>176.48</v>
      </c>
      <c r="F1821" s="22">
        <v>54717.83</v>
      </c>
    </row>
    <row r="1822" spans="1:6" ht="13.5" customHeight="1" x14ac:dyDescent="0.3">
      <c r="A1822" s="19">
        <v>46014</v>
      </c>
      <c r="B1822" s="20">
        <v>108.85</v>
      </c>
      <c r="C1822" s="20">
        <v>2352.61</v>
      </c>
      <c r="D1822" s="20">
        <v>158.19</v>
      </c>
      <c r="E1822" s="20">
        <v>173.37</v>
      </c>
      <c r="F1822" s="20">
        <v>54189.89</v>
      </c>
    </row>
    <row r="1823" spans="1:6" ht="13.5" customHeight="1" x14ac:dyDescent="0.3">
      <c r="A1823" s="21">
        <v>46015</v>
      </c>
      <c r="B1823" s="22">
        <v>107.22</v>
      </c>
      <c r="C1823" s="22">
        <v>2321.4299999999998</v>
      </c>
      <c r="D1823" s="22">
        <v>158.96</v>
      </c>
      <c r="E1823" s="22">
        <v>175.17</v>
      </c>
      <c r="F1823" s="22">
        <v>53978.879999999997</v>
      </c>
    </row>
    <row r="1824" spans="1:6" ht="13.5" customHeight="1" x14ac:dyDescent="0.3">
      <c r="A1824" s="19">
        <v>46016</v>
      </c>
      <c r="B1824" s="20">
        <v>106.43</v>
      </c>
      <c r="C1824" s="20">
        <v>2274.9299999999998</v>
      </c>
      <c r="D1824" s="20">
        <v>162.54</v>
      </c>
      <c r="E1824" s="20">
        <v>177.43</v>
      </c>
      <c r="F1824" s="20">
        <v>53582.96</v>
      </c>
    </row>
    <row r="1825" spans="1:6" ht="13.5" customHeight="1" x14ac:dyDescent="0.3">
      <c r="A1825" s="21">
        <v>46017</v>
      </c>
      <c r="B1825" s="22">
        <v>105.88</v>
      </c>
      <c r="C1825" s="22">
        <v>2197.52</v>
      </c>
      <c r="D1825" s="22">
        <v>166.07</v>
      </c>
      <c r="E1825" s="22">
        <v>177.59</v>
      </c>
      <c r="F1825" s="22">
        <v>53731.83</v>
      </c>
    </row>
    <row r="1826" spans="1:6" ht="13.5" customHeight="1" x14ac:dyDescent="0.3">
      <c r="A1826" s="19">
        <v>46020</v>
      </c>
      <c r="B1826" s="20">
        <v>102.51</v>
      </c>
      <c r="C1826" s="20">
        <v>2124.9499999999998</v>
      </c>
      <c r="D1826" s="20">
        <v>163.97</v>
      </c>
      <c r="E1826" s="20">
        <v>181.48</v>
      </c>
      <c r="F1826" s="20">
        <v>53516.31</v>
      </c>
    </row>
    <row r="1827" spans="1:6" ht="13.5" customHeight="1" x14ac:dyDescent="0.3">
      <c r="A1827" s="21">
        <v>46021</v>
      </c>
      <c r="B1827" s="22">
        <v>103.3</v>
      </c>
      <c r="C1827" s="22">
        <v>2187.19</v>
      </c>
      <c r="D1827" s="22">
        <v>164.84</v>
      </c>
      <c r="E1827" s="22">
        <v>183.76</v>
      </c>
      <c r="F1827" s="22">
        <v>53987.95</v>
      </c>
    </row>
    <row r="1828" spans="1:6" ht="13.5" customHeight="1" x14ac:dyDescent="0.3">
      <c r="A1828" s="19">
        <v>46022</v>
      </c>
      <c r="B1828" s="20">
        <v>102.87</v>
      </c>
      <c r="C1828" s="20">
        <v>2221.5100000000002</v>
      </c>
      <c r="D1828" s="20">
        <v>165.51</v>
      </c>
      <c r="E1828" s="20">
        <v>189.46</v>
      </c>
      <c r="F1828" s="20">
        <v>53682.7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8"/>
  <sheetViews>
    <sheetView showGridLines="0" zoomScaleNormal="100" workbookViewId="0"/>
  </sheetViews>
  <sheetFormatPr defaultColWidth="8.6640625" defaultRowHeight="14.4" x14ac:dyDescent="0.3"/>
  <cols>
    <col min="1" max="5" width="14" customWidth="1"/>
    <col min="6" max="6" width="16" customWidth="1"/>
  </cols>
  <sheetData>
    <row r="1" spans="1:6" ht="21.75" customHeight="1" x14ac:dyDescent="0.3">
      <c r="A1" s="18" t="s">
        <v>18</v>
      </c>
      <c r="B1" s="18" t="s">
        <v>24</v>
      </c>
      <c r="C1" s="18" t="s">
        <v>25</v>
      </c>
      <c r="D1" s="18" t="s">
        <v>26</v>
      </c>
      <c r="E1" s="18" t="s">
        <v>27</v>
      </c>
      <c r="F1" s="18" t="s">
        <v>28</v>
      </c>
    </row>
    <row r="2" spans="1:6" ht="15" customHeight="1" x14ac:dyDescent="0.3">
      <c r="A2" s="19">
        <v>43466</v>
      </c>
      <c r="B2" s="23"/>
      <c r="C2" s="23"/>
      <c r="D2" s="23"/>
      <c r="E2" s="23"/>
      <c r="F2" s="24"/>
    </row>
    <row r="3" spans="1:6" ht="15" customHeight="1" x14ac:dyDescent="0.3">
      <c r="A3" s="21">
        <v>43467</v>
      </c>
      <c r="B3" s="25">
        <f>('Raw Price Data'!B3-'Raw Price Data'!B2)/'Raw Price Data'!B2</f>
        <v>-1.7142857142857792E-3</v>
      </c>
      <c r="C3" s="25">
        <f>('Raw Price Data'!C3-'Raw Price Data'!C2)/'Raw Price Data'!C2</f>
        <v>-6.800000000000017E-3</v>
      </c>
      <c r="D3" s="25">
        <f>('Raw Price Data'!D3-'Raw Price Data'!D2)/'Raw Price Data'!D2</f>
        <v>-2.0000000000000759E-3</v>
      </c>
      <c r="E3" s="25">
        <f>('Raw Price Data'!E3-'Raw Price Data'!E2)/'Raw Price Data'!E2</f>
        <v>-5.7500000000000485E-3</v>
      </c>
      <c r="F3" s="25">
        <f>('Raw Price Data'!F3-'Raw Price Data'!F2)/'Raw Price Data'!F2</f>
        <v>1.2151351351351312E-2</v>
      </c>
    </row>
    <row r="4" spans="1:6" ht="15" customHeight="1" x14ac:dyDescent="0.3">
      <c r="A4" s="19">
        <v>43468</v>
      </c>
      <c r="B4" s="26">
        <f>('Raw Price Data'!B4-'Raw Price Data'!B3)/'Raw Price Data'!B3</f>
        <v>-2.0749856897538071E-3</v>
      </c>
      <c r="C4" s="26">
        <f>('Raw Price Data'!C4-'Raw Price Data'!C3)/'Raw Price Data'!C3</f>
        <v>5.3472705305166103E-2</v>
      </c>
      <c r="D4" s="26">
        <f>('Raw Price Data'!D4-'Raw Price Data'!D3)/'Raw Price Data'!D3</f>
        <v>-4.0080160320642806E-4</v>
      </c>
      <c r="E4" s="26">
        <f>('Raw Price Data'!E4-'Raw Price Data'!E3)/'Raw Price Data'!E3</f>
        <v>-3.7465426200653788E-2</v>
      </c>
      <c r="F4" s="26">
        <f>('Raw Price Data'!F4-'Raw Price Data'!F3)/'Raw Price Data'!F3</f>
        <v>-1.2763821242415309E-3</v>
      </c>
    </row>
    <row r="5" spans="1:6" ht="15" customHeight="1" x14ac:dyDescent="0.3">
      <c r="A5" s="21">
        <v>43469</v>
      </c>
      <c r="B5" s="25">
        <f>('Raw Price Data'!B5-'Raw Price Data'!B4)/'Raw Price Data'!B4</f>
        <v>-1.2189001218899226E-3</v>
      </c>
      <c r="C5" s="25">
        <f>('Raw Price Data'!C5-'Raw Price Data'!C4)/'Raw Price Data'!C4</f>
        <v>-2.863746155316527E-2</v>
      </c>
      <c r="D5" s="25">
        <f>('Raw Price Data'!D5-'Raw Price Data'!D4)/'Raw Price Data'!D4</f>
        <v>2.004811547714591E-4</v>
      </c>
      <c r="E5" s="25">
        <f>('Raw Price Data'!E5-'Raw Price Data'!E4)/'Raw Price Data'!E4</f>
        <v>1.3882669055082951E-2</v>
      </c>
      <c r="F5" s="25">
        <f>('Raw Price Data'!F5-'Raw Price Data'!F4)/'Raw Price Data'!F4</f>
        <v>8.0338379436282713E-3</v>
      </c>
    </row>
    <row r="6" spans="1:6" ht="15" customHeight="1" x14ac:dyDescent="0.3">
      <c r="A6" s="19">
        <v>43472</v>
      </c>
      <c r="B6" s="26">
        <f>('Raw Price Data'!B6-'Raw Price Data'!B5)/'Raw Price Data'!B5</f>
        <v>1.0050251256281242E-2</v>
      </c>
      <c r="C6" s="26">
        <f>('Raw Price Data'!C6-'Raw Price Data'!C5)/'Raw Price Data'!C5</f>
        <v>-1.5850015205996555E-2</v>
      </c>
      <c r="D6" s="26">
        <f>('Raw Price Data'!D6-'Raw Price Data'!D5)/'Raw Price Data'!D5</f>
        <v>2.2315761341618251E-2</v>
      </c>
      <c r="E6" s="26">
        <f>('Raw Price Data'!E6-'Raw Price Data'!E5)/'Raw Price Data'!E5</f>
        <v>1.6526796230859869E-2</v>
      </c>
      <c r="F6" s="26">
        <f>('Raw Price Data'!F6-'Raw Price Data'!F5)/'Raw Price Data'!F5</f>
        <v>4.234757155270278E-3</v>
      </c>
    </row>
    <row r="7" spans="1:6" ht="15" customHeight="1" x14ac:dyDescent="0.3">
      <c r="A7" s="21">
        <v>43473</v>
      </c>
      <c r="B7" s="25">
        <f>('Raw Price Data'!B7-'Raw Price Data'!B6)/'Raw Price Data'!B6</f>
        <v>-1.4214641080311915E-3</v>
      </c>
      <c r="C7" s="25">
        <f>('Raw Price Data'!C7-'Raw Price Data'!C6)/'Raw Price Data'!C6</f>
        <v>1.3033283042189954E-2</v>
      </c>
      <c r="D7" s="25">
        <f>('Raw Price Data'!D7-'Raw Price Data'!D6)/'Raw Price Data'!D6</f>
        <v>6.5355205542121436E-3</v>
      </c>
      <c r="E7" s="25">
        <f>('Raw Price Data'!E7-'Raw Price Data'!E6)/'Raw Price Data'!E6</f>
        <v>2.2232682767860324E-2</v>
      </c>
      <c r="F7" s="25">
        <f>('Raw Price Data'!F7-'Raw Price Data'!F6)/'Raw Price Data'!F6</f>
        <v>5.3647541568127609E-3</v>
      </c>
    </row>
    <row r="8" spans="1:6" ht="15" customHeight="1" x14ac:dyDescent="0.3">
      <c r="A8" s="19">
        <v>43474</v>
      </c>
      <c r="B8" s="26">
        <f>('Raw Price Data'!B8-'Raw Price Data'!B7)/'Raw Price Data'!B7</f>
        <v>-2.0427046263345228E-2</v>
      </c>
      <c r="C8" s="26">
        <f>('Raw Price Data'!C8-'Raw Price Data'!C7)/'Raw Price Data'!C7</f>
        <v>4.2185537412524662E-2</v>
      </c>
      <c r="D8" s="26">
        <f>('Raw Price Data'!D8-'Raw Price Data'!D7)/'Raw Price Data'!D7</f>
        <v>-3.0842153106941109E-2</v>
      </c>
      <c r="E8" s="26">
        <f>('Raw Price Data'!E8-'Raw Price Data'!E7)/'Raw Price Data'!E7</f>
        <v>2.5964365413906641E-2</v>
      </c>
      <c r="F8" s="26">
        <f>('Raw Price Data'!F8-'Raw Price Data'!F7)/'Raw Price Data'!F7</f>
        <v>8.7621036194346965E-3</v>
      </c>
    </row>
    <row r="9" spans="1:6" ht="15" customHeight="1" x14ac:dyDescent="0.3">
      <c r="A9" s="21">
        <v>43475</v>
      </c>
      <c r="B9" s="25">
        <f>('Raw Price Data'!B9-'Raw Price Data'!B8)/'Raw Price Data'!B8</f>
        <v>4.9407832594638296E-3</v>
      </c>
      <c r="C9" s="25">
        <f>('Raw Price Data'!C9-'Raw Price Data'!C8)/'Raw Price Data'!C8</f>
        <v>-1.6907422392865027E-2</v>
      </c>
      <c r="D9" s="25">
        <f>('Raw Price Data'!D9-'Raw Price Data'!D8)/'Raw Price Data'!D8</f>
        <v>1.7084282460136751E-2</v>
      </c>
      <c r="E9" s="25">
        <f>('Raw Price Data'!E9-'Raw Price Data'!E8)/'Raw Price Data'!E8</f>
        <v>-1.0944620908714125E-2</v>
      </c>
      <c r="F9" s="25">
        <f>('Raw Price Data'!F9-'Raw Price Data'!F8)/'Raw Price Data'!F8</f>
        <v>-3.2368376026305551E-3</v>
      </c>
    </row>
    <row r="10" spans="1:6" ht="15" customHeight="1" x14ac:dyDescent="0.3">
      <c r="A10" s="19">
        <v>43476</v>
      </c>
      <c r="B10" s="26">
        <f>('Raw Price Data'!B10-'Raw Price Data'!B9)/'Raw Price Data'!B9</f>
        <v>-3.3981635456582955E-3</v>
      </c>
      <c r="C10" s="26">
        <f>('Raw Price Data'!C10-'Raw Price Data'!C9)/'Raw Price Data'!C9</f>
        <v>3.2855216378570536E-2</v>
      </c>
      <c r="D10" s="26">
        <f>('Raw Price Data'!D10-'Raw Price Data'!D9)/'Raw Price Data'!D9</f>
        <v>-2.9971675120216135E-2</v>
      </c>
      <c r="E10" s="26">
        <f>('Raw Price Data'!E10-'Raw Price Data'!E9)/'Raw Price Data'!E9</f>
        <v>-2.548259852689699E-3</v>
      </c>
      <c r="F10" s="26">
        <f>('Raw Price Data'!F10-'Raw Price Data'!F9)/'Raw Price Data'!F9</f>
        <v>-3.281836637116827E-3</v>
      </c>
    </row>
    <row r="11" spans="1:6" ht="15" customHeight="1" x14ac:dyDescent="0.3">
      <c r="A11" s="21">
        <v>43479</v>
      </c>
      <c r="B11" s="25">
        <f>('Raw Price Data'!B11-'Raw Price Data'!B10)/'Raw Price Data'!B10</f>
        <v>-2.6842716192687502E-3</v>
      </c>
      <c r="C11" s="25">
        <f>('Raw Price Data'!C11-'Raw Price Data'!C10)/'Raw Price Data'!C10</f>
        <v>-1.5565917761763375E-2</v>
      </c>
      <c r="D11" s="25">
        <f>('Raw Price Data'!D11-'Raw Price Data'!D10)/'Raw Price Data'!D10</f>
        <v>-5.9758250713024281E-3</v>
      </c>
      <c r="E11" s="25">
        <f>('Raw Price Data'!E11-'Raw Price Data'!E10)/'Raw Price Data'!E10</f>
        <v>2.9642332190102788E-2</v>
      </c>
      <c r="F11" s="25">
        <f>('Raw Price Data'!F11-'Raw Price Data'!F10)/'Raw Price Data'!F10</f>
        <v>-2.0081685635863347E-2</v>
      </c>
    </row>
    <row r="12" spans="1:6" ht="15" customHeight="1" x14ac:dyDescent="0.3">
      <c r="A12" s="19">
        <v>43480</v>
      </c>
      <c r="B12" s="26">
        <f>('Raw Price Data'!B12-'Raw Price Data'!B11)/'Raw Price Data'!B11</f>
        <v>1.8913217429256631E-3</v>
      </c>
      <c r="C12" s="26">
        <f>('Raw Price Data'!C12-'Raw Price Data'!C11)/'Raw Price Data'!C11</f>
        <v>2.3408030039443851E-2</v>
      </c>
      <c r="D12" s="26">
        <f>('Raw Price Data'!D12-'Raw Price Data'!D11)/'Raw Price Data'!D11</f>
        <v>-2.1451017898619938E-2</v>
      </c>
      <c r="E12" s="26">
        <f>('Raw Price Data'!E12-'Raw Price Data'!E11)/'Raw Price Data'!E11</f>
        <v>2.0869446993644142E-2</v>
      </c>
      <c r="F12" s="26">
        <f>('Raw Price Data'!F12-'Raw Price Data'!F11)/'Raw Price Data'!F11</f>
        <v>2.9436154788591721E-3</v>
      </c>
    </row>
    <row r="13" spans="1:6" ht="15" customHeight="1" x14ac:dyDescent="0.3">
      <c r="A13" s="21">
        <v>43481</v>
      </c>
      <c r="B13" s="25">
        <f>('Raw Price Data'!B13-'Raw Price Data'!B12)/'Raw Price Data'!B12</f>
        <v>3.5576853263632408E-3</v>
      </c>
      <c r="C13" s="25">
        <f>('Raw Price Data'!C13-'Raw Price Data'!C12)/'Raw Price Data'!C12</f>
        <v>1.918675104348974E-3</v>
      </c>
      <c r="D13" s="25">
        <f>('Raw Price Data'!D13-'Raw Price Data'!D12)/'Raw Price Data'!D12</f>
        <v>1.047193521362589E-3</v>
      </c>
      <c r="E13" s="25">
        <f>('Raw Price Data'!E13-'Raw Price Data'!E12)/'Raw Price Data'!E12</f>
        <v>-1.3450973863825605E-2</v>
      </c>
      <c r="F13" s="25">
        <f>('Raw Price Data'!F13-'Raw Price Data'!F12)/'Raw Price Data'!F12</f>
        <v>-1.2938272684985546E-2</v>
      </c>
    </row>
    <row r="14" spans="1:6" ht="15" customHeight="1" x14ac:dyDescent="0.3">
      <c r="A14" s="19">
        <v>43482</v>
      </c>
      <c r="B14" s="26">
        <f>('Raw Price Data'!B14-'Raw Price Data'!B13)/'Raw Price Data'!B13</f>
        <v>1.6423093618868546E-2</v>
      </c>
      <c r="C14" s="26">
        <f>('Raw Price Data'!C14-'Raw Price Data'!C13)/'Raw Price Data'!C13</f>
        <v>3.9929447337477067E-2</v>
      </c>
      <c r="D14" s="26">
        <f>('Raw Price Data'!D14-'Raw Price Data'!D13)/'Raw Price Data'!D13</f>
        <v>-1.9387683938907684E-2</v>
      </c>
      <c r="E14" s="26">
        <f>('Raw Price Data'!E14-'Raw Price Data'!E13)/'Raw Price Data'!E13</f>
        <v>-4.4142958388174496E-2</v>
      </c>
      <c r="F14" s="26">
        <f>('Raw Price Data'!F14-'Raw Price Data'!F13)/'Raw Price Data'!F13</f>
        <v>-8.3799116666734928E-3</v>
      </c>
    </row>
    <row r="15" spans="1:6" ht="15" customHeight="1" x14ac:dyDescent="0.3">
      <c r="A15" s="21">
        <v>43483</v>
      </c>
      <c r="B15" s="25">
        <f>('Raw Price Data'!B15-'Raw Price Data'!B14)/'Raw Price Data'!B14</f>
        <v>9.3956865257313199E-3</v>
      </c>
      <c r="C15" s="25">
        <f>('Raw Price Data'!C15-'Raw Price Data'!C14)/'Raw Price Data'!C14</f>
        <v>3.203191884601083E-2</v>
      </c>
      <c r="D15" s="25">
        <f>('Raw Price Data'!D15-'Raw Price Data'!D14)/'Raw Price Data'!D14</f>
        <v>-2.1335609131640707E-2</v>
      </c>
      <c r="E15" s="25">
        <f>('Raw Price Data'!E15-'Raw Price Data'!E14)/'Raw Price Data'!E14</f>
        <v>-3.8484623803976691E-3</v>
      </c>
      <c r="F15" s="25">
        <f>('Raw Price Data'!F15-'Raw Price Data'!F14)/'Raw Price Data'!F14</f>
        <v>-3.9926501665102105E-3</v>
      </c>
    </row>
    <row r="16" spans="1:6" ht="15" customHeight="1" x14ac:dyDescent="0.3">
      <c r="A16" s="19">
        <v>43486</v>
      </c>
      <c r="B16" s="26">
        <f>('Raw Price Data'!B16-'Raw Price Data'!B15)/'Raw Price Data'!B15</f>
        <v>1.903955997461464E-3</v>
      </c>
      <c r="C16" s="26">
        <f>('Raw Price Data'!C16-'Raw Price Data'!C15)/'Raw Price Data'!C15</f>
        <v>-1.0831115980591579E-2</v>
      </c>
      <c r="D16" s="26">
        <f>('Raw Price Data'!D16-'Raw Price Data'!D15)/'Raw Price Data'!D15</f>
        <v>-1.6059879369231943E-2</v>
      </c>
      <c r="E16" s="26">
        <f>('Raw Price Data'!E16-'Raw Price Data'!E15)/'Raw Price Data'!E15</f>
        <v>-1.9706528673708097E-2</v>
      </c>
      <c r="F16" s="26">
        <f>('Raw Price Data'!F16-'Raw Price Data'!F15)/'Raw Price Data'!F15</f>
        <v>7.7863998461323814E-3</v>
      </c>
    </row>
    <row r="17" spans="1:6" ht="15" customHeight="1" x14ac:dyDescent="0.3">
      <c r="A17" s="21">
        <v>43487</v>
      </c>
      <c r="B17" s="25">
        <f>('Raw Price Data'!B17-'Raw Price Data'!B16)/'Raw Price Data'!B16</f>
        <v>-9.9239864864866609E-3</v>
      </c>
      <c r="C17" s="25">
        <f>('Raw Price Data'!C17-'Raw Price Data'!C16)/'Raw Price Data'!C16</f>
        <v>5.2375075160606382E-2</v>
      </c>
      <c r="D17" s="25">
        <f>('Raw Price Data'!D17-'Raw Price Data'!D16)/'Raw Price Data'!D16</f>
        <v>1.3220088626292408E-2</v>
      </c>
      <c r="E17" s="25">
        <f>('Raw Price Data'!E17-'Raw Price Data'!E16)/'Raw Price Data'!E16</f>
        <v>1.6631715959217457E-3</v>
      </c>
      <c r="F17" s="25">
        <f>('Raw Price Data'!F17-'Raw Price Data'!F16)/'Raw Price Data'!F16</f>
        <v>6.8762452318428839E-3</v>
      </c>
    </row>
    <row r="18" spans="1:6" ht="15" customHeight="1" x14ac:dyDescent="0.3">
      <c r="A18" s="19">
        <v>43488</v>
      </c>
      <c r="B18" s="26">
        <f>('Raw Price Data'!B18-'Raw Price Data'!B17)/'Raw Price Data'!B17</f>
        <v>-1.3791142389990744E-2</v>
      </c>
      <c r="C18" s="26">
        <f>('Raw Price Data'!C18-'Raw Price Data'!C17)/'Raw Price Data'!C17</f>
        <v>-1.9230769230769346E-2</v>
      </c>
      <c r="D18" s="26">
        <f>('Raw Price Data'!D18-'Raw Price Data'!D17)/'Raw Price Data'!D17</f>
        <v>-2.5512063561483659E-3</v>
      </c>
      <c r="E18" s="26">
        <f>('Raw Price Data'!E18-'Raw Price Data'!E17)/'Raw Price Data'!E17</f>
        <v>1.8805948599480145E-2</v>
      </c>
      <c r="F18" s="26">
        <f>('Raw Price Data'!F18-'Raw Price Data'!F17)/'Raw Price Data'!F17</f>
        <v>5.6027695692498977E-3</v>
      </c>
    </row>
    <row r="19" spans="1:6" ht="15" customHeight="1" x14ac:dyDescent="0.3">
      <c r="A19" s="21">
        <v>43489</v>
      </c>
      <c r="B19" s="25">
        <f>('Raw Price Data'!B19-'Raw Price Data'!B18)/'Raw Price Data'!B18</f>
        <v>3.7482880415195723E-3</v>
      </c>
      <c r="C19" s="25">
        <f>('Raw Price Data'!C19-'Raw Price Data'!C18)/'Raw Price Data'!C18</f>
        <v>-4.9364546444064968E-3</v>
      </c>
      <c r="D19" s="25">
        <f>('Raw Price Data'!D19-'Raw Price Data'!D18)/'Raw Price Data'!D18</f>
        <v>1.0888629055831694E-2</v>
      </c>
      <c r="E19" s="25">
        <f>('Raw Price Data'!E19-'Raw Price Data'!E18)/'Raw Price Data'!E18</f>
        <v>-2.6855624446412697E-2</v>
      </c>
      <c r="F19" s="25">
        <f>('Raw Price Data'!F19-'Raw Price Data'!F18)/'Raw Price Data'!F18</f>
        <v>-1.6918432243153141E-3</v>
      </c>
    </row>
    <row r="20" spans="1:6" ht="15" customHeight="1" x14ac:dyDescent="0.3">
      <c r="A20" s="19">
        <v>43490</v>
      </c>
      <c r="B20" s="26">
        <f>('Raw Price Data'!B20-'Raw Price Data'!B19)/'Raw Price Data'!B19</f>
        <v>1.8527827648114992E-2</v>
      </c>
      <c r="C20" s="26">
        <f>('Raw Price Data'!C20-'Raw Price Data'!C19)/'Raw Price Data'!C19</f>
        <v>3.2477236661685067E-2</v>
      </c>
      <c r="D20" s="26">
        <f>('Raw Price Data'!D20-'Raw Price Data'!D19)/'Raw Price Data'!D19</f>
        <v>2.1831851369912395E-2</v>
      </c>
      <c r="E20" s="26">
        <f>('Raw Price Data'!E20-'Raw Price Data'!E19)/'Raw Price Data'!E19</f>
        <v>5.6795427239960759E-3</v>
      </c>
      <c r="F20" s="26">
        <f>('Raw Price Data'!F20-'Raw Price Data'!F19)/'Raw Price Data'!F19</f>
        <v>3.5500288718492835E-3</v>
      </c>
    </row>
    <row r="21" spans="1:6" ht="15" customHeight="1" x14ac:dyDescent="0.3">
      <c r="A21" s="21">
        <v>43493</v>
      </c>
      <c r="B21" s="25">
        <f>('Raw Price Data'!B21-'Raw Price Data'!B20)/'Raw Price Data'!B20</f>
        <v>8.4608333920874364E-4</v>
      </c>
      <c r="C21" s="25">
        <f>('Raw Price Data'!C21-'Raw Price Data'!C20)/'Raw Price Data'!C20</f>
        <v>-1.2370364843691656E-2</v>
      </c>
      <c r="D21" s="25">
        <f>('Raw Price Data'!D21-'Raw Price Data'!D20)/'Raw Price Data'!D20</f>
        <v>4.1740360806508912E-3</v>
      </c>
      <c r="E21" s="25">
        <f>('Raw Price Data'!E21-'Raw Price Data'!E20)/'Raw Price Data'!E20</f>
        <v>-2.2517467327951443E-2</v>
      </c>
      <c r="F21" s="25">
        <f>('Raw Price Data'!F21-'Raw Price Data'!F20)/'Raw Price Data'!F20</f>
        <v>-9.7503912681370115E-3</v>
      </c>
    </row>
    <row r="22" spans="1:6" ht="15" customHeight="1" x14ac:dyDescent="0.3">
      <c r="A22" s="19">
        <v>43494</v>
      </c>
      <c r="B22" s="26">
        <f>('Raw Price Data'!B22-'Raw Price Data'!B21)/'Raw Price Data'!B21</f>
        <v>-1.1271574498062458E-3</v>
      </c>
      <c r="C22" s="26">
        <f>('Raw Price Data'!C22-'Raw Price Data'!C21)/'Raw Price Data'!C21</f>
        <v>-1.0712235215906736E-2</v>
      </c>
      <c r="D22" s="26">
        <f>('Raw Price Data'!D22-'Raw Price Data'!D21)/'Raw Price Data'!D21</f>
        <v>9.3701564041145033E-3</v>
      </c>
      <c r="E22" s="26">
        <f>('Raw Price Data'!E22-'Raw Price Data'!E21)/'Raw Price Data'!E21</f>
        <v>4.7405651642531799E-2</v>
      </c>
      <c r="F22" s="26">
        <f>('Raw Price Data'!F22-'Raw Price Data'!F21)/'Raw Price Data'!F21</f>
        <v>1.7799350564236132E-2</v>
      </c>
    </row>
    <row r="23" spans="1:6" ht="15" customHeight="1" x14ac:dyDescent="0.3">
      <c r="A23" s="21">
        <v>43495</v>
      </c>
      <c r="B23" s="25">
        <f>('Raw Price Data'!B23-'Raw Price Data'!B22)/'Raw Price Data'!B22</f>
        <v>7.6874250652373471E-3</v>
      </c>
      <c r="C23" s="25">
        <f>('Raw Price Data'!C23-'Raw Price Data'!C22)/'Raw Price Data'!C22</f>
        <v>2.901782305236919E-3</v>
      </c>
      <c r="D23" s="25">
        <f>('Raw Price Data'!D23-'Raw Price Data'!D22)/'Raw Price Data'!D22</f>
        <v>-1.48670342709571E-2</v>
      </c>
      <c r="E23" s="25">
        <f>('Raw Price Data'!E23-'Raw Price Data'!E22)/'Raw Price Data'!E22</f>
        <v>1.4497365722570808E-3</v>
      </c>
      <c r="F23" s="25">
        <f>('Raw Price Data'!F23-'Raw Price Data'!F22)/'Raw Price Data'!F22</f>
        <v>1.8743253774898869E-2</v>
      </c>
    </row>
    <row r="24" spans="1:6" ht="15" customHeight="1" x14ac:dyDescent="0.3">
      <c r="A24" s="19">
        <v>43496</v>
      </c>
      <c r="B24" s="26">
        <f>('Raw Price Data'!B24-'Raw Price Data'!B23)/'Raw Price Data'!B23</f>
        <v>-1.9806830907054762E-2</v>
      </c>
      <c r="C24" s="26">
        <f>('Raw Price Data'!C24-'Raw Price Data'!C23)/'Raw Price Data'!C23</f>
        <v>8.5735605403018198E-3</v>
      </c>
      <c r="D24" s="26">
        <f>('Raw Price Data'!D24-'Raw Price Data'!D23)/'Raw Price Data'!D23</f>
        <v>-9.9192291341920345E-4</v>
      </c>
      <c r="E24" s="26">
        <f>('Raw Price Data'!E24-'Raw Price Data'!E23)/'Raw Price Data'!E23</f>
        <v>9.4626085728407236E-3</v>
      </c>
      <c r="F24" s="26">
        <f>('Raw Price Data'!F24-'Raw Price Data'!F23)/'Raw Price Data'!F23</f>
        <v>-6.4523578539440289E-3</v>
      </c>
    </row>
    <row r="25" spans="1:6" ht="15" customHeight="1" x14ac:dyDescent="0.3">
      <c r="A25" s="21">
        <v>43497</v>
      </c>
      <c r="B25" s="25">
        <f>('Raw Price Data'!B25-'Raw Price Data'!B24)/'Raw Price Data'!B24</f>
        <v>-4.0699750089255374E-3</v>
      </c>
      <c r="C25" s="25">
        <f>('Raw Price Data'!C25-'Raw Price Data'!C24)/'Raw Price Data'!C24</f>
        <v>7.4286577079874273E-3</v>
      </c>
      <c r="D25" s="25">
        <f>('Raw Price Data'!D25-'Raw Price Data'!D24)/'Raw Price Data'!D24</f>
        <v>-1.7659574468085172E-2</v>
      </c>
      <c r="E25" s="25">
        <f>('Raw Price Data'!E25-'Raw Price Data'!E24)/'Raw Price Data'!E24</f>
        <v>-1.9272472892619765E-2</v>
      </c>
      <c r="F25" s="25">
        <f>('Raw Price Data'!F25-'Raw Price Data'!F24)/'Raw Price Data'!F24</f>
        <v>-1.3727275660726334E-2</v>
      </c>
    </row>
    <row r="26" spans="1:6" ht="15" customHeight="1" x14ac:dyDescent="0.3">
      <c r="A26" s="19">
        <v>43500</v>
      </c>
      <c r="B26" s="26">
        <f>('Raw Price Data'!B26-'Raw Price Data'!B25)/'Raw Price Data'!B25</f>
        <v>7.1694866647548042E-3</v>
      </c>
      <c r="C26" s="26">
        <f>('Raw Price Data'!C26-'Raw Price Data'!C25)/'Raw Price Data'!C25</f>
        <v>-1.2559575552291591E-2</v>
      </c>
      <c r="D26" s="26">
        <f>('Raw Price Data'!D26-'Raw Price Data'!D25)/'Raw Price Data'!D25</f>
        <v>9.096816114360114E-3</v>
      </c>
      <c r="E26" s="26">
        <f>('Raw Price Data'!E26-'Raw Price Data'!E25)/'Raw Price Data'!E25</f>
        <v>-3.9837369378365704E-2</v>
      </c>
      <c r="F26" s="26">
        <f>('Raw Price Data'!F26-'Raw Price Data'!F25)/'Raw Price Data'!F25</f>
        <v>-1.279691107942247E-2</v>
      </c>
    </row>
    <row r="27" spans="1:6" ht="15" customHeight="1" x14ac:dyDescent="0.3">
      <c r="A27" s="21">
        <v>43501</v>
      </c>
      <c r="B27" s="25">
        <f>('Raw Price Data'!B27-'Raw Price Data'!B26)/'Raw Price Data'!B26</f>
        <v>1.2386104783599155E-2</v>
      </c>
      <c r="C27" s="25">
        <f>('Raw Price Data'!C27-'Raw Price Data'!C26)/'Raw Price Data'!C26</f>
        <v>4.0677554489708424E-3</v>
      </c>
      <c r="D27" s="25">
        <f>('Raw Price Data'!D27-'Raw Price Data'!D26)/'Raw Price Data'!D26</f>
        <v>1.4666952851112419E-2</v>
      </c>
      <c r="E27" s="25">
        <f>('Raw Price Data'!E27-'Raw Price Data'!E26)/'Raw Price Data'!E26</f>
        <v>-1.7643562885372555E-2</v>
      </c>
      <c r="F27" s="25">
        <f>('Raw Price Data'!F27-'Raw Price Data'!F26)/'Raw Price Data'!F26</f>
        <v>-1.0165460874373141E-2</v>
      </c>
    </row>
    <row r="28" spans="1:6" ht="15" customHeight="1" x14ac:dyDescent="0.3">
      <c r="A28" s="19">
        <v>43502</v>
      </c>
      <c r="B28" s="26">
        <f>('Raw Price Data'!B28-'Raw Price Data'!B27)/'Raw Price Data'!B27</f>
        <v>-3.0234847419491409E-3</v>
      </c>
      <c r="C28" s="26">
        <f>('Raw Price Data'!C28-'Raw Price Data'!C27)/'Raw Price Data'!C27</f>
        <v>1.1836376829120875E-2</v>
      </c>
      <c r="D28" s="26">
        <f>('Raw Price Data'!D28-'Raw Price Data'!D27)/'Raw Price Data'!D27</f>
        <v>1.5653645466083763E-2</v>
      </c>
      <c r="E28" s="26">
        <f>('Raw Price Data'!E28-'Raw Price Data'!E27)/'Raw Price Data'!E27</f>
        <v>-1.7582334480281445E-2</v>
      </c>
      <c r="F28" s="26">
        <f>('Raw Price Data'!F28-'Raw Price Data'!F27)/'Raw Price Data'!F27</f>
        <v>-1.0211606236064643E-2</v>
      </c>
    </row>
    <row r="29" spans="1:6" ht="15" customHeight="1" x14ac:dyDescent="0.3">
      <c r="A29" s="21">
        <v>43503</v>
      </c>
      <c r="B29" s="25">
        <f>('Raw Price Data'!B29-'Raw Price Data'!B28)/'Raw Price Data'!B28</f>
        <v>5.5716200014106817E-3</v>
      </c>
      <c r="C29" s="25">
        <f>('Raw Price Data'!C29-'Raw Price Data'!C28)/'Raw Price Data'!C28</f>
        <v>2.713079853589298E-2</v>
      </c>
      <c r="D29" s="25">
        <f>('Raw Price Data'!D29-'Raw Price Data'!D28)/'Raw Price Data'!D28</f>
        <v>-6.9425159677804121E-5</v>
      </c>
      <c r="E29" s="25">
        <f>('Raw Price Data'!E29-'Raw Price Data'!E28)/'Raw Price Data'!E28</f>
        <v>2.2631052266954027E-2</v>
      </c>
      <c r="F29" s="25">
        <f>('Raw Price Data'!F29-'Raw Price Data'!F28)/'Raw Price Data'!F28</f>
        <v>3.8040245325480257E-3</v>
      </c>
    </row>
    <row r="30" spans="1:6" ht="15" customHeight="1" x14ac:dyDescent="0.3">
      <c r="A30" s="19">
        <v>43504</v>
      </c>
      <c r="B30" s="26">
        <f>('Raw Price Data'!B30-'Raw Price Data'!B29)/'Raw Price Data'!B29</f>
        <v>3.7172113900967954E-3</v>
      </c>
      <c r="C30" s="26">
        <f>('Raw Price Data'!C30-'Raw Price Data'!C29)/'Raw Price Data'!C29</f>
        <v>6.3708164244883642E-3</v>
      </c>
      <c r="D30" s="26">
        <f>('Raw Price Data'!D30-'Raw Price Data'!D29)/'Raw Price Data'!D29</f>
        <v>1.4510865791848944E-2</v>
      </c>
      <c r="E30" s="26">
        <f>('Raw Price Data'!E30-'Raw Price Data'!E29)/'Raw Price Data'!E29</f>
        <v>-2.1226947685359376E-2</v>
      </c>
      <c r="F30" s="26">
        <f>('Raw Price Data'!F30-'Raw Price Data'!F29)/'Raw Price Data'!F29</f>
        <v>2.4109714543719546E-3</v>
      </c>
    </row>
    <row r="31" spans="1:6" ht="15" customHeight="1" x14ac:dyDescent="0.3">
      <c r="A31" s="21">
        <v>43507</v>
      </c>
      <c r="B31" s="25">
        <f>('Raw Price Data'!B31-'Raw Price Data'!B30)/'Raw Price Data'!B30</f>
        <v>1.1180211026483084E-2</v>
      </c>
      <c r="C31" s="25">
        <f>('Raw Price Data'!C31-'Raw Price Data'!C30)/'Raw Price Data'!C30</f>
        <v>-2.1491855641792776E-2</v>
      </c>
      <c r="D31" s="25">
        <f>('Raw Price Data'!D31-'Raw Price Data'!D30)/'Raw Price Data'!D30</f>
        <v>-1.9162332329592192E-3</v>
      </c>
      <c r="E31" s="25">
        <f>('Raw Price Data'!E31-'Raw Price Data'!E30)/'Raw Price Data'!E30</f>
        <v>1.611166653849111E-2</v>
      </c>
      <c r="F31" s="25">
        <f>('Raw Price Data'!F31-'Raw Price Data'!F30)/'Raw Price Data'!F30</f>
        <v>9.9729937375316931E-3</v>
      </c>
    </row>
    <row r="32" spans="1:6" ht="15" customHeight="1" x14ac:dyDescent="0.3">
      <c r="A32" s="19">
        <v>43508</v>
      </c>
      <c r="B32" s="26">
        <f>('Raw Price Data'!B32-'Raw Price Data'!B31)/'Raw Price Data'!B31</f>
        <v>-1.5133715707276606E-2</v>
      </c>
      <c r="C32" s="26">
        <f>('Raw Price Data'!C32-'Raw Price Data'!C31)/'Raw Price Data'!C31</f>
        <v>1.0930253168296492E-3</v>
      </c>
      <c r="D32" s="26">
        <f>('Raw Price Data'!D32-'Raw Price Data'!D31)/'Raw Price Data'!D31</f>
        <v>-8.4339001645638359E-3</v>
      </c>
      <c r="E32" s="26">
        <f>('Raw Price Data'!E32-'Raw Price Data'!E31)/'Raw Price Data'!E31</f>
        <v>8.4389782403028121E-3</v>
      </c>
      <c r="F32" s="26">
        <f>('Raw Price Data'!F32-'Raw Price Data'!F31)/'Raw Price Data'!F31</f>
        <v>2.401718954230679E-3</v>
      </c>
    </row>
    <row r="33" spans="1:6" ht="15" customHeight="1" x14ac:dyDescent="0.3">
      <c r="A33" s="21">
        <v>43509</v>
      </c>
      <c r="B33" s="25">
        <f>('Raw Price Data'!B33-'Raw Price Data'!B32)/'Raw Price Data'!B32</f>
        <v>8.2093741229300275E-3</v>
      </c>
      <c r="C33" s="25">
        <f>('Raw Price Data'!C33-'Raw Price Data'!C32)/'Raw Price Data'!C32</f>
        <v>-1.0357648725212438E-2</v>
      </c>
      <c r="D33" s="25">
        <f>('Raw Price Data'!D33-'Raw Price Data'!D32)/'Raw Price Data'!D32</f>
        <v>8.2981813152616588E-3</v>
      </c>
      <c r="E33" s="25">
        <f>('Raw Price Data'!E33-'Raw Price Data'!E32)/'Raw Price Data'!E32</f>
        <v>-1.6136295406785003E-3</v>
      </c>
      <c r="F33" s="25">
        <f>('Raw Price Data'!F33-'Raw Price Data'!F32)/'Raw Price Data'!F32</f>
        <v>2.7520520929931831E-3</v>
      </c>
    </row>
    <row r="34" spans="1:6" ht="15" customHeight="1" x14ac:dyDescent="0.3">
      <c r="A34" s="19">
        <v>43510</v>
      </c>
      <c r="B34" s="26">
        <f>('Raw Price Data'!B34-'Raw Price Data'!B33)/'Raw Price Data'!B33</f>
        <v>-2.0669496833460914E-2</v>
      </c>
      <c r="C34" s="26">
        <f>('Raw Price Data'!C34-'Raw Price Data'!C33)/'Raw Price Data'!C33</f>
        <v>2.386915943584696E-2</v>
      </c>
      <c r="D34" s="26">
        <f>('Raw Price Data'!D34-'Raw Price Data'!D33)/'Raw Price Data'!D33</f>
        <v>1.1796173101982024E-2</v>
      </c>
      <c r="E34" s="26">
        <f>('Raw Price Data'!E34-'Raw Price Data'!E33)/'Raw Price Data'!E33</f>
        <v>-4.6532606652884882E-2</v>
      </c>
      <c r="F34" s="26">
        <f>('Raw Price Data'!F34-'Raw Price Data'!F33)/'Raw Price Data'!F33</f>
        <v>-3.0419948206127112E-3</v>
      </c>
    </row>
    <row r="35" spans="1:6" ht="15" customHeight="1" x14ac:dyDescent="0.3">
      <c r="A35" s="21">
        <v>43511</v>
      </c>
      <c r="B35" s="25">
        <f>('Raw Price Data'!B35-'Raw Price Data'!B34)/'Raw Price Data'!B34</f>
        <v>-3.5957930642410478E-2</v>
      </c>
      <c r="C35" s="25">
        <f>('Raw Price Data'!C35-'Raw Price Data'!C34)/'Raw Price Data'!C34</f>
        <v>-2.8962504550418617E-2</v>
      </c>
      <c r="D35" s="25">
        <f>('Raw Price Data'!D35-'Raw Price Data'!D34)/'Raw Price Data'!D34</f>
        <v>3.5111502745204408E-2</v>
      </c>
      <c r="E35" s="25">
        <f>('Raw Price Data'!E35-'Raw Price Data'!E34)/'Raw Price Data'!E34</f>
        <v>-9.894745141325309E-3</v>
      </c>
      <c r="F35" s="25">
        <f>('Raw Price Data'!F35-'Raw Price Data'!F34)/'Raw Price Data'!F34</f>
        <v>1.8049764517801575E-2</v>
      </c>
    </row>
    <row r="36" spans="1:6" ht="15" customHeight="1" x14ac:dyDescent="0.3">
      <c r="A36" s="19">
        <v>43514</v>
      </c>
      <c r="B36" s="26">
        <f>('Raw Price Data'!B36-'Raw Price Data'!B35)/'Raw Price Data'!B35</f>
        <v>-8.1085065605189036E-3</v>
      </c>
      <c r="C36" s="26">
        <f>('Raw Price Data'!C36-'Raw Price Data'!C35)/'Raw Price Data'!C35</f>
        <v>1.0466964580271748E-2</v>
      </c>
      <c r="D36" s="26">
        <f>('Raw Price Data'!D36-'Raw Price Data'!D35)/'Raw Price Data'!D35</f>
        <v>1.1918014537358346E-2</v>
      </c>
      <c r="E36" s="26">
        <f>('Raw Price Data'!E36-'Raw Price Data'!E35)/'Raw Price Data'!E35</f>
        <v>1.8792801401497049E-2</v>
      </c>
      <c r="F36" s="26">
        <f>('Raw Price Data'!F36-'Raw Price Data'!F35)/'Raw Price Data'!F35</f>
        <v>1.8622348356538788E-2</v>
      </c>
    </row>
    <row r="37" spans="1:6" ht="15" customHeight="1" x14ac:dyDescent="0.3">
      <c r="A37" s="21">
        <v>43515</v>
      </c>
      <c r="B37" s="25">
        <f>('Raw Price Data'!B37-'Raw Price Data'!B36)/'Raw Price Data'!B36</f>
        <v>-1.2410820451843161E-2</v>
      </c>
      <c r="C37" s="25">
        <f>('Raw Price Data'!C37-'Raw Price Data'!C36)/'Raw Price Data'!C36</f>
        <v>-1.8194230084292991E-2</v>
      </c>
      <c r="D37" s="25">
        <f>('Raw Price Data'!D37-'Raw Price Data'!D36)/'Raw Price Data'!D36</f>
        <v>-1.6954636640134631E-2</v>
      </c>
      <c r="E37" s="25">
        <f>('Raw Price Data'!E37-'Raw Price Data'!E36)/'Raw Price Data'!E36</f>
        <v>1.0629982804439688E-2</v>
      </c>
      <c r="F37" s="25">
        <f>('Raw Price Data'!F37-'Raw Price Data'!F36)/'Raw Price Data'!F36</f>
        <v>-8.6154387808806149E-3</v>
      </c>
    </row>
    <row r="38" spans="1:6" ht="15" customHeight="1" x14ac:dyDescent="0.3">
      <c r="A38" s="19">
        <v>43516</v>
      </c>
      <c r="B38" s="26">
        <f>('Raw Price Data'!B38-'Raw Price Data'!B37)/'Raw Price Data'!B37</f>
        <v>1.2491534351719657E-2</v>
      </c>
      <c r="C38" s="26">
        <f>('Raw Price Data'!C38-'Raw Price Data'!C37)/'Raw Price Data'!C37</f>
        <v>2.3035762870703479E-2</v>
      </c>
      <c r="D38" s="26">
        <f>('Raw Price Data'!D38-'Raw Price Data'!D37)/'Raw Price Data'!D37</f>
        <v>-1.5008886840892641E-2</v>
      </c>
      <c r="E38" s="26">
        <f>('Raw Price Data'!E38-'Raw Price Data'!E37)/'Raw Price Data'!E37</f>
        <v>3.3255993812836685E-3</v>
      </c>
      <c r="F38" s="26">
        <f>('Raw Price Data'!F38-'Raw Price Data'!F37)/'Raw Price Data'!F37</f>
        <v>3.7851336446371158E-3</v>
      </c>
    </row>
    <row r="39" spans="1:6" ht="15" customHeight="1" x14ac:dyDescent="0.3">
      <c r="A39" s="21">
        <v>43517</v>
      </c>
      <c r="B39" s="25">
        <f>('Raw Price Data'!B39-'Raw Price Data'!B38)/'Raw Price Data'!B38</f>
        <v>9.5131921218877813E-3</v>
      </c>
      <c r="C39" s="25">
        <f>('Raw Price Data'!C39-'Raw Price Data'!C38)/'Raw Price Data'!C38</f>
        <v>1.4198752991932713E-2</v>
      </c>
      <c r="D39" s="25">
        <f>('Raw Price Data'!D39-'Raw Price Data'!D38)/'Raw Price Data'!D38</f>
        <v>-2.0116286840874097E-2</v>
      </c>
      <c r="E39" s="25">
        <f>('Raw Price Data'!E39-'Raw Price Data'!E38)/'Raw Price Data'!E38</f>
        <v>-2.6670777769212936E-2</v>
      </c>
      <c r="F39" s="25">
        <f>('Raw Price Data'!F39-'Raw Price Data'!F38)/'Raw Price Data'!F38</f>
        <v>-2.5786300288713824E-3</v>
      </c>
    </row>
    <row r="40" spans="1:6" ht="15" customHeight="1" x14ac:dyDescent="0.3">
      <c r="A40" s="19">
        <v>43518</v>
      </c>
      <c r="B40" s="26">
        <f>('Raw Price Data'!B40-'Raw Price Data'!B39)/'Raw Price Data'!B39</f>
        <v>-1.6564823676654641E-2</v>
      </c>
      <c r="C40" s="26">
        <f>('Raw Price Data'!C40-'Raw Price Data'!C39)/'Raw Price Data'!C39</f>
        <v>4.4578471220664299E-3</v>
      </c>
      <c r="D40" s="26">
        <f>('Raw Price Data'!D40-'Raw Price Data'!D39)/'Raw Price Data'!D39</f>
        <v>1.6368844632383651E-3</v>
      </c>
      <c r="E40" s="26">
        <f>('Raw Price Data'!E40-'Raw Price Data'!E39)/'Raw Price Data'!E39</f>
        <v>2.8510334996436162E-3</v>
      </c>
      <c r="F40" s="26">
        <f>('Raw Price Data'!F40-'Raw Price Data'!F39)/'Raw Price Data'!F39</f>
        <v>-2.6228140483346338E-3</v>
      </c>
    </row>
    <row r="41" spans="1:6" ht="15" customHeight="1" x14ac:dyDescent="0.3">
      <c r="A41" s="21">
        <v>43521</v>
      </c>
      <c r="B41" s="25">
        <f>('Raw Price Data'!B41-'Raw Price Data'!B40)/'Raw Price Data'!B40</f>
        <v>1.2052702500374195E-2</v>
      </c>
      <c r="C41" s="25">
        <f>('Raw Price Data'!C41-'Raw Price Data'!C40)/'Raw Price Data'!C40</f>
        <v>9.4997751961594136E-3</v>
      </c>
      <c r="D41" s="25">
        <f>('Raw Price Data'!D41-'Raw Price Data'!D40)/'Raw Price Data'!D40</f>
        <v>-1.6954923055971734E-2</v>
      </c>
      <c r="E41" s="25">
        <f>('Raw Price Data'!E41-'Raw Price Data'!E40)/'Raw Price Data'!E40</f>
        <v>5.251520176893361E-3</v>
      </c>
      <c r="F41" s="25">
        <f>('Raw Price Data'!F41-'Raw Price Data'!F40)/'Raw Price Data'!F40</f>
        <v>-6.0233199125201611E-3</v>
      </c>
    </row>
    <row r="42" spans="1:6" ht="15" customHeight="1" x14ac:dyDescent="0.3">
      <c r="A42" s="19">
        <v>43522</v>
      </c>
      <c r="B42" s="26">
        <f>('Raw Price Data'!B42-'Raw Price Data'!B41)/'Raw Price Data'!B41</f>
        <v>-1.3610474147496141E-2</v>
      </c>
      <c r="C42" s="26">
        <f>('Raw Price Data'!C42-'Raw Price Data'!C41)/'Raw Price Data'!C41</f>
        <v>-5.3445204298602292E-3</v>
      </c>
      <c r="D42" s="26">
        <f>('Raw Price Data'!D42-'Raw Price Data'!D41)/'Raw Price Data'!D41</f>
        <v>2.1888203920482071E-2</v>
      </c>
      <c r="E42" s="26">
        <f>('Raw Price Data'!E42-'Raw Price Data'!E41)/'Raw Price Data'!E41</f>
        <v>-8.6806237479869902E-3</v>
      </c>
      <c r="F42" s="26">
        <f>('Raw Price Data'!F42-'Raw Price Data'!F41)/'Raw Price Data'!F41</f>
        <v>-1.2679891813499955E-2</v>
      </c>
    </row>
    <row r="43" spans="1:6" ht="15" customHeight="1" x14ac:dyDescent="0.3">
      <c r="A43" s="21">
        <v>43523</v>
      </c>
      <c r="B43" s="25">
        <f>('Raw Price Data'!B43-'Raw Price Data'!B42)/'Raw Price Data'!B42</f>
        <v>-8.2489688788890312E-4</v>
      </c>
      <c r="C43" s="25">
        <f>('Raw Price Data'!C43-'Raw Price Data'!C42)/'Raw Price Data'!C42</f>
        <v>1.2508666512595286E-2</v>
      </c>
      <c r="D43" s="25">
        <f>('Raw Price Data'!D43-'Raw Price Data'!D42)/'Raw Price Data'!D42</f>
        <v>-4.2025350776113638E-3</v>
      </c>
      <c r="E43" s="25">
        <f>('Raw Price Data'!E43-'Raw Price Data'!E42)/'Raw Price Data'!E42</f>
        <v>8.6377684444092512E-3</v>
      </c>
      <c r="F43" s="25">
        <f>('Raw Price Data'!F43-'Raw Price Data'!F42)/'Raw Price Data'!F42</f>
        <v>-2.7380575525491665E-3</v>
      </c>
    </row>
    <row r="44" spans="1:6" ht="15" customHeight="1" x14ac:dyDescent="0.3">
      <c r="A44" s="19">
        <v>43524</v>
      </c>
      <c r="B44" s="26">
        <f>('Raw Price Data'!B44-'Raw Price Data'!B43)/'Raw Price Data'!B43</f>
        <v>-3.7526268387871506E-3</v>
      </c>
      <c r="C44" s="26">
        <f>('Raw Price Data'!C44-'Raw Price Data'!C43)/'Raw Price Data'!C43</f>
        <v>-2.7104910268489052E-4</v>
      </c>
      <c r="D44" s="26">
        <f>('Raw Price Data'!D44-'Raw Price Data'!D43)/'Raw Price Data'!D43</f>
        <v>1.0482608399700444E-2</v>
      </c>
      <c r="E44" s="26">
        <f>('Raw Price Data'!E44-'Raw Price Data'!E43)/'Raw Price Data'!E43</f>
        <v>-1.2924261470773067E-2</v>
      </c>
      <c r="F44" s="26">
        <f>('Raw Price Data'!F44-'Raw Price Data'!F43)/'Raw Price Data'!F43</f>
        <v>1.1031755673651035E-2</v>
      </c>
    </row>
    <row r="45" spans="1:6" ht="15" customHeight="1" x14ac:dyDescent="0.3">
      <c r="A45" s="21">
        <v>43525</v>
      </c>
      <c r="B45" s="25">
        <f>('Raw Price Data'!B45-'Raw Price Data'!B44)/'Raw Price Data'!B44</f>
        <v>1.8833810456531563E-3</v>
      </c>
      <c r="C45" s="25">
        <f>('Raw Price Data'!C45-'Raw Price Data'!C44)/'Raw Price Data'!C44</f>
        <v>1.3484781460922739E-2</v>
      </c>
      <c r="D45" s="25">
        <f>('Raw Price Data'!D45-'Raw Price Data'!D44)/'Raw Price Data'!D44</f>
        <v>2.8292354328057659E-3</v>
      </c>
      <c r="E45" s="25">
        <f>('Raw Price Data'!E45-'Raw Price Data'!E44)/'Raw Price Data'!E44</f>
        <v>-3.7489553070402415E-2</v>
      </c>
      <c r="F45" s="25">
        <f>('Raw Price Data'!F45-'Raw Price Data'!F44)/'Raw Price Data'!F44</f>
        <v>1.5961394904688925E-2</v>
      </c>
    </row>
    <row r="46" spans="1:6" ht="15" customHeight="1" x14ac:dyDescent="0.3">
      <c r="A46" s="19">
        <v>43528</v>
      </c>
      <c r="B46" s="26">
        <f>('Raw Price Data'!B46-'Raw Price Data'!B45)/'Raw Price Data'!B45</f>
        <v>1.1655011655011526E-2</v>
      </c>
      <c r="C46" s="26">
        <f>('Raw Price Data'!C46-'Raw Price Data'!C45)/'Raw Price Data'!C45</f>
        <v>1.6332507321468351E-3</v>
      </c>
      <c r="D46" s="26">
        <f>('Raw Price Data'!D46-'Raw Price Data'!D45)/'Raw Price Data'!D45</f>
        <v>5.7768522872303704E-3</v>
      </c>
      <c r="E46" s="26">
        <f>('Raw Price Data'!E46-'Raw Price Data'!E45)/'Raw Price Data'!E45</f>
        <v>-1.1660119909034497E-2</v>
      </c>
      <c r="F46" s="26">
        <f>('Raw Price Data'!F46-'Raw Price Data'!F45)/'Raw Price Data'!F45</f>
        <v>1.1081437800134758E-2</v>
      </c>
    </row>
    <row r="47" spans="1:6" ht="15" customHeight="1" x14ac:dyDescent="0.3">
      <c r="A47" s="21">
        <v>43529</v>
      </c>
      <c r="B47" s="25">
        <f>('Raw Price Data'!B47-'Raw Price Data'!B46)/'Raw Price Data'!B46</f>
        <v>9.1422625241565202E-3</v>
      </c>
      <c r="C47" s="25">
        <f>('Raw Price Data'!C47-'Raw Price Data'!C46)/'Raw Price Data'!C46</f>
        <v>-4.3168400337362842E-2</v>
      </c>
      <c r="D47" s="25">
        <f>('Raw Price Data'!D47-'Raw Price Data'!D46)/'Raw Price Data'!D46</f>
        <v>-1.58952781673679E-2</v>
      </c>
      <c r="E47" s="25">
        <f>('Raw Price Data'!E47-'Raw Price Data'!E46)/'Raw Price Data'!E46</f>
        <v>-1.2592561603146011E-2</v>
      </c>
      <c r="F47" s="25">
        <f>('Raw Price Data'!F47-'Raw Price Data'!F46)/'Raw Price Data'!F46</f>
        <v>1.9819020099820198E-3</v>
      </c>
    </row>
    <row r="48" spans="1:6" ht="15" customHeight="1" x14ac:dyDescent="0.3">
      <c r="A48" s="19">
        <v>43530</v>
      </c>
      <c r="B48" s="26">
        <f>('Raw Price Data'!B48-'Raw Price Data'!B47)/'Raw Price Data'!B47</f>
        <v>5.2294321278631472E-3</v>
      </c>
      <c r="C48" s="26">
        <f>('Raw Price Data'!C48-'Raw Price Data'!C47)/'Raw Price Data'!C47</f>
        <v>-8.4620017922991432E-3</v>
      </c>
      <c r="D48" s="26">
        <f>('Raw Price Data'!D48-'Raw Price Data'!D47)/'Raw Price Data'!D47</f>
        <v>-1.3573125212067738E-4</v>
      </c>
      <c r="E48" s="26">
        <f>('Raw Price Data'!E48-'Raw Price Data'!E47)/'Raw Price Data'!E47</f>
        <v>2.3514956359630468E-2</v>
      </c>
      <c r="F48" s="26">
        <f>('Raw Price Data'!F48-'Raw Price Data'!F47)/'Raw Price Data'!F47</f>
        <v>1.5611798979394437E-2</v>
      </c>
    </row>
    <row r="49" spans="1:6" ht="15" customHeight="1" x14ac:dyDescent="0.3">
      <c r="A49" s="21">
        <v>43531</v>
      </c>
      <c r="B49" s="25">
        <f>('Raw Price Data'!B49-'Raw Price Data'!B48)/'Raw Price Data'!B48</f>
        <v>9.305392731535831E-3</v>
      </c>
      <c r="C49" s="25">
        <f>('Raw Price Data'!C49-'Raw Price Data'!C48)/'Raw Price Data'!C48</f>
        <v>2.7350984546545623E-2</v>
      </c>
      <c r="D49" s="25">
        <f>('Raw Price Data'!D49-'Raw Price Data'!D48)/'Raw Price Data'!D48</f>
        <v>-6.3802348469424158E-3</v>
      </c>
      <c r="E49" s="25">
        <f>('Raw Price Data'!E49-'Raw Price Data'!E48)/'Raw Price Data'!E48</f>
        <v>1.4074595355383556E-2</v>
      </c>
      <c r="F49" s="25">
        <f>('Raw Price Data'!F49-'Raw Price Data'!F48)/'Raw Price Data'!F48</f>
        <v>-5.325444689891351E-4</v>
      </c>
    </row>
    <row r="50" spans="1:6" ht="15" customHeight="1" x14ac:dyDescent="0.3">
      <c r="A50" s="19">
        <v>43532</v>
      </c>
      <c r="B50" s="26">
        <f>('Raw Price Data'!B50-'Raw Price Data'!B49)/'Raw Price Data'!B49</f>
        <v>6.8965517241378485E-3</v>
      </c>
      <c r="C50" s="26">
        <f>('Raw Price Data'!C50-'Raw Price Data'!C49)/'Raw Price Data'!C49</f>
        <v>2.6219010946220835E-2</v>
      </c>
      <c r="D50" s="26">
        <f>('Raw Price Data'!D50-'Raw Price Data'!D49)/'Raw Price Data'!D49</f>
        <v>-1.161281508299662E-3</v>
      </c>
      <c r="E50" s="26">
        <f>('Raw Price Data'!E50-'Raw Price Data'!E49)/'Raw Price Data'!E49</f>
        <v>-4.8985590072255598E-4</v>
      </c>
      <c r="F50" s="26">
        <f>('Raw Price Data'!F50-'Raw Price Data'!F49)/'Raw Price Data'!F49</f>
        <v>-1.0394476092959071E-3</v>
      </c>
    </row>
    <row r="51" spans="1:6" ht="15" customHeight="1" x14ac:dyDescent="0.3">
      <c r="A51" s="21">
        <v>43535</v>
      </c>
      <c r="B51" s="25">
        <f>('Raw Price Data'!B51-'Raw Price Data'!B50)/'Raw Price Data'!B50</f>
        <v>-8.3633741888968754E-3</v>
      </c>
      <c r="C51" s="25">
        <f>('Raw Price Data'!C51-'Raw Price Data'!C50)/'Raw Price Data'!C50</f>
        <v>2.4452970192671069E-3</v>
      </c>
      <c r="D51" s="25">
        <f>('Raw Price Data'!D51-'Raw Price Data'!D50)/'Raw Price Data'!D50</f>
        <v>2.3252633018739119E-3</v>
      </c>
      <c r="E51" s="25">
        <f>('Raw Price Data'!E51-'Raw Price Data'!E50)/'Raw Price Data'!E50</f>
        <v>-9.8427608740044789E-3</v>
      </c>
      <c r="F51" s="25">
        <f>('Raw Price Data'!F51-'Raw Price Data'!F50)/'Raw Price Data'!F50</f>
        <v>-1.4698079695111095E-2</v>
      </c>
    </row>
    <row r="52" spans="1:6" ht="15" customHeight="1" x14ac:dyDescent="0.3">
      <c r="A52" s="19">
        <v>43536</v>
      </c>
      <c r="B52" s="26">
        <f>('Raw Price Data'!B52-'Raw Price Data'!B51)/'Raw Price Data'!B51</f>
        <v>-9.5972080849207018E-3</v>
      </c>
      <c r="C52" s="26">
        <f>('Raw Price Data'!C52-'Raw Price Data'!C51)/'Raw Price Data'!C51</f>
        <v>-1.6262214184575687E-3</v>
      </c>
      <c r="D52" s="26">
        <f>('Raw Price Data'!D52-'Raw Price Data'!D51)/'Raw Price Data'!D51</f>
        <v>1.1189956331877636E-2</v>
      </c>
      <c r="E52" s="26">
        <f>('Raw Price Data'!E52-'Raw Price Data'!E51)/'Raw Price Data'!E51</f>
        <v>1.1013034152780135E-2</v>
      </c>
      <c r="F52" s="26">
        <f>('Raw Price Data'!F52-'Raw Price Data'!F51)/'Raw Price Data'!F51</f>
        <v>1.381268316088384E-2</v>
      </c>
    </row>
    <row r="53" spans="1:6" ht="15" customHeight="1" x14ac:dyDescent="0.3">
      <c r="A53" s="21">
        <v>43537</v>
      </c>
      <c r="B53" s="25">
        <f>('Raw Price Data'!B53-'Raw Price Data'!B52)/'Raw Price Data'!B52</f>
        <v>-6.1664953751284935E-3</v>
      </c>
      <c r="C53" s="25">
        <f>('Raw Price Data'!C53-'Raw Price Data'!C52)/'Raw Price Data'!C52</f>
        <v>-5.3219125184300548E-3</v>
      </c>
      <c r="D53" s="25">
        <f>('Raw Price Data'!D53-'Raw Price Data'!D52)/'Raw Price Data'!D52</f>
        <v>-6.9500674763832739E-3</v>
      </c>
      <c r="E53" s="25">
        <f>('Raw Price Data'!E53-'Raw Price Data'!E52)/'Raw Price Data'!E52</f>
        <v>2.8721798376239206E-2</v>
      </c>
      <c r="F53" s="25">
        <f>('Raw Price Data'!F53-'Raw Price Data'!F52)/'Raw Price Data'!F52</f>
        <v>1.1839513016834469E-2</v>
      </c>
    </row>
    <row r="54" spans="1:6" ht="15" customHeight="1" x14ac:dyDescent="0.3">
      <c r="A54" s="19">
        <v>43538</v>
      </c>
      <c r="B54" s="26">
        <f>('Raw Price Data'!B54-'Raw Price Data'!B53)/'Raw Price Data'!B53</f>
        <v>7.2388831437436713E-3</v>
      </c>
      <c r="C54" s="26">
        <f>('Raw Price Data'!C54-'Raw Price Data'!C53)/'Raw Price Data'!C53</f>
        <v>1.1717205940482176E-2</v>
      </c>
      <c r="D54" s="26">
        <f>('Raw Price Data'!D54-'Raw Price Data'!D53)/'Raw Price Data'!D53</f>
        <v>1.3317931643677436E-2</v>
      </c>
      <c r="E54" s="26">
        <f>('Raw Price Data'!E54-'Raw Price Data'!E53)/'Raw Price Data'!E53</f>
        <v>-1.780686099543926E-2</v>
      </c>
      <c r="F54" s="26">
        <f>('Raw Price Data'!F54-'Raw Price Data'!F53)/'Raw Price Data'!F53</f>
        <v>-1.0433856076192806E-2</v>
      </c>
    </row>
    <row r="55" spans="1:6" ht="15" customHeight="1" x14ac:dyDescent="0.3">
      <c r="A55" s="21">
        <v>43539</v>
      </c>
      <c r="B55" s="25">
        <f>('Raw Price Data'!B55-'Raw Price Data'!B54)/'Raw Price Data'!B54</f>
        <v>-3.153417424464702E-3</v>
      </c>
      <c r="C55" s="25">
        <f>('Raw Price Data'!C55-'Raw Price Data'!C54)/'Raw Price Data'!C54</f>
        <v>1.0814054084224039E-2</v>
      </c>
      <c r="D55" s="25">
        <f>('Raw Price Data'!D55-'Raw Price Data'!D54)/'Raw Price Data'!D54</f>
        <v>5.6326694830014313E-3</v>
      </c>
      <c r="E55" s="25">
        <f>('Raw Price Data'!E55-'Raw Price Data'!E54)/'Raw Price Data'!E54</f>
        <v>-1.158846806105146E-2</v>
      </c>
      <c r="F55" s="25">
        <f>('Raw Price Data'!F55-'Raw Price Data'!F54)/'Raw Price Data'!F54</f>
        <v>-1.3899153526091678E-2</v>
      </c>
    </row>
    <row r="56" spans="1:6" ht="15" customHeight="1" x14ac:dyDescent="0.3">
      <c r="A56" s="19">
        <v>43542</v>
      </c>
      <c r="B56" s="26">
        <f>('Raw Price Data'!B56-'Raw Price Data'!B55)/'Raw Price Data'!B55</f>
        <v>3.2663871110130194E-2</v>
      </c>
      <c r="C56" s="26">
        <f>('Raw Price Data'!C56-'Raw Price Data'!C55)/'Raw Price Data'!C55</f>
        <v>-1.6675639485926378E-2</v>
      </c>
      <c r="D56" s="26">
        <f>('Raw Price Data'!D56-'Raw Price Data'!D55)/'Raw Price Data'!D55</f>
        <v>2.6205241048209687E-2</v>
      </c>
      <c r="E56" s="26">
        <f>('Raw Price Data'!E56-'Raw Price Data'!E55)/'Raw Price Data'!E55</f>
        <v>2.2223130029821472E-2</v>
      </c>
      <c r="F56" s="26">
        <f>('Raw Price Data'!F56-'Raw Price Data'!F55)/'Raw Price Data'!F55</f>
        <v>2.2941505372456237E-2</v>
      </c>
    </row>
    <row r="57" spans="1:6" ht="15" customHeight="1" x14ac:dyDescent="0.3">
      <c r="A57" s="21">
        <v>43543</v>
      </c>
      <c r="B57" s="25">
        <f>('Raw Price Data'!B57-'Raw Price Data'!B56)/'Raw Price Data'!B56</f>
        <v>-1.1042245494051516E-2</v>
      </c>
      <c r="C57" s="25">
        <f>('Raw Price Data'!C57-'Raw Price Data'!C56)/'Raw Price Data'!C56</f>
        <v>1.2255555711538057E-2</v>
      </c>
      <c r="D57" s="25">
        <f>('Raw Price Data'!D57-'Raw Price Data'!D56)/'Raw Price Data'!D56</f>
        <v>-5.1786874593892127E-2</v>
      </c>
      <c r="E57" s="25">
        <f>('Raw Price Data'!E57-'Raw Price Data'!E56)/'Raw Price Data'!E56</f>
        <v>9.5512128841466447E-3</v>
      </c>
      <c r="F57" s="25">
        <f>('Raw Price Data'!F57-'Raw Price Data'!F56)/'Raw Price Data'!F56</f>
        <v>2.920046373345917E-3</v>
      </c>
    </row>
    <row r="58" spans="1:6" ht="15" customHeight="1" x14ac:dyDescent="0.3">
      <c r="A58" s="19">
        <v>43544</v>
      </c>
      <c r="B58" s="26">
        <f>('Raw Price Data'!B58-'Raw Price Data'!B57)/'Raw Price Data'!B57</f>
        <v>-1.4911396052441963E-2</v>
      </c>
      <c r="C58" s="26">
        <f>('Raw Price Data'!C58-'Raw Price Data'!C57)/'Raw Price Data'!C57</f>
        <v>2.2342107452916562E-2</v>
      </c>
      <c r="D58" s="26">
        <f>('Raw Price Data'!D58-'Raw Price Data'!D57)/'Raw Price Data'!D57</f>
        <v>-9.7306927979169174E-3</v>
      </c>
      <c r="E58" s="26">
        <f>('Raw Price Data'!E58-'Raw Price Data'!E57)/'Raw Price Data'!E57</f>
        <v>-7.7982740875623419E-3</v>
      </c>
      <c r="F58" s="26">
        <f>('Raw Price Data'!F58-'Raw Price Data'!F57)/'Raw Price Data'!F57</f>
        <v>-1.1852347486269264E-2</v>
      </c>
    </row>
    <row r="59" spans="1:6" ht="15" customHeight="1" x14ac:dyDescent="0.3">
      <c r="A59" s="21">
        <v>43545</v>
      </c>
      <c r="B59" s="25">
        <f>('Raw Price Data'!B59-'Raw Price Data'!B58)/'Raw Price Data'!B58</f>
        <v>1.0968921389396709E-2</v>
      </c>
      <c r="C59" s="25">
        <f>('Raw Price Data'!C59-'Raw Price Data'!C58)/'Raw Price Data'!C58</f>
        <v>-1.6237774190485117E-2</v>
      </c>
      <c r="D59" s="25">
        <f>('Raw Price Data'!D59-'Raw Price Data'!D58)/'Raw Price Data'!D58</f>
        <v>2.0206214102830366E-2</v>
      </c>
      <c r="E59" s="25">
        <f>('Raw Price Data'!E59-'Raw Price Data'!E58)/'Raw Price Data'!E58</f>
        <v>2.23020147616198E-2</v>
      </c>
      <c r="F59" s="25">
        <f>('Raw Price Data'!F59-'Raw Price Data'!F58)/'Raw Price Data'!F58</f>
        <v>-3.1408432153940007E-3</v>
      </c>
    </row>
    <row r="60" spans="1:6" ht="15" customHeight="1" x14ac:dyDescent="0.3">
      <c r="A60" s="19">
        <v>43546</v>
      </c>
      <c r="B60" s="26">
        <f>('Raw Price Data'!B60-'Raw Price Data'!B59)/'Raw Price Data'!B59</f>
        <v>2.0036166365280363E-2</v>
      </c>
      <c r="C60" s="26">
        <f>('Raw Price Data'!C60-'Raw Price Data'!C59)/'Raw Price Data'!C59</f>
        <v>-2.7027027027027527E-3</v>
      </c>
      <c r="D60" s="26">
        <f>('Raw Price Data'!D60-'Raw Price Data'!D59)/'Raw Price Data'!D59</f>
        <v>-3.9272875262836737E-2</v>
      </c>
      <c r="E60" s="26">
        <f>('Raw Price Data'!E60-'Raw Price Data'!E59)/'Raw Price Data'!E59</f>
        <v>1.0927255697783371E-2</v>
      </c>
      <c r="F60" s="26">
        <f>('Raw Price Data'!F60-'Raw Price Data'!F59)/'Raw Price Data'!F59</f>
        <v>6.8946218422969519E-3</v>
      </c>
    </row>
    <row r="61" spans="1:6" ht="15" customHeight="1" x14ac:dyDescent="0.3">
      <c r="A61" s="21">
        <v>43549</v>
      </c>
      <c r="B61" s="25">
        <f>('Raw Price Data'!B61-'Raw Price Data'!B60)/'Raw Price Data'!B60</f>
        <v>7.3039285207772021E-3</v>
      </c>
      <c r="C61" s="25">
        <f>('Raw Price Data'!C61-'Raw Price Data'!C60)/'Raw Price Data'!C60</f>
        <v>8.766108069244001E-3</v>
      </c>
      <c r="D61" s="25">
        <f>('Raw Price Data'!D61-'Raw Price Data'!D60)/'Raw Price Data'!D60</f>
        <v>2.3722112397627889E-2</v>
      </c>
      <c r="E61" s="25">
        <f>('Raw Price Data'!E61-'Raw Price Data'!E60)/'Raw Price Data'!E60</f>
        <v>-1.7371834465719688E-2</v>
      </c>
      <c r="F61" s="25">
        <f>('Raw Price Data'!F61-'Raw Price Data'!F60)/'Raw Price Data'!F60</f>
        <v>1.2540516833759308E-2</v>
      </c>
    </row>
    <row r="62" spans="1:6" ht="15" customHeight="1" x14ac:dyDescent="0.3">
      <c r="A62" s="19">
        <v>43550</v>
      </c>
      <c r="B62" s="26">
        <f>('Raw Price Data'!B62-'Raw Price Data'!B61)/'Raw Price Data'!B61</f>
        <v>1.1897219288982736E-2</v>
      </c>
      <c r="C62" s="26">
        <f>('Raw Price Data'!C62-'Raw Price Data'!C61)/'Raw Price Data'!C61</f>
        <v>1.3350146659722043E-2</v>
      </c>
      <c r="D62" s="26">
        <f>('Raw Price Data'!D62-'Raw Price Data'!D61)/'Raw Price Data'!D61</f>
        <v>1.7241379310344827E-3</v>
      </c>
      <c r="E62" s="26">
        <f>('Raw Price Data'!E62-'Raw Price Data'!E61)/'Raw Price Data'!E61</f>
        <v>5.6965506403709324E-3</v>
      </c>
      <c r="F62" s="26">
        <f>('Raw Price Data'!F62-'Raw Price Data'!F61)/'Raw Price Data'!F61</f>
        <v>9.5276553921490852E-3</v>
      </c>
    </row>
    <row r="63" spans="1:6" ht="15" customHeight="1" x14ac:dyDescent="0.3">
      <c r="A63" s="21">
        <v>43551</v>
      </c>
      <c r="B63" s="25">
        <f>('Raw Price Data'!B63-'Raw Price Data'!B62)/'Raw Price Data'!B62</f>
        <v>2.0105746486712022E-2</v>
      </c>
      <c r="C63" s="25">
        <f>('Raw Price Data'!C63-'Raw Price Data'!C62)/'Raw Price Data'!C62</f>
        <v>-6.8306010928962666E-3</v>
      </c>
      <c r="D63" s="25">
        <f>('Raw Price Data'!D63-'Raw Price Data'!D62)/'Raw Price Data'!D62</f>
        <v>-3.1738382099827975E-2</v>
      </c>
      <c r="E63" s="25">
        <f>('Raw Price Data'!E63-'Raw Price Data'!E62)/'Raw Price Data'!E62</f>
        <v>3.125122075080436E-4</v>
      </c>
      <c r="F63" s="25">
        <f>('Raw Price Data'!F63-'Raw Price Data'!F62)/'Raw Price Data'!F62</f>
        <v>1.8596386943695604E-2</v>
      </c>
    </row>
    <row r="64" spans="1:6" ht="15" customHeight="1" x14ac:dyDescent="0.3">
      <c r="A64" s="19">
        <v>43552</v>
      </c>
      <c r="B64" s="26">
        <f>('Raw Price Data'!B64-'Raw Price Data'!B63)/'Raw Price Data'!B63</f>
        <v>-1.022983018481932E-3</v>
      </c>
      <c r="C64" s="26">
        <f>('Raw Price Data'!C64-'Raw Price Data'!C63)/'Raw Price Data'!C63</f>
        <v>-8.7297588080678338E-3</v>
      </c>
      <c r="D64" s="26">
        <f>('Raw Price Data'!D64-'Raw Price Data'!D63)/'Raw Price Data'!D63</f>
        <v>1.1803185437997904E-2</v>
      </c>
      <c r="E64" s="26">
        <f>('Raw Price Data'!E64-'Raw Price Data'!E63)/'Raw Price Data'!E63</f>
        <v>3.1710079275198207E-2</v>
      </c>
      <c r="F64" s="26">
        <f>('Raw Price Data'!F64-'Raw Price Data'!F63)/'Raw Price Data'!F63</f>
        <v>8.5987404764835736E-3</v>
      </c>
    </row>
    <row r="65" spans="1:6" ht="15" customHeight="1" x14ac:dyDescent="0.3">
      <c r="A65" s="21">
        <v>43553</v>
      </c>
      <c r="B65" s="25">
        <f>('Raw Price Data'!B65-'Raw Price Data'!B64)/'Raw Price Data'!B64</f>
        <v>-1.9388312397596967E-2</v>
      </c>
      <c r="C65" s="25">
        <f>('Raw Price Data'!C65-'Raw Price Data'!C64)/'Raw Price Data'!C64</f>
        <v>-7.5838760201137334E-3</v>
      </c>
      <c r="D65" s="25">
        <f>('Raw Price Data'!D65-'Raw Price Data'!D64)/'Raw Price Data'!D64</f>
        <v>-1.61630358397752E-2</v>
      </c>
      <c r="E65" s="25">
        <f>('Raw Price Data'!E65-'Raw Price Data'!E64)/'Raw Price Data'!E64</f>
        <v>1.1961088610469833E-2</v>
      </c>
      <c r="F65" s="25">
        <f>('Raw Price Data'!F65-'Raw Price Data'!F64)/'Raw Price Data'!F64</f>
        <v>5.4903543583027332E-3</v>
      </c>
    </row>
    <row r="66" spans="1:6" ht="15" customHeight="1" x14ac:dyDescent="0.3">
      <c r="A66" s="19">
        <v>43556</v>
      </c>
      <c r="B66" s="26">
        <f>('Raw Price Data'!B66-'Raw Price Data'!B65)/'Raw Price Data'!B65</f>
        <v>-7.0314675577832844E-3</v>
      </c>
      <c r="C66" s="26">
        <f>('Raw Price Data'!C66-'Raw Price Data'!C65)/'Raw Price Data'!C65</f>
        <v>7.3926405847660626E-3</v>
      </c>
      <c r="D66" s="26">
        <f>('Raw Price Data'!D66-'Raw Price Data'!D65)/'Raw Price Data'!D65</f>
        <v>-1.4000000000000058E-2</v>
      </c>
      <c r="E66" s="26">
        <f>('Raw Price Data'!E66-'Raw Price Data'!E65)/'Raw Price Data'!E65</f>
        <v>9.6128670282401088E-3</v>
      </c>
      <c r="F66" s="26">
        <f>('Raw Price Data'!F66-'Raw Price Data'!F65)/'Raw Price Data'!F65</f>
        <v>1.4235144893310226E-2</v>
      </c>
    </row>
    <row r="67" spans="1:6" ht="15" customHeight="1" x14ac:dyDescent="0.3">
      <c r="A67" s="21">
        <v>43557</v>
      </c>
      <c r="B67" s="25">
        <f>('Raw Price Data'!B67-'Raw Price Data'!B66)/'Raw Price Data'!B66</f>
        <v>1.3531515109023395E-2</v>
      </c>
      <c r="C67" s="25">
        <f>('Raw Price Data'!C67-'Raw Price Data'!C66)/'Raw Price Data'!C66</f>
        <v>8.1629287598945343E-3</v>
      </c>
      <c r="D67" s="25">
        <f>('Raw Price Data'!D67-'Raw Price Data'!D66)/'Raw Price Data'!D66</f>
        <v>2.3471457548536724E-2</v>
      </c>
      <c r="E67" s="25">
        <f>('Raw Price Data'!E67-'Raw Price Data'!E66)/'Raw Price Data'!E66</f>
        <v>3.0008891523414429E-3</v>
      </c>
      <c r="F67" s="25">
        <f>('Raw Price Data'!F67-'Raw Price Data'!F66)/'Raw Price Data'!F66</f>
        <v>-5.3154831309425834E-3</v>
      </c>
    </row>
    <row r="68" spans="1:6" ht="15" customHeight="1" x14ac:dyDescent="0.3">
      <c r="A68" s="19">
        <v>43558</v>
      </c>
      <c r="B68" s="26">
        <f>('Raw Price Data'!B68-'Raw Price Data'!B67)/'Raw Price Data'!B67</f>
        <v>-1.9714997232982805E-2</v>
      </c>
      <c r="C68" s="26">
        <f>('Raw Price Data'!C68-'Raw Price Data'!C67)/'Raw Price Data'!C67</f>
        <v>2.5898966767528268E-4</v>
      </c>
      <c r="D68" s="26">
        <f>('Raw Price Data'!D68-'Raw Price Data'!D67)/'Raw Price Data'!D67</f>
        <v>-5.7332955832389738E-3</v>
      </c>
      <c r="E68" s="26">
        <f>('Raw Price Data'!E68-'Raw Price Data'!E67)/'Raw Price Data'!E67</f>
        <v>1.0305470394858211E-2</v>
      </c>
      <c r="F68" s="26">
        <f>('Raw Price Data'!F68-'Raw Price Data'!F67)/'Raw Price Data'!F67</f>
        <v>-6.2730946448895895E-3</v>
      </c>
    </row>
    <row r="69" spans="1:6" ht="15" customHeight="1" x14ac:dyDescent="0.3">
      <c r="A69" s="21">
        <v>43559</v>
      </c>
      <c r="B69" s="25">
        <f>('Raw Price Data'!B69-'Raw Price Data'!B68)/'Raw Price Data'!B68</f>
        <v>7.7623315221216017E-4</v>
      </c>
      <c r="C69" s="25">
        <f>('Raw Price Data'!C69-'Raw Price Data'!C68)/'Raw Price Data'!C68</f>
        <v>-2.346656491462356E-2</v>
      </c>
      <c r="D69" s="25">
        <f>('Raw Price Data'!D69-'Raw Price Data'!D68)/'Raw Price Data'!D68</f>
        <v>-1.4665053036235512E-2</v>
      </c>
      <c r="E69" s="25">
        <f>('Raw Price Data'!E69-'Raw Price Data'!E68)/'Raw Price Data'!E68</f>
        <v>-2.5775080432874947E-2</v>
      </c>
      <c r="F69" s="25">
        <f>('Raw Price Data'!F69-'Raw Price Data'!F68)/'Raw Price Data'!F68</f>
        <v>-1.5655981751231441E-2</v>
      </c>
    </row>
    <row r="70" spans="1:6" ht="15" customHeight="1" x14ac:dyDescent="0.3">
      <c r="A70" s="19">
        <v>43560</v>
      </c>
      <c r="B70" s="26">
        <f>('Raw Price Data'!B70-'Raw Price Data'!B69)/'Raw Price Data'!B69</f>
        <v>3.8076434917502502E-3</v>
      </c>
      <c r="C70" s="26">
        <f>('Raw Price Data'!C70-'Raw Price Data'!C69)/'Raw Price Data'!C69</f>
        <v>-1.8629899942784609E-2</v>
      </c>
      <c r="D70" s="26">
        <f>('Raw Price Data'!D70-'Raw Price Data'!D69)/'Raw Price Data'!D69</f>
        <v>3.2006357922115501E-2</v>
      </c>
      <c r="E70" s="26">
        <f>('Raw Price Data'!E70-'Raw Price Data'!E69)/'Raw Price Data'!E69</f>
        <v>-2.6982399519645942E-2</v>
      </c>
      <c r="F70" s="26">
        <f>('Raw Price Data'!F70-'Raw Price Data'!F69)/'Raw Price Data'!F69</f>
        <v>9.028854922562498E-3</v>
      </c>
    </row>
    <row r="71" spans="1:6" ht="15" customHeight="1" x14ac:dyDescent="0.3">
      <c r="A71" s="21">
        <v>43563</v>
      </c>
      <c r="B71" s="25">
        <f>('Raw Price Data'!B71-'Raw Price Data'!B70)/'Raw Price Data'!B70</f>
        <v>-4.0039336892387012E-3</v>
      </c>
      <c r="C71" s="25">
        <f>('Raw Price Data'!C71-'Raw Price Data'!C70)/'Raw Price Data'!C70</f>
        <v>1.1816733974176589E-2</v>
      </c>
      <c r="D71" s="25">
        <f>('Raw Price Data'!D71-'Raw Price Data'!D70)/'Raw Price Data'!D70</f>
        <v>1.5051806216746049E-2</v>
      </c>
      <c r="E71" s="25">
        <f>('Raw Price Data'!E71-'Raw Price Data'!E70)/'Raw Price Data'!E70</f>
        <v>7.8293736501081068E-3</v>
      </c>
      <c r="F71" s="25">
        <f>('Raw Price Data'!F71-'Raw Price Data'!F70)/'Raw Price Data'!F70</f>
        <v>-7.5996265122247652E-3</v>
      </c>
    </row>
    <row r="72" spans="1:6" ht="15" customHeight="1" x14ac:dyDescent="0.3">
      <c r="A72" s="19">
        <v>43564</v>
      </c>
      <c r="B72" s="26">
        <f>('Raw Price Data'!B72-'Raw Price Data'!B71)/'Raw Price Data'!B71</f>
        <v>1.0296917977290416E-2</v>
      </c>
      <c r="C72" s="26">
        <f>('Raw Price Data'!C72-'Raw Price Data'!C71)/'Raw Price Data'!C71</f>
        <v>-2.0940200969713975E-2</v>
      </c>
      <c r="D72" s="26">
        <f>('Raw Price Data'!D72-'Raw Price Data'!D71)/'Raw Price Data'!D71</f>
        <v>-4.8968894406511343E-3</v>
      </c>
      <c r="E72" s="26">
        <f>('Raw Price Data'!E72-'Raw Price Data'!E71)/'Raw Price Data'!E71</f>
        <v>8.0364318242701106E-3</v>
      </c>
      <c r="F72" s="26">
        <f>('Raw Price Data'!F72-'Raw Price Data'!F71)/'Raw Price Data'!F71</f>
        <v>3.2429355718313077E-3</v>
      </c>
    </row>
    <row r="73" spans="1:6" ht="15" customHeight="1" x14ac:dyDescent="0.3">
      <c r="A73" s="21">
        <v>43565</v>
      </c>
      <c r="B73" s="25">
        <f>('Raw Price Data'!B73-'Raw Price Data'!B72)/'Raw Price Data'!B72</f>
        <v>8.3769633507852614E-3</v>
      </c>
      <c r="C73" s="25">
        <f>('Raw Price Data'!C73-'Raw Price Data'!C72)/'Raw Price Data'!C72</f>
        <v>4.5934113256298655E-3</v>
      </c>
      <c r="D73" s="25">
        <f>('Raw Price Data'!D73-'Raw Price Data'!D72)/'Raw Price Data'!D72</f>
        <v>-1.2059883559745002E-2</v>
      </c>
      <c r="E73" s="25">
        <f>('Raw Price Data'!E73-'Raw Price Data'!E72)/'Raw Price Data'!E72</f>
        <v>-7.1751262290727117E-3</v>
      </c>
      <c r="F73" s="25">
        <f>('Raw Price Data'!F73-'Raw Price Data'!F72)/'Raw Price Data'!F72</f>
        <v>1.5236074291136189E-3</v>
      </c>
    </row>
    <row r="74" spans="1:6" ht="15" customHeight="1" x14ac:dyDescent="0.3">
      <c r="A74" s="19">
        <v>43566</v>
      </c>
      <c r="B74" s="26">
        <f>('Raw Price Data'!B74-'Raw Price Data'!B73)/'Raw Price Data'!B73</f>
        <v>3.2537210107303684E-2</v>
      </c>
      <c r="C74" s="26">
        <f>('Raw Price Data'!C74-'Raw Price Data'!C73)/'Raw Price Data'!C73</f>
        <v>-5.7726655711939374E-3</v>
      </c>
      <c r="D74" s="26">
        <f>('Raw Price Data'!D74-'Raw Price Data'!D73)/'Raw Price Data'!D73</f>
        <v>-2.8062298302231354E-3</v>
      </c>
      <c r="E74" s="26">
        <f>('Raw Price Data'!E74-'Raw Price Data'!E73)/'Raw Price Data'!E73</f>
        <v>-3.7282043438360252E-2</v>
      </c>
      <c r="F74" s="26">
        <f>('Raw Price Data'!F74-'Raw Price Data'!F73)/'Raw Price Data'!F73</f>
        <v>-3.4749507711272815E-3</v>
      </c>
    </row>
    <row r="75" spans="1:6" ht="15" customHeight="1" x14ac:dyDescent="0.3">
      <c r="A75" s="21">
        <v>43567</v>
      </c>
      <c r="B75" s="25">
        <f>('Raw Price Data'!B75-'Raw Price Data'!B74)/'Raw Price Data'!B74</f>
        <v>8.8501508548440699E-3</v>
      </c>
      <c r="C75" s="25">
        <f>('Raw Price Data'!C75-'Raw Price Data'!C74)/'Raw Price Data'!C74</f>
        <v>-1.0031474109311314E-2</v>
      </c>
      <c r="D75" s="25">
        <f>('Raw Price Data'!D75-'Raw Price Data'!D74)/'Raw Price Data'!D74</f>
        <v>2.525678908118759E-2</v>
      </c>
      <c r="E75" s="25">
        <f>('Raw Price Data'!E75-'Raw Price Data'!E74)/'Raw Price Data'!E74</f>
        <v>-2.0057989434801648E-2</v>
      </c>
      <c r="F75" s="25">
        <f>('Raw Price Data'!F75-'Raw Price Data'!F74)/'Raw Price Data'!F74</f>
        <v>-4.2270437513604285E-3</v>
      </c>
    </row>
    <row r="76" spans="1:6" ht="15" customHeight="1" x14ac:dyDescent="0.3">
      <c r="A76" s="19">
        <v>43570</v>
      </c>
      <c r="B76" s="26">
        <f>('Raw Price Data'!B76-'Raw Price Data'!B75)/'Raw Price Data'!B75</f>
        <v>-8.1079284907290411E-3</v>
      </c>
      <c r="C76" s="26">
        <f>('Raw Price Data'!C76-'Raw Price Data'!C75)/'Raw Price Data'!C75</f>
        <v>1.0742853824601266E-3</v>
      </c>
      <c r="D76" s="26">
        <f>('Raw Price Data'!D76-'Raw Price Data'!D75)/'Raw Price Data'!D75</f>
        <v>-1.5096411171344189E-2</v>
      </c>
      <c r="E76" s="26">
        <f>('Raw Price Data'!E76-'Raw Price Data'!E75)/'Raw Price Data'!E75</f>
        <v>1.0619325551232184E-2</v>
      </c>
      <c r="F76" s="26">
        <f>('Raw Price Data'!F76-'Raw Price Data'!F75)/'Raw Price Data'!F75</f>
        <v>1.1590279661728212E-2</v>
      </c>
    </row>
    <row r="77" spans="1:6" ht="15" customHeight="1" x14ac:dyDescent="0.3">
      <c r="A77" s="21">
        <v>43571</v>
      </c>
      <c r="B77" s="25">
        <f>('Raw Price Data'!B77-'Raw Price Data'!B76)/'Raw Price Data'!B76</f>
        <v>-7.4371859296483329E-3</v>
      </c>
      <c r="C77" s="25">
        <f>('Raw Price Data'!C77-'Raw Price Data'!C76)/'Raw Price Data'!C76</f>
        <v>3.0163725220064611E-2</v>
      </c>
      <c r="D77" s="25">
        <f>('Raw Price Data'!D77-'Raw Price Data'!D76)/'Raw Price Data'!D76</f>
        <v>-1.9647460461227569E-2</v>
      </c>
      <c r="E77" s="25">
        <f>('Raw Price Data'!E77-'Raw Price Data'!E76)/'Raw Price Data'!E76</f>
        <v>2.8876233255795253E-3</v>
      </c>
      <c r="F77" s="25">
        <f>('Raw Price Data'!F77-'Raw Price Data'!F76)/'Raw Price Data'!F76</f>
        <v>1.8752863888714753E-2</v>
      </c>
    </row>
    <row r="78" spans="1:6" ht="15" customHeight="1" x14ac:dyDescent="0.3">
      <c r="A78" s="19">
        <v>43572</v>
      </c>
      <c r="B78" s="26">
        <f>('Raw Price Data'!B78-'Raw Price Data'!B77)/'Raw Price Data'!B77</f>
        <v>-1.1205616308896967E-2</v>
      </c>
      <c r="C78" s="26">
        <f>('Raw Price Data'!C78-'Raw Price Data'!C77)/'Raw Price Data'!C77</f>
        <v>5.6871771048889507E-3</v>
      </c>
      <c r="D78" s="26">
        <f>('Raw Price Data'!D78-'Raw Price Data'!D77)/'Raw Price Data'!D77</f>
        <v>2.0467628455688971E-2</v>
      </c>
      <c r="E78" s="26">
        <f>('Raw Price Data'!E78-'Raw Price Data'!E77)/'Raw Price Data'!E77</f>
        <v>-1.1637207070303114E-2</v>
      </c>
      <c r="F78" s="26">
        <f>('Raw Price Data'!F78-'Raw Price Data'!F77)/'Raw Price Data'!F77</f>
        <v>-4.397973778815365E-3</v>
      </c>
    </row>
    <row r="79" spans="1:6" ht="15" customHeight="1" x14ac:dyDescent="0.3">
      <c r="A79" s="21">
        <v>43573</v>
      </c>
      <c r="B79" s="25">
        <f>('Raw Price Data'!B79-'Raw Price Data'!B78)/'Raw Price Data'!B78</f>
        <v>1.3517203713817712E-2</v>
      </c>
      <c r="C79" s="25">
        <f>('Raw Price Data'!C79-'Raw Price Data'!C78)/'Raw Price Data'!C78</f>
        <v>-4.6191962598507224E-3</v>
      </c>
      <c r="D79" s="25">
        <f>('Raw Price Data'!D79-'Raw Price Data'!D78)/'Raw Price Data'!D78</f>
        <v>-4.0392785012884772E-3</v>
      </c>
      <c r="E79" s="25">
        <f>('Raw Price Data'!E79-'Raw Price Data'!E78)/'Raw Price Data'!E78</f>
        <v>-1.7074651021646767E-2</v>
      </c>
      <c r="F79" s="25">
        <f>('Raw Price Data'!F79-'Raw Price Data'!F78)/'Raw Price Data'!F78</f>
        <v>-8.4916921086922482E-3</v>
      </c>
    </row>
    <row r="80" spans="1:6" ht="15" customHeight="1" x14ac:dyDescent="0.3">
      <c r="A80" s="19">
        <v>43574</v>
      </c>
      <c r="B80" s="26">
        <f>('Raw Price Data'!B80-'Raw Price Data'!B79)/'Raw Price Data'!B79</f>
        <v>-7.5441196281827057E-3</v>
      </c>
      <c r="C80" s="26">
        <f>('Raw Price Data'!C80-'Raw Price Data'!C79)/'Raw Price Data'!C79</f>
        <v>-2.5396914682679274E-2</v>
      </c>
      <c r="D80" s="26">
        <f>('Raw Price Data'!D80-'Raw Price Data'!D79)/'Raw Price Data'!D79</f>
        <v>1.9579050416054901E-3</v>
      </c>
      <c r="E80" s="26">
        <f>('Raw Price Data'!E80-'Raw Price Data'!E79)/'Raw Price Data'!E79</f>
        <v>5.4748281397932908E-3</v>
      </c>
      <c r="F80" s="26">
        <f>('Raw Price Data'!F80-'Raw Price Data'!F79)/'Raw Price Data'!F79</f>
        <v>2.2228446685037977E-2</v>
      </c>
    </row>
    <row r="81" spans="1:6" ht="15" customHeight="1" x14ac:dyDescent="0.3">
      <c r="A81" s="21">
        <v>43577</v>
      </c>
      <c r="B81" s="25">
        <f>('Raw Price Data'!B81-'Raw Price Data'!B80)/'Raw Price Data'!B80</f>
        <v>-6.787023211618998E-4</v>
      </c>
      <c r="C81" s="25">
        <f>('Raw Price Data'!C81-'Raw Price Data'!C80)/'Raw Price Data'!C80</f>
        <v>9.6385542168675627E-3</v>
      </c>
      <c r="D81" s="25">
        <f>('Raw Price Data'!D81-'Raw Price Data'!D80)/'Raw Price Data'!D80</f>
        <v>8.6537790494801391E-3</v>
      </c>
      <c r="E81" s="25">
        <f>('Raw Price Data'!E81-'Raw Price Data'!E80)/'Raw Price Data'!E80</f>
        <v>-2.3745189552115947E-3</v>
      </c>
      <c r="F81" s="25">
        <f>('Raw Price Data'!F81-'Raw Price Data'!F80)/'Raw Price Data'!F80</f>
        <v>1.3784955630554282E-3</v>
      </c>
    </row>
    <row r="82" spans="1:6" ht="15" customHeight="1" x14ac:dyDescent="0.3">
      <c r="A82" s="19">
        <v>43578</v>
      </c>
      <c r="B82" s="26">
        <f>('Raw Price Data'!B82-'Raw Price Data'!B81)/'Raw Price Data'!B81</f>
        <v>1.0730779679434827E-2</v>
      </c>
      <c r="C82" s="26">
        <f>('Raw Price Data'!C82-'Raw Price Data'!C81)/'Raw Price Data'!C81</f>
        <v>2.0636531233475683E-2</v>
      </c>
      <c r="D82" s="26">
        <f>('Raw Price Data'!D82-'Raw Price Data'!D81)/'Raw Price Data'!D81</f>
        <v>-5.7427523697503114E-3</v>
      </c>
      <c r="E82" s="26">
        <f>('Raw Price Data'!E82-'Raw Price Data'!E81)/'Raw Price Data'!E81</f>
        <v>-2.5032829940906665E-3</v>
      </c>
      <c r="F82" s="26">
        <f>('Raw Price Data'!F82-'Raw Price Data'!F81)/'Raw Price Data'!F81</f>
        <v>-5.9646329595404333E-3</v>
      </c>
    </row>
    <row r="83" spans="1:6" ht="15" customHeight="1" x14ac:dyDescent="0.3">
      <c r="A83" s="21">
        <v>43579</v>
      </c>
      <c r="B83" s="25">
        <f>('Raw Price Data'!B83-'Raw Price Data'!B82)/'Raw Price Data'!B82</f>
        <v>-9.7433140706893479E-3</v>
      </c>
      <c r="C83" s="25">
        <f>('Raw Price Data'!C83-'Raw Price Data'!C82)/'Raw Price Data'!C82</f>
        <v>1.1313832840920288E-2</v>
      </c>
      <c r="D83" s="25">
        <f>('Raw Price Data'!D83-'Raw Price Data'!D82)/'Raw Price Data'!D82</f>
        <v>-3.7787056367432001E-2</v>
      </c>
      <c r="E83" s="25">
        <f>('Raw Price Data'!E83-'Raw Price Data'!E82)/'Raw Price Data'!E82</f>
        <v>-9.0508906899246667E-3</v>
      </c>
      <c r="F83" s="25">
        <f>('Raw Price Data'!F83-'Raw Price Data'!F82)/'Raw Price Data'!F82</f>
        <v>-3.3874345574415841E-3</v>
      </c>
    </row>
    <row r="84" spans="1:6" ht="15" customHeight="1" x14ac:dyDescent="0.3">
      <c r="A84" s="19">
        <v>43580</v>
      </c>
      <c r="B84" s="26">
        <f>('Raw Price Data'!B84-'Raw Price Data'!B83)/'Raw Price Data'!B83</f>
        <v>-3.7321028703264664E-3</v>
      </c>
      <c r="C84" s="26">
        <f>('Raw Price Data'!C84-'Raw Price Data'!C83)/'Raw Price Data'!C83</f>
        <v>2.1156109380408409E-2</v>
      </c>
      <c r="D84" s="26">
        <f>('Raw Price Data'!D84-'Raw Price Data'!D83)/'Raw Price Data'!D83</f>
        <v>-2.8928907210530532E-3</v>
      </c>
      <c r="E84" s="26">
        <f>('Raw Price Data'!E84-'Raw Price Data'!E83)/'Raw Price Data'!E83</f>
        <v>3.2797774733258275E-3</v>
      </c>
      <c r="F84" s="26">
        <f>('Raw Price Data'!F84-'Raw Price Data'!F83)/'Raw Price Data'!F83</f>
        <v>1.0050226300949591E-2</v>
      </c>
    </row>
    <row r="85" spans="1:6" ht="15" customHeight="1" x14ac:dyDescent="0.3">
      <c r="A85" s="21">
        <v>43581</v>
      </c>
      <c r="B85" s="25">
        <f>('Raw Price Data'!B85-'Raw Price Data'!B84)/'Raw Price Data'!B84</f>
        <v>-2.5200926304318135E-2</v>
      </c>
      <c r="C85" s="25">
        <f>('Raw Price Data'!C85-'Raw Price Data'!C84)/'Raw Price Data'!C84</f>
        <v>9.0030236058194057E-3</v>
      </c>
      <c r="D85" s="25">
        <f>('Raw Price Data'!D85-'Raw Price Data'!D84)/'Raw Price Data'!D84</f>
        <v>1.9873794153913171E-2</v>
      </c>
      <c r="E85" s="25">
        <f>('Raw Price Data'!E85-'Raw Price Data'!E84)/'Raw Price Data'!E84</f>
        <v>5.8346437143093465E-3</v>
      </c>
      <c r="F85" s="25">
        <f>('Raw Price Data'!F85-'Raw Price Data'!F84)/'Raw Price Data'!F84</f>
        <v>-6.2395227526015082E-4</v>
      </c>
    </row>
    <row r="86" spans="1:6" ht="15" customHeight="1" x14ac:dyDescent="0.3">
      <c r="A86" s="19">
        <v>43584</v>
      </c>
      <c r="B86" s="26">
        <f>('Raw Price Data'!B86-'Raw Price Data'!B85)/'Raw Price Data'!B85</f>
        <v>-1.4673001676914437E-2</v>
      </c>
      <c r="C86" s="26">
        <f>('Raw Price Data'!C86-'Raw Price Data'!C85)/'Raw Price Data'!C85</f>
        <v>-2.2387357727400956E-2</v>
      </c>
      <c r="D86" s="26">
        <f>('Raw Price Data'!D86-'Raw Price Data'!D85)/'Raw Price Data'!D85</f>
        <v>3.4634805490363241E-2</v>
      </c>
      <c r="E86" s="26">
        <f>('Raw Price Data'!E86-'Raw Price Data'!E85)/'Raw Price Data'!E85</f>
        <v>-1.1354753774632785E-2</v>
      </c>
      <c r="F86" s="26">
        <f>('Raw Price Data'!F86-'Raw Price Data'!F85)/'Raw Price Data'!F85</f>
        <v>1.4173613884987566E-3</v>
      </c>
    </row>
    <row r="87" spans="1:6" ht="15" customHeight="1" x14ac:dyDescent="0.3">
      <c r="A87" s="21">
        <v>43585</v>
      </c>
      <c r="B87" s="25">
        <f>('Raw Price Data'!B87-'Raw Price Data'!B86)/'Raw Price Data'!B86</f>
        <v>-7.5875762303220925E-3</v>
      </c>
      <c r="C87" s="25">
        <f>('Raw Price Data'!C87-'Raw Price Data'!C86)/'Raw Price Data'!C86</f>
        <v>-2.0618273288336555E-4</v>
      </c>
      <c r="D87" s="25">
        <f>('Raw Price Data'!D87-'Raw Price Data'!D86)/'Raw Price Data'!D86</f>
        <v>-1.4434973879569669E-3</v>
      </c>
      <c r="E87" s="25">
        <f>('Raw Price Data'!E87-'Raw Price Data'!E86)/'Raw Price Data'!E86</f>
        <v>3.1875494153385198E-2</v>
      </c>
      <c r="F87" s="25">
        <f>('Raw Price Data'!F87-'Raw Price Data'!F86)/'Raw Price Data'!F86</f>
        <v>-1.4262804579200787E-2</v>
      </c>
    </row>
    <row r="88" spans="1:6" ht="15" customHeight="1" x14ac:dyDescent="0.3">
      <c r="A88" s="19">
        <v>43586</v>
      </c>
      <c r="B88" s="26">
        <f>('Raw Price Data'!B88-'Raw Price Data'!B87)/'Raw Price Data'!B87</f>
        <v>6.0735977134692594E-3</v>
      </c>
      <c r="C88" s="26">
        <f>('Raw Price Data'!C88-'Raw Price Data'!C87)/'Raw Price Data'!C87</f>
        <v>9.8575670919489097E-3</v>
      </c>
      <c r="D88" s="26">
        <f>('Raw Price Data'!D88-'Raw Price Data'!D87)/'Raw Price Data'!D87</f>
        <v>-6.8837337371923494E-5</v>
      </c>
      <c r="E88" s="26">
        <f>('Raw Price Data'!E88-'Raw Price Data'!E87)/'Raw Price Data'!E87</f>
        <v>-1.0646449167237917E-2</v>
      </c>
      <c r="F88" s="26">
        <f>('Raw Price Data'!F88-'Raw Price Data'!F87)/'Raw Price Data'!F87</f>
        <v>-8.4685746887799805E-3</v>
      </c>
    </row>
    <row r="89" spans="1:6" ht="15" customHeight="1" x14ac:dyDescent="0.3">
      <c r="A89" s="21">
        <v>43587</v>
      </c>
      <c r="B89" s="25">
        <f>('Raw Price Data'!B89-'Raw Price Data'!B88)/'Raw Price Data'!B88</f>
        <v>1.6903409090909056E-2</v>
      </c>
      <c r="C89" s="25">
        <f>('Raw Price Data'!C89-'Raw Price Data'!C88)/'Raw Price Data'!C88</f>
        <v>1.3314636570323843E-2</v>
      </c>
      <c r="D89" s="25">
        <f>('Raw Price Data'!D89-'Raw Price Data'!D88)/'Raw Price Data'!D88</f>
        <v>2.1891780256092574E-2</v>
      </c>
      <c r="E89" s="25">
        <f>('Raw Price Data'!E89-'Raw Price Data'!E88)/'Raw Price Data'!E88</f>
        <v>3.6277666816124663E-3</v>
      </c>
      <c r="F89" s="25">
        <f>('Raw Price Data'!F89-'Raw Price Data'!F88)/'Raw Price Data'!F88</f>
        <v>1.2979742190744529E-2</v>
      </c>
    </row>
    <row r="90" spans="1:6" ht="15" customHeight="1" x14ac:dyDescent="0.3">
      <c r="A90" s="19">
        <v>43588</v>
      </c>
      <c r="B90" s="26">
        <f>('Raw Price Data'!B90-'Raw Price Data'!B89)/'Raw Price Data'!B89</f>
        <v>6.9842156725736162E-5</v>
      </c>
      <c r="C90" s="26">
        <f>('Raw Price Data'!C90-'Raw Price Data'!C89)/'Raw Price Data'!C89</f>
        <v>-8.1014631000523619E-3</v>
      </c>
      <c r="D90" s="26">
        <f>('Raw Price Data'!D90-'Raw Price Data'!D89)/'Raw Price Data'!D89</f>
        <v>9.7682565346267087E-3</v>
      </c>
      <c r="E90" s="26">
        <f>('Raw Price Data'!E90-'Raw Price Data'!E89)/'Raw Price Data'!E89</f>
        <v>-2.8836000324912656E-2</v>
      </c>
      <c r="F90" s="26">
        <f>('Raw Price Data'!F90-'Raw Price Data'!F89)/'Raw Price Data'!F89</f>
        <v>5.1102011921675431E-3</v>
      </c>
    </row>
    <row r="91" spans="1:6" ht="15" customHeight="1" x14ac:dyDescent="0.3">
      <c r="A91" s="21">
        <v>43591</v>
      </c>
      <c r="B91" s="25">
        <f>('Raw Price Data'!B91-'Raw Price Data'!B90)/'Raw Price Data'!B90</f>
        <v>3.9108876318178802E-3</v>
      </c>
      <c r="C91" s="25">
        <f>('Raw Price Data'!C91-'Raw Price Data'!C90)/'Raw Price Data'!C90</f>
        <v>-5.2825486265371726E-4</v>
      </c>
      <c r="D91" s="25">
        <f>('Raw Price Data'!D91-'Raw Price Data'!D90)/'Raw Price Data'!D90</f>
        <v>5.0703849489627017E-3</v>
      </c>
      <c r="E91" s="25">
        <f>('Raw Price Data'!E91-'Raw Price Data'!E90)/'Raw Price Data'!E90</f>
        <v>-1.8400802944128495E-2</v>
      </c>
      <c r="F91" s="25">
        <f>('Raw Price Data'!F91-'Raw Price Data'!F90)/'Raw Price Data'!F90</f>
        <v>1.1797355274757608E-2</v>
      </c>
    </row>
    <row r="92" spans="1:6" ht="15" customHeight="1" x14ac:dyDescent="0.3">
      <c r="A92" s="19">
        <v>43592</v>
      </c>
      <c r="B92" s="26">
        <f>('Raw Price Data'!B92-'Raw Price Data'!B91)/'Raw Price Data'!B91</f>
        <v>2.6434782608695338E-3</v>
      </c>
      <c r="C92" s="26">
        <f>('Raw Price Data'!C92-'Raw Price Data'!C91)/'Raw Price Data'!C91</f>
        <v>7.0471208445703907E-3</v>
      </c>
      <c r="D92" s="26">
        <f>('Raw Price Data'!D92-'Raw Price Data'!D91)/'Raw Price Data'!D91</f>
        <v>-3.0733488217723169E-2</v>
      </c>
      <c r="E92" s="26">
        <f>('Raw Price Data'!E92-'Raw Price Data'!E91)/'Raw Price Data'!E91</f>
        <v>1.7851056578050434E-2</v>
      </c>
      <c r="F92" s="26">
        <f>('Raw Price Data'!F92-'Raw Price Data'!F91)/'Raw Price Data'!F91</f>
        <v>-1.8938724185529852E-2</v>
      </c>
    </row>
    <row r="93" spans="1:6" ht="15" customHeight="1" x14ac:dyDescent="0.3">
      <c r="A93" s="21">
        <v>43593</v>
      </c>
      <c r="B93" s="25">
        <f>('Raw Price Data'!B93-'Raw Price Data'!B92)/'Raw Price Data'!B92</f>
        <v>1.5333379587872115E-2</v>
      </c>
      <c r="C93" s="25">
        <f>('Raw Price Data'!C93-'Raw Price Data'!C92)/'Raw Price Data'!C92</f>
        <v>2.3025474706966871E-2</v>
      </c>
      <c r="D93" s="25">
        <f>('Raw Price Data'!D93-'Raw Price Data'!D92)/'Raw Price Data'!D92</f>
        <v>-6.1635392411998743E-3</v>
      </c>
      <c r="E93" s="25">
        <f>('Raw Price Data'!E93-'Raw Price Data'!E92)/'Raw Price Data'!E92</f>
        <v>1.4231300489724187E-2</v>
      </c>
      <c r="F93" s="25">
        <f>('Raw Price Data'!F93-'Raw Price Data'!F92)/'Raw Price Data'!F92</f>
        <v>-6.241204692472681E-3</v>
      </c>
    </row>
    <row r="94" spans="1:6" ht="15" customHeight="1" x14ac:dyDescent="0.3">
      <c r="A94" s="19">
        <v>43594</v>
      </c>
      <c r="B94" s="26">
        <f>('Raw Price Data'!B94-'Raw Price Data'!B93)/'Raw Price Data'!B93</f>
        <v>1.2710127101270912E-2</v>
      </c>
      <c r="C94" s="26">
        <f>('Raw Price Data'!C94-'Raw Price Data'!C93)/'Raw Price Data'!C93</f>
        <v>1.832412523020251E-2</v>
      </c>
      <c r="D94" s="26">
        <f>('Raw Price Data'!D94-'Raw Price Data'!D93)/'Raw Price Data'!D93</f>
        <v>3.7210584343990629E-3</v>
      </c>
      <c r="E94" s="26">
        <f>('Raw Price Data'!E94-'Raw Price Data'!E93)/'Raw Price Data'!E93</f>
        <v>4.539639305022468E-3</v>
      </c>
      <c r="F94" s="26">
        <f>('Raw Price Data'!F94-'Raw Price Data'!F93)/'Raw Price Data'!F93</f>
        <v>3.8741021656221015E-3</v>
      </c>
    </row>
    <row r="95" spans="1:6" ht="15" customHeight="1" x14ac:dyDescent="0.3">
      <c r="A95" s="21">
        <v>43595</v>
      </c>
      <c r="B95" s="25">
        <f>('Raw Price Data'!B95-'Raw Price Data'!B94)/'Raw Price Data'!B94</f>
        <v>4.1160593792173667E-3</v>
      </c>
      <c r="C95" s="25">
        <f>('Raw Price Data'!C95-'Raw Price Data'!C94)/'Raw Price Data'!C94</f>
        <v>1.200056837998781E-2</v>
      </c>
      <c r="D95" s="25">
        <f>('Raw Price Data'!D95-'Raw Price Data'!D94)/'Raw Price Data'!D94</f>
        <v>-2.3410682411094307E-2</v>
      </c>
      <c r="E95" s="25">
        <f>('Raw Price Data'!E95-'Raw Price Data'!E94)/'Raw Price Data'!E94</f>
        <v>-1.2242718047738342E-2</v>
      </c>
      <c r="F95" s="25">
        <f>('Raw Price Data'!F95-'Raw Price Data'!F94)/'Raw Price Data'!F94</f>
        <v>7.9651973672496025E-3</v>
      </c>
    </row>
    <row r="96" spans="1:6" ht="15" customHeight="1" x14ac:dyDescent="0.3">
      <c r="A96" s="19">
        <v>43598</v>
      </c>
      <c r="B96" s="26">
        <f>('Raw Price Data'!B96-'Raw Price Data'!B95)/'Raw Price Data'!B95</f>
        <v>-1.3708756131980323E-2</v>
      </c>
      <c r="C96" s="26">
        <f>('Raw Price Data'!C96-'Raw Price Data'!C95)/'Raw Price Data'!C95</f>
        <v>7.5821398483572732E-3</v>
      </c>
      <c r="D96" s="26">
        <f>('Raw Price Data'!D96-'Raw Price Data'!D95)/'Raw Price Data'!D95</f>
        <v>-5.4130052724078049E-3</v>
      </c>
      <c r="E96" s="26">
        <f>('Raw Price Data'!E96-'Raw Price Data'!E95)/'Raw Price Data'!E95</f>
        <v>7.1538493532421026E-3</v>
      </c>
      <c r="F96" s="26">
        <f>('Raw Price Data'!F96-'Raw Price Data'!F95)/'Raw Price Data'!F95</f>
        <v>2.3959007762118501E-2</v>
      </c>
    </row>
    <row r="97" spans="1:6" ht="15" customHeight="1" x14ac:dyDescent="0.3">
      <c r="A97" s="21">
        <v>43599</v>
      </c>
      <c r="B97" s="25">
        <f>('Raw Price Data'!B97-'Raw Price Data'!B96)/'Raw Price Data'!B96</f>
        <v>1.2877290999522969E-2</v>
      </c>
      <c r="C97" s="25">
        <f>('Raw Price Data'!C97-'Raw Price Data'!C96)/'Raw Price Data'!C96</f>
        <v>-1.7495185973446917E-2</v>
      </c>
      <c r="D97" s="25">
        <f>('Raw Price Data'!D97-'Raw Price Data'!D96)/'Raw Price Data'!D96</f>
        <v>2.7353689567430058E-2</v>
      </c>
      <c r="E97" s="25">
        <f>('Raw Price Data'!E97-'Raw Price Data'!E96)/'Raw Price Data'!E96</f>
        <v>-1.8294445591575496E-2</v>
      </c>
      <c r="F97" s="25">
        <f>('Raw Price Data'!F97-'Raw Price Data'!F96)/'Raw Price Data'!F96</f>
        <v>2.635244608294585E-3</v>
      </c>
    </row>
    <row r="98" spans="1:6" ht="15" customHeight="1" x14ac:dyDescent="0.3">
      <c r="A98" s="19">
        <v>43600</v>
      </c>
      <c r="B98" s="26">
        <f>('Raw Price Data'!B98-'Raw Price Data'!B97)/'Raw Price Data'!B97</f>
        <v>5.5832100094175465E-3</v>
      </c>
      <c r="C98" s="26">
        <f>('Raw Price Data'!C98-'Raw Price Data'!C97)/'Raw Price Data'!C97</f>
        <v>-1.8825349751788938E-2</v>
      </c>
      <c r="D98" s="26">
        <f>('Raw Price Data'!D98-'Raw Price Data'!D97)/'Raw Price Data'!D97</f>
        <v>-3.6463708290333757E-3</v>
      </c>
      <c r="E98" s="26">
        <f>('Raw Price Data'!E98-'Raw Price Data'!E97)/'Raw Price Data'!E97</f>
        <v>2.0696617869762693E-2</v>
      </c>
      <c r="F98" s="26">
        <f>('Raw Price Data'!F98-'Raw Price Data'!F97)/'Raw Price Data'!F97</f>
        <v>-9.7553119811812205E-3</v>
      </c>
    </row>
    <row r="99" spans="1:6" ht="15" customHeight="1" x14ac:dyDescent="0.3">
      <c r="A99" s="21">
        <v>43601</v>
      </c>
      <c r="B99" s="25">
        <f>('Raw Price Data'!B99-'Raw Price Data'!B98)/'Raw Price Data'!B98</f>
        <v>1.7325573616964369E-2</v>
      </c>
      <c r="C99" s="25">
        <f>('Raw Price Data'!C99-'Raw Price Data'!C98)/'Raw Price Data'!C98</f>
        <v>-1.0250344963533562E-3</v>
      </c>
      <c r="D99" s="25">
        <f>('Raw Price Data'!D99-'Raw Price Data'!D98)/'Raw Price Data'!D98</f>
        <v>-2.223449799751415E-2</v>
      </c>
      <c r="E99" s="25">
        <f>('Raw Price Data'!E99-'Raw Price Data'!E98)/'Raw Price Data'!E98</f>
        <v>-4.9208704253214636E-2</v>
      </c>
      <c r="F99" s="25">
        <f>('Raw Price Data'!F99-'Raw Price Data'!F98)/'Raw Price Data'!F98</f>
        <v>-8.2635686894379536E-3</v>
      </c>
    </row>
    <row r="100" spans="1:6" ht="15" customHeight="1" x14ac:dyDescent="0.3">
      <c r="A100" s="19">
        <v>43602</v>
      </c>
      <c r="B100" s="26">
        <f>('Raw Price Data'!B100-'Raw Price Data'!B99)/'Raw Price Data'!B99</f>
        <v>-1.3150973172021456E-4</v>
      </c>
      <c r="C100" s="26">
        <f>('Raw Price Data'!C100-'Raw Price Data'!C99)/'Raw Price Data'!C99</f>
        <v>1.8969441046081895E-2</v>
      </c>
      <c r="D100" s="26">
        <f>('Raw Price Data'!D100-'Raw Price Data'!D99)/'Raw Price Data'!D99</f>
        <v>-2.9307909604519816E-2</v>
      </c>
      <c r="E100" s="26">
        <f>('Raw Price Data'!E100-'Raw Price Data'!E99)/'Raw Price Data'!E99</f>
        <v>-6.8053749458170491E-3</v>
      </c>
      <c r="F100" s="26">
        <f>('Raw Price Data'!F100-'Raw Price Data'!F99)/'Raw Price Data'!F99</f>
        <v>-1.4836480554055929E-2</v>
      </c>
    </row>
    <row r="101" spans="1:6" ht="15" customHeight="1" x14ac:dyDescent="0.3">
      <c r="A101" s="21">
        <v>43605</v>
      </c>
      <c r="B101" s="25">
        <f>('Raw Price Data'!B101-'Raw Price Data'!B100)/'Raw Price Data'!B100</f>
        <v>2.7423385505721345E-2</v>
      </c>
      <c r="C101" s="25">
        <f>('Raw Price Data'!C101-'Raw Price Data'!C100)/'Raw Price Data'!C100</f>
        <v>7.5652926064111508E-3</v>
      </c>
      <c r="D101" s="25">
        <f>('Raw Price Data'!D101-'Raw Price Data'!D100)/'Raw Price Data'!D100</f>
        <v>2.1826118588578493E-4</v>
      </c>
      <c r="E101" s="25">
        <f>('Raw Price Data'!E101-'Raw Price Data'!E100)/'Raw Price Data'!E100</f>
        <v>-1.4576877754986268E-2</v>
      </c>
      <c r="F101" s="25">
        <f>('Raw Price Data'!F101-'Raw Price Data'!F100)/'Raw Price Data'!F100</f>
        <v>1.5603148324755305E-2</v>
      </c>
    </row>
    <row r="102" spans="1:6" ht="15" customHeight="1" x14ac:dyDescent="0.3">
      <c r="A102" s="19">
        <v>43606</v>
      </c>
      <c r="B102" s="26">
        <f>('Raw Price Data'!B102-'Raw Price Data'!B101)/'Raw Price Data'!B101</f>
        <v>-4.6725980925557816E-3</v>
      </c>
      <c r="C102" s="26">
        <f>('Raw Price Data'!C102-'Raw Price Data'!C101)/'Raw Price Data'!C101</f>
        <v>1.0493945800499635E-2</v>
      </c>
      <c r="D102" s="26">
        <f>('Raw Price Data'!D102-'Raw Price Data'!D101)/'Raw Price Data'!D101</f>
        <v>-8.7285423334302354E-3</v>
      </c>
      <c r="E102" s="26">
        <f>('Raw Price Data'!E102-'Raw Price Data'!E101)/'Raw Price Data'!E101</f>
        <v>2.4934673811949137E-2</v>
      </c>
      <c r="F102" s="26">
        <f>('Raw Price Data'!F102-'Raw Price Data'!F101)/'Raw Price Data'!F101</f>
        <v>-1.3819242717640191E-3</v>
      </c>
    </row>
    <row r="103" spans="1:6" ht="15" customHeight="1" x14ac:dyDescent="0.3">
      <c r="A103" s="21">
        <v>43607</v>
      </c>
      <c r="B103" s="25">
        <f>('Raw Price Data'!B103-'Raw Price Data'!B102)/'Raw Price Data'!B102</f>
        <v>2.2379421221864888E-2</v>
      </c>
      <c r="C103" s="25">
        <f>('Raw Price Data'!C103-'Raw Price Data'!C102)/'Raw Price Data'!C102</f>
        <v>-2.5892675999188423E-2</v>
      </c>
      <c r="D103" s="25">
        <f>('Raw Price Data'!D103-'Raw Price Data'!D102)/'Raw Price Data'!D102</f>
        <v>-1.3281479307308499E-2</v>
      </c>
      <c r="E103" s="25">
        <f>('Raw Price Data'!E103-'Raw Price Data'!E102)/'Raw Price Data'!E102</f>
        <v>-3.2408607726212083E-3</v>
      </c>
      <c r="F103" s="25">
        <f>('Raw Price Data'!F103-'Raw Price Data'!F102)/'Raw Price Data'!F102</f>
        <v>-6.9161438021115894E-3</v>
      </c>
    </row>
    <row r="104" spans="1:6" ht="15" customHeight="1" x14ac:dyDescent="0.3">
      <c r="A104" s="19">
        <v>43608</v>
      </c>
      <c r="B104" s="26">
        <f>('Raw Price Data'!B104-'Raw Price Data'!B103)/'Raw Price Data'!B103</f>
        <v>1.9499308089067952E-3</v>
      </c>
      <c r="C104" s="26">
        <f>('Raw Price Data'!C104-'Raw Price Data'!C103)/'Raw Price Data'!C103</f>
        <v>-2.5175080055192565E-2</v>
      </c>
      <c r="D104" s="26">
        <f>('Raw Price Data'!D104-'Raw Price Data'!D103)/'Raw Price Data'!D103</f>
        <v>4.0157655982746487E-3</v>
      </c>
      <c r="E104" s="26">
        <f>('Raw Price Data'!E104-'Raw Price Data'!E103)/'Raw Price Data'!E103</f>
        <v>2.3843586075345733E-2</v>
      </c>
      <c r="F104" s="26">
        <f>('Raw Price Data'!F104-'Raw Price Data'!F103)/'Raw Price Data'!F103</f>
        <v>1.3364779689132205E-2</v>
      </c>
    </row>
    <row r="105" spans="1:6" ht="15" customHeight="1" x14ac:dyDescent="0.3">
      <c r="A105" s="21">
        <v>43609</v>
      </c>
      <c r="B105" s="25">
        <f>('Raw Price Data'!B105-'Raw Price Data'!B104)/'Raw Price Data'!B104</f>
        <v>-6.8428652143888722E-3</v>
      </c>
      <c r="C105" s="25">
        <f>('Raw Price Data'!C105-'Raw Price Data'!C104)/'Raw Price Data'!C104</f>
        <v>2.0337036641384493E-2</v>
      </c>
      <c r="D105" s="25">
        <f>('Raw Price Data'!D105-'Raw Price Data'!D104)/'Raw Price Data'!D104</f>
        <v>4.8885267757943609E-3</v>
      </c>
      <c r="E105" s="25">
        <f>('Raw Price Data'!E105-'Raw Price Data'!E104)/'Raw Price Data'!E104</f>
        <v>2.7776601600541993E-2</v>
      </c>
      <c r="F105" s="25">
        <f>('Raw Price Data'!F105-'Raw Price Data'!F104)/'Raw Price Data'!F104</f>
        <v>1.5626706092751956E-2</v>
      </c>
    </row>
    <row r="106" spans="1:6" ht="15" customHeight="1" x14ac:dyDescent="0.3">
      <c r="A106" s="19">
        <v>43612</v>
      </c>
      <c r="B106" s="26">
        <f>('Raw Price Data'!B106-'Raw Price Data'!B105)/'Raw Price Data'!B105</f>
        <v>-1.5360303413400623E-2</v>
      </c>
      <c r="C106" s="26">
        <f>('Raw Price Data'!C106-'Raw Price Data'!C105)/'Raw Price Data'!C105</f>
        <v>-1.3087120964247169E-5</v>
      </c>
      <c r="D106" s="26">
        <f>('Raw Price Data'!D106-'Raw Price Data'!D105)/'Raw Price Data'!D105</f>
        <v>3.1694552959387252E-3</v>
      </c>
      <c r="E106" s="26">
        <f>('Raw Price Data'!E106-'Raw Price Data'!E105)/'Raw Price Data'!E105</f>
        <v>9.1047666131092494E-3</v>
      </c>
      <c r="F106" s="26">
        <f>('Raw Price Data'!F106-'Raw Price Data'!F105)/'Raw Price Data'!F105</f>
        <v>-3.2516029270145286E-3</v>
      </c>
    </row>
    <row r="107" spans="1:6" ht="15" customHeight="1" x14ac:dyDescent="0.3">
      <c r="A107" s="21">
        <v>43613</v>
      </c>
      <c r="B107" s="25">
        <f>('Raw Price Data'!B107-'Raw Price Data'!B106)/'Raw Price Data'!B106</f>
        <v>-1.7333247737048867E-3</v>
      </c>
      <c r="C107" s="25">
        <f>('Raw Price Data'!C107-'Raw Price Data'!C106)/'Raw Price Data'!C106</f>
        <v>-2.2575579112681585E-2</v>
      </c>
      <c r="D107" s="25">
        <f>('Raw Price Data'!D107-'Raw Price Data'!D106)/'Raw Price Data'!D106</f>
        <v>5.878030859662097E-3</v>
      </c>
      <c r="E107" s="25">
        <f>('Raw Price Data'!E107-'Raw Price Data'!E106)/'Raw Price Data'!E106</f>
        <v>-3.0497264636237441E-2</v>
      </c>
      <c r="F107" s="25">
        <f>('Raw Price Data'!F107-'Raw Price Data'!F106)/'Raw Price Data'!F106</f>
        <v>-5.5291195015462003E-3</v>
      </c>
    </row>
    <row r="108" spans="1:6" ht="15" customHeight="1" x14ac:dyDescent="0.3">
      <c r="A108" s="19">
        <v>43614</v>
      </c>
      <c r="B108" s="26">
        <f>('Raw Price Data'!B108-'Raw Price Data'!B107)/'Raw Price Data'!B107</f>
        <v>2.0000000000000087E-2</v>
      </c>
      <c r="C108" s="26">
        <f>('Raw Price Data'!C108-'Raw Price Data'!C107)/'Raw Price Data'!C107</f>
        <v>1.6161210417085004E-2</v>
      </c>
      <c r="D108" s="26">
        <f>('Raw Price Data'!D108-'Raw Price Data'!D107)/'Raw Price Data'!D107</f>
        <v>-1.8918918918918944E-2</v>
      </c>
      <c r="E108" s="26">
        <f>('Raw Price Data'!E108-'Raw Price Data'!E107)/'Raw Price Data'!E107</f>
        <v>-1.3770160441318947E-2</v>
      </c>
      <c r="F108" s="26">
        <f>('Raw Price Data'!F108-'Raw Price Data'!F107)/'Raw Price Data'!F107</f>
        <v>3.6562666296209826E-3</v>
      </c>
    </row>
    <row r="109" spans="1:6" ht="15" customHeight="1" x14ac:dyDescent="0.3">
      <c r="A109" s="21">
        <v>43615</v>
      </c>
      <c r="B109" s="25">
        <f>('Raw Price Data'!B109-'Raw Price Data'!B108)/'Raw Price Data'!B108</f>
        <v>1.1663829518945805E-2</v>
      </c>
      <c r="C109" s="25">
        <f>('Raw Price Data'!C109-'Raw Price Data'!C108)/'Raw Price Data'!C108</f>
        <v>5.138881568544894E-3</v>
      </c>
      <c r="D109" s="25">
        <f>('Raw Price Data'!D109-'Raw Price Data'!D108)/'Raw Price Data'!D108</f>
        <v>-9.7535552081006796E-3</v>
      </c>
      <c r="E109" s="25">
        <f>('Raw Price Data'!E109-'Raw Price Data'!E108)/'Raw Price Data'!E108</f>
        <v>-8.9666951323654764E-3</v>
      </c>
      <c r="F109" s="25">
        <f>('Raw Price Data'!F109-'Raw Price Data'!F108)/'Raw Price Data'!F108</f>
        <v>-1.8831626592869601E-2</v>
      </c>
    </row>
    <row r="110" spans="1:6" ht="15" customHeight="1" x14ac:dyDescent="0.3">
      <c r="A110" s="19">
        <v>43616</v>
      </c>
      <c r="B110" s="26">
        <f>('Raw Price Data'!B110-'Raw Price Data'!B109)/'Raw Price Data'!B109</f>
        <v>9.8466907640532477E-3</v>
      </c>
      <c r="C110" s="26">
        <f>('Raw Price Data'!C110-'Raw Price Data'!C109)/'Raw Price Data'!C109</f>
        <v>5.2659867334364535E-2</v>
      </c>
      <c r="D110" s="26">
        <f>('Raw Price Data'!D110-'Raw Price Data'!D109)/'Raw Price Data'!D109</f>
        <v>-4.7368421052631235E-3</v>
      </c>
      <c r="E110" s="26">
        <f>('Raw Price Data'!E110-'Raw Price Data'!E109)/'Raw Price Data'!E109</f>
        <v>8.0568720379147109E-3</v>
      </c>
      <c r="F110" s="26">
        <f>('Raw Price Data'!F110-'Raw Price Data'!F109)/'Raw Price Data'!F109</f>
        <v>6.0232140852707616E-3</v>
      </c>
    </row>
    <row r="111" spans="1:6" ht="15" customHeight="1" x14ac:dyDescent="0.3">
      <c r="A111" s="21">
        <v>43619</v>
      </c>
      <c r="B111" s="25">
        <f>('Raw Price Data'!B111-'Raw Price Data'!B110)/'Raw Price Data'!B110</f>
        <v>-3.2584547025425827E-2</v>
      </c>
      <c r="C111" s="25">
        <f>('Raw Price Data'!C111-'Raw Price Data'!C110)/'Raw Price Data'!C110</f>
        <v>2.2640381573867607E-2</v>
      </c>
      <c r="D111" s="25">
        <f>('Raw Price Data'!D111-'Raw Price Data'!D110)/'Raw Price Data'!D110</f>
        <v>-4.532749112336804E-4</v>
      </c>
      <c r="E111" s="25">
        <f>('Raw Price Data'!E111-'Raw Price Data'!E110)/'Raw Price Data'!E110</f>
        <v>7.6505534897636108E-3</v>
      </c>
      <c r="F111" s="25">
        <f>('Raw Price Data'!F111-'Raw Price Data'!F110)/'Raw Price Data'!F110</f>
        <v>8.0593502112495455E-3</v>
      </c>
    </row>
    <row r="112" spans="1:6" ht="15" customHeight="1" x14ac:dyDescent="0.3">
      <c r="A112" s="19">
        <v>43620</v>
      </c>
      <c r="B112" s="26">
        <f>('Raw Price Data'!B112-'Raw Price Data'!B111)/'Raw Price Data'!B111</f>
        <v>1.0142893595304948E-2</v>
      </c>
      <c r="C112" s="26">
        <f>('Raw Price Data'!C112-'Raw Price Data'!C111)/'Raw Price Data'!C111</f>
        <v>6.709938258825811E-3</v>
      </c>
      <c r="D112" s="26">
        <f>('Raw Price Data'!D112-'Raw Price Data'!D111)/'Raw Price Data'!D111</f>
        <v>1.6022976343435906E-2</v>
      </c>
      <c r="E112" s="26">
        <f>('Raw Price Data'!E112-'Raw Price Data'!E111)/'Raw Price Data'!E111</f>
        <v>-2.4643705463182907E-2</v>
      </c>
      <c r="F112" s="26">
        <f>('Raw Price Data'!F112-'Raw Price Data'!F111)/'Raw Price Data'!F111</f>
        <v>2.4482250657114949E-3</v>
      </c>
    </row>
    <row r="113" spans="1:6" ht="15" customHeight="1" x14ac:dyDescent="0.3">
      <c r="A113" s="21">
        <v>43621</v>
      </c>
      <c r="B113" s="25">
        <f>('Raw Price Data'!B113-'Raw Price Data'!B112)/'Raw Price Data'!B112</f>
        <v>8.0202083991159478E-3</v>
      </c>
      <c r="C113" s="25">
        <f>('Raw Price Data'!C113-'Raw Price Data'!C112)/'Raw Price Data'!C112</f>
        <v>-2.0685150239511331E-3</v>
      </c>
      <c r="D113" s="25">
        <f>('Raw Price Data'!D113-'Raw Price Data'!D112)/'Raw Price Data'!D112</f>
        <v>-1.1083835453395887E-2</v>
      </c>
      <c r="E113" s="25">
        <f>('Raw Price Data'!E113-'Raw Price Data'!E112)/'Raw Price Data'!E112</f>
        <v>1.5307675581648229E-2</v>
      </c>
      <c r="F113" s="25">
        <f>('Raw Price Data'!F113-'Raw Price Data'!F112)/'Raw Price Data'!F112</f>
        <v>8.4103618534790911E-3</v>
      </c>
    </row>
    <row r="114" spans="1:6" ht="15" customHeight="1" x14ac:dyDescent="0.3">
      <c r="A114" s="19">
        <v>43622</v>
      </c>
      <c r="B114" s="26">
        <f>('Raw Price Data'!B114-'Raw Price Data'!B113)/'Raw Price Data'!B113</f>
        <v>-7.2672597418869597E-3</v>
      </c>
      <c r="C114" s="26">
        <f>('Raw Price Data'!C114-'Raw Price Data'!C113)/'Raw Price Data'!C113</f>
        <v>4.6910796756245736E-3</v>
      </c>
      <c r="D114" s="26">
        <f>('Raw Price Data'!D114-'Raw Price Data'!D113)/'Raw Price Data'!D113</f>
        <v>-1.1809839025124065E-2</v>
      </c>
      <c r="E114" s="26">
        <f>('Raw Price Data'!E114-'Raw Price Data'!E113)/'Raw Price Data'!E113</f>
        <v>-1.8717608258020321E-2</v>
      </c>
      <c r="F114" s="26">
        <f>('Raw Price Data'!F114-'Raw Price Data'!F113)/'Raw Price Data'!F113</f>
        <v>5.4426514604649884E-4</v>
      </c>
    </row>
    <row r="115" spans="1:6" ht="15" customHeight="1" x14ac:dyDescent="0.3">
      <c r="A115" s="21">
        <v>43623</v>
      </c>
      <c r="B115" s="25">
        <f>('Raw Price Data'!B115-'Raw Price Data'!B114)/'Raw Price Data'!B114</f>
        <v>-8.3932853717027158E-3</v>
      </c>
      <c r="C115" s="25">
        <f>('Raw Price Data'!C115-'Raw Price Data'!C114)/'Raw Price Data'!C114</f>
        <v>-1.2185705323102057E-3</v>
      </c>
      <c r="D115" s="25">
        <f>('Raw Price Data'!D115-'Raw Price Data'!D114)/'Raw Price Data'!D114</f>
        <v>2.3749714546700194E-2</v>
      </c>
      <c r="E115" s="25">
        <f>('Raw Price Data'!E115-'Raw Price Data'!E114)/'Raw Price Data'!E114</f>
        <v>-6.198166739415048E-3</v>
      </c>
      <c r="F115" s="25">
        <f>('Raw Price Data'!F115-'Raw Price Data'!F114)/'Raw Price Data'!F114</f>
        <v>2.3175230467202285E-3</v>
      </c>
    </row>
    <row r="116" spans="1:6" ht="15" customHeight="1" x14ac:dyDescent="0.3">
      <c r="A116" s="19">
        <v>43626</v>
      </c>
      <c r="B116" s="26">
        <f>('Raw Price Data'!B116-'Raw Price Data'!B115)/'Raw Price Data'!B115</f>
        <v>2.5456628269580629E-4</v>
      </c>
      <c r="C116" s="26">
        <f>('Raw Price Data'!C116-'Raw Price Data'!C115)/'Raw Price Data'!C115</f>
        <v>-2.4775618182477067E-2</v>
      </c>
      <c r="D116" s="26">
        <f>('Raw Price Data'!D116-'Raw Price Data'!D115)/'Raw Price Data'!D115</f>
        <v>2.8998438545615756E-3</v>
      </c>
      <c r="E116" s="26">
        <f>('Raw Price Data'!E116-'Raw Price Data'!E115)/'Raw Price Data'!E115</f>
        <v>5.358397751229791E-3</v>
      </c>
      <c r="F116" s="26">
        <f>('Raw Price Data'!F116-'Raw Price Data'!F115)/'Raw Price Data'!F115</f>
        <v>1.6093294380897721E-2</v>
      </c>
    </row>
    <row r="117" spans="1:6" ht="15" customHeight="1" x14ac:dyDescent="0.3">
      <c r="A117" s="21">
        <v>43627</v>
      </c>
      <c r="B117" s="25">
        <f>('Raw Price Data'!B117-'Raw Price Data'!B116)/'Raw Price Data'!B116</f>
        <v>2.4241267417446095E-2</v>
      </c>
      <c r="C117" s="25">
        <f>('Raw Price Data'!C117-'Raw Price Data'!C116)/'Raw Price Data'!C116</f>
        <v>1.6957340335926201E-2</v>
      </c>
      <c r="D117" s="25">
        <f>('Raw Price Data'!D117-'Raw Price Data'!D116)/'Raw Price Data'!D116</f>
        <v>-2.1574733096085385E-2</v>
      </c>
      <c r="E117" s="25">
        <f>('Raw Price Data'!E117-'Raw Price Data'!E116)/'Raw Price Data'!E116</f>
        <v>-2.0096111839231451E-3</v>
      </c>
      <c r="F117" s="25">
        <f>('Raw Price Data'!F117-'Raw Price Data'!F116)/'Raw Price Data'!F116</f>
        <v>1.6303874794855685E-3</v>
      </c>
    </row>
    <row r="118" spans="1:6" ht="15" customHeight="1" x14ac:dyDescent="0.3">
      <c r="A118" s="19">
        <v>43628</v>
      </c>
      <c r="B118" s="26">
        <f>('Raw Price Data'!B118-'Raw Price Data'!B117)/'Raw Price Data'!B117</f>
        <v>-1.4287489129084254E-2</v>
      </c>
      <c r="C118" s="26">
        <f>('Raw Price Data'!C118-'Raw Price Data'!C117)/'Raw Price Data'!C117</f>
        <v>5.4445134651222608E-3</v>
      </c>
      <c r="D118" s="26">
        <f>('Raw Price Data'!D118-'Raw Price Data'!D117)/'Raw Price Data'!D117</f>
        <v>-4.5464878381449901E-3</v>
      </c>
      <c r="E118" s="26">
        <f>('Raw Price Data'!E118-'Raw Price Data'!E117)/'Raw Price Data'!E117</f>
        <v>3.0117317457538064E-2</v>
      </c>
      <c r="F118" s="26">
        <f>('Raw Price Data'!F118-'Raw Price Data'!F117)/'Raw Price Data'!F117</f>
        <v>1.8781869358474011E-2</v>
      </c>
    </row>
    <row r="119" spans="1:6" ht="15" customHeight="1" x14ac:dyDescent="0.3">
      <c r="A119" s="21">
        <v>43629</v>
      </c>
      <c r="B119" s="25">
        <f>('Raw Price Data'!B119-'Raw Price Data'!B118)/'Raw Price Data'!B118</f>
        <v>-5.6087723720696665E-3</v>
      </c>
      <c r="C119" s="25">
        <f>('Raw Price Data'!C119-'Raw Price Data'!C118)/'Raw Price Data'!C118</f>
        <v>-4.7996317294180357E-2</v>
      </c>
      <c r="D119" s="25">
        <f>('Raw Price Data'!D119-'Raw Price Data'!D118)/'Raw Price Data'!D118</f>
        <v>-1.9030219989343077E-2</v>
      </c>
      <c r="E119" s="25">
        <f>('Raw Price Data'!E119-'Raw Price Data'!E118)/'Raw Price Data'!E118</f>
        <v>2.2012578616352231E-2</v>
      </c>
      <c r="F119" s="25">
        <f>('Raw Price Data'!F119-'Raw Price Data'!F118)/'Raw Price Data'!F118</f>
        <v>1.0085586463915892E-2</v>
      </c>
    </row>
    <row r="120" spans="1:6" ht="15" customHeight="1" x14ac:dyDescent="0.3">
      <c r="A120" s="19">
        <v>43630</v>
      </c>
      <c r="B120" s="26">
        <f>('Raw Price Data'!B120-'Raw Price Data'!B119)/'Raw Price Data'!B119</f>
        <v>1.9139362443754422E-2</v>
      </c>
      <c r="C120" s="26">
        <f>('Raw Price Data'!C120-'Raw Price Data'!C119)/'Raw Price Data'!C119</f>
        <v>-1.0612577303845509E-2</v>
      </c>
      <c r="D120" s="26">
        <f>('Raw Price Data'!D120-'Raw Price Data'!D119)/'Raw Price Data'!D119</f>
        <v>-1.7537052843951309E-2</v>
      </c>
      <c r="E120" s="26">
        <f>('Raw Price Data'!E120-'Raw Price Data'!E119)/'Raw Price Data'!E119</f>
        <v>-2.4449064449064431E-2</v>
      </c>
      <c r="F120" s="26">
        <f>('Raw Price Data'!F120-'Raw Price Data'!F119)/'Raw Price Data'!F119</f>
        <v>-2.6299031567107258E-3</v>
      </c>
    </row>
    <row r="121" spans="1:6" ht="15" customHeight="1" x14ac:dyDescent="0.3">
      <c r="A121" s="21">
        <v>43633</v>
      </c>
      <c r="B121" s="25">
        <f>('Raw Price Data'!B121-'Raw Price Data'!B120)/'Raw Price Data'!B120</f>
        <v>-5.8454076239039723E-3</v>
      </c>
      <c r="C121" s="25">
        <f>('Raw Price Data'!C121-'Raw Price Data'!C120)/'Raw Price Data'!C120</f>
        <v>-1.4031793394382097E-2</v>
      </c>
      <c r="D121" s="25">
        <f>('Raw Price Data'!D121-'Raw Price Data'!D120)/'Raw Price Data'!D120</f>
        <v>-2.0614485427691332E-2</v>
      </c>
      <c r="E121" s="25">
        <f>('Raw Price Data'!E121-'Raw Price Data'!E120)/'Raw Price Data'!E120</f>
        <v>-2.0799590827721402E-2</v>
      </c>
      <c r="F121" s="25">
        <f>('Raw Price Data'!F121-'Raw Price Data'!F120)/'Raw Price Data'!F120</f>
        <v>-1.2154242354282654E-4</v>
      </c>
    </row>
    <row r="122" spans="1:6" ht="15" customHeight="1" x14ac:dyDescent="0.3">
      <c r="A122" s="19">
        <v>43634</v>
      </c>
      <c r="B122" s="26">
        <f>('Raw Price Data'!B122-'Raw Price Data'!B121)/'Raw Price Data'!B121</f>
        <v>-4.6913116907487335E-3</v>
      </c>
      <c r="C122" s="26">
        <f>('Raw Price Data'!C122-'Raw Price Data'!C121)/'Raw Price Data'!C121</f>
        <v>1.7896974993803924E-2</v>
      </c>
      <c r="D122" s="26">
        <f>('Raw Price Data'!D122-'Raw Price Data'!D121)/'Raw Price Data'!D121</f>
        <v>-1.2096774193548387E-2</v>
      </c>
      <c r="E122" s="26">
        <f>('Raw Price Data'!E122-'Raw Price Data'!E121)/'Raw Price Data'!E121</f>
        <v>2.2199007573779028E-2</v>
      </c>
      <c r="F122" s="26">
        <f>('Raw Price Data'!F122-'Raw Price Data'!F121)/'Raw Price Data'!F121</f>
        <v>-7.3152554283364528E-3</v>
      </c>
    </row>
    <row r="123" spans="1:6" ht="15" customHeight="1" x14ac:dyDescent="0.3">
      <c r="A123" s="21">
        <v>43635</v>
      </c>
      <c r="B123" s="25">
        <f>('Raw Price Data'!B123-'Raw Price Data'!B122)/'Raw Price Data'!B122</f>
        <v>1.633986928104518E-3</v>
      </c>
      <c r="C123" s="25">
        <f>('Raw Price Data'!C123-'Raw Price Data'!C122)/'Raw Price Data'!C122</f>
        <v>-1.7941127471708936E-4</v>
      </c>
      <c r="D123" s="25">
        <f>('Raw Price Data'!D123-'Raw Price Data'!D122)/'Raw Price Data'!D122</f>
        <v>3.2816326530612214E-2</v>
      </c>
      <c r="E123" s="25">
        <f>('Raw Price Data'!E123-'Raw Price Data'!E122)/'Raw Price Data'!E122</f>
        <v>2.6400953840913155E-3</v>
      </c>
      <c r="F123" s="25">
        <f>('Raw Price Data'!F123-'Raw Price Data'!F122)/'Raw Price Data'!F122</f>
        <v>1.415529982841205E-2</v>
      </c>
    </row>
    <row r="124" spans="1:6" ht="15" customHeight="1" x14ac:dyDescent="0.3">
      <c r="A124" s="19">
        <v>43636</v>
      </c>
      <c r="B124" s="26">
        <f>('Raw Price Data'!B124-'Raw Price Data'!B123)/'Raw Price Data'!B123</f>
        <v>-1.6877901869745249E-2</v>
      </c>
      <c r="C124" s="26">
        <f>('Raw Price Data'!C124-'Raw Price Data'!C123)/'Raw Price Data'!C123</f>
        <v>2.6826798600340877E-2</v>
      </c>
      <c r="D124" s="26">
        <f>('Raw Price Data'!D124-'Raw Price Data'!D123)/'Raw Price Data'!D123</f>
        <v>1.628201074928878E-2</v>
      </c>
      <c r="E124" s="26">
        <f>('Raw Price Data'!E124-'Raw Price Data'!E123)/'Raw Price Data'!E123</f>
        <v>1.2358787055126122E-2</v>
      </c>
      <c r="F124" s="26">
        <f>('Raw Price Data'!F124-'Raw Price Data'!F123)/'Raw Price Data'!F123</f>
        <v>3.1832359904124585E-2</v>
      </c>
    </row>
    <row r="125" spans="1:6" ht="15" customHeight="1" x14ac:dyDescent="0.3">
      <c r="A125" s="21">
        <v>43637</v>
      </c>
      <c r="B125" s="25">
        <f>('Raw Price Data'!B125-'Raw Price Data'!B124)/'Raw Price Data'!B124</f>
        <v>3.3824749505392887E-3</v>
      </c>
      <c r="C125" s="25">
        <f>('Raw Price Data'!C125-'Raw Price Data'!C124)/'Raw Price Data'!C124</f>
        <v>-2.7474036349111233E-2</v>
      </c>
      <c r="D125" s="25">
        <f>('Raw Price Data'!D125-'Raw Price Data'!D124)/'Raw Price Data'!D124</f>
        <v>2.2165188987400792E-2</v>
      </c>
      <c r="E125" s="25">
        <f>('Raw Price Data'!E125-'Raw Price Data'!E124)/'Raw Price Data'!E124</f>
        <v>9.2293493308721257E-4</v>
      </c>
      <c r="F125" s="25">
        <f>('Raw Price Data'!F125-'Raw Price Data'!F124)/'Raw Price Data'!F124</f>
        <v>-2.5317663035372045E-3</v>
      </c>
    </row>
    <row r="126" spans="1:6" ht="15" customHeight="1" x14ac:dyDescent="0.3">
      <c r="A126" s="19">
        <v>43640</v>
      </c>
      <c r="B126" s="26">
        <f>('Raw Price Data'!B126-'Raw Price Data'!B125)/'Raw Price Data'!B125</f>
        <v>-1.647373107747108E-2</v>
      </c>
      <c r="C126" s="26">
        <f>('Raw Price Data'!C126-'Raw Price Data'!C125)/'Raw Price Data'!C125</f>
        <v>-1.8379946349039351E-2</v>
      </c>
      <c r="D126" s="26">
        <f>('Raw Price Data'!D126-'Raw Price Data'!D125)/'Raw Price Data'!D125</f>
        <v>1.7499809784676124E-2</v>
      </c>
      <c r="E126" s="26">
        <f>('Raw Price Data'!E126-'Raw Price Data'!E125)/'Raw Price Data'!E125</f>
        <v>2.3764617125612925E-2</v>
      </c>
      <c r="F126" s="26">
        <f>('Raw Price Data'!F126-'Raw Price Data'!F125)/'Raw Price Data'!F125</f>
        <v>3.7258836441711922E-3</v>
      </c>
    </row>
    <row r="127" spans="1:6" ht="15" customHeight="1" x14ac:dyDescent="0.3">
      <c r="A127" s="21">
        <v>43641</v>
      </c>
      <c r="B127" s="25">
        <f>('Raw Price Data'!B127-'Raw Price Data'!B126)/'Raw Price Data'!B126</f>
        <v>1.2610748237728883E-2</v>
      </c>
      <c r="C127" s="25">
        <f>('Raw Price Data'!C127-'Raw Price Data'!C126)/'Raw Price Data'!C126</f>
        <v>1.9417094888793032E-2</v>
      </c>
      <c r="D127" s="25">
        <f>('Raw Price Data'!D127-'Raw Price Data'!D126)/'Raw Price Data'!D126</f>
        <v>-1.719883347042472E-3</v>
      </c>
      <c r="E127" s="25">
        <f>('Raw Price Data'!E127-'Raw Price Data'!E126)/'Raw Price Data'!E126</f>
        <v>1.5024973389011775E-2</v>
      </c>
      <c r="F127" s="25">
        <f>('Raw Price Data'!F127-'Raw Price Data'!F126)/'Raw Price Data'!F126</f>
        <v>5.8675197883479857E-3</v>
      </c>
    </row>
    <row r="128" spans="1:6" ht="15" customHeight="1" x14ac:dyDescent="0.3">
      <c r="A128" s="19">
        <v>43642</v>
      </c>
      <c r="B128" s="26">
        <f>('Raw Price Data'!B128-'Raw Price Data'!B127)/'Raw Price Data'!B127</f>
        <v>3.1932558436571047E-4</v>
      </c>
      <c r="C128" s="26">
        <f>('Raw Price Data'!C128-'Raw Price Data'!C127)/'Raw Price Data'!C127</f>
        <v>-1.0953773536503982E-2</v>
      </c>
      <c r="D128" s="26">
        <f>('Raw Price Data'!D128-'Raw Price Data'!D127)/'Raw Price Data'!D127</f>
        <v>6.7415730337079078E-3</v>
      </c>
      <c r="E128" s="26">
        <f>('Raw Price Data'!E128-'Raw Price Data'!E127)/'Raw Price Data'!E127</f>
        <v>1.5367240753438479E-2</v>
      </c>
      <c r="F128" s="26">
        <f>('Raw Price Data'!F128-'Raw Price Data'!F127)/'Raw Price Data'!F127</f>
        <v>1.4089857576448715E-3</v>
      </c>
    </row>
    <row r="129" spans="1:6" ht="15" customHeight="1" x14ac:dyDescent="0.3">
      <c r="A129" s="21">
        <v>43643</v>
      </c>
      <c r="B129" s="25">
        <f>('Raw Price Data'!B129-'Raw Price Data'!B128)/'Raw Price Data'!B128</f>
        <v>3.1986209538402546E-2</v>
      </c>
      <c r="C129" s="25">
        <f>('Raw Price Data'!C129-'Raw Price Data'!C128)/'Raw Price Data'!C128</f>
        <v>-1.8078070289197321E-2</v>
      </c>
      <c r="D129" s="25">
        <f>('Raw Price Data'!D129-'Raw Price Data'!D128)/'Raw Price Data'!D128</f>
        <v>2.0833333333333415E-3</v>
      </c>
      <c r="E129" s="25">
        <f>('Raw Price Data'!E129-'Raw Price Data'!E128)/'Raw Price Data'!E128</f>
        <v>-1.2314292524032822E-2</v>
      </c>
      <c r="F129" s="25">
        <f>('Raw Price Data'!F129-'Raw Price Data'!F128)/'Raw Price Data'!F128</f>
        <v>-1.5232466986774005E-3</v>
      </c>
    </row>
    <row r="130" spans="1:6" ht="15" customHeight="1" x14ac:dyDescent="0.3">
      <c r="A130" s="19">
        <v>43644</v>
      </c>
      <c r="B130" s="26">
        <f>('Raw Price Data'!B130-'Raw Price Data'!B129)/'Raw Price Data'!B129</f>
        <v>4.2068794852759646E-3</v>
      </c>
      <c r="C130" s="26">
        <f>('Raw Price Data'!C130-'Raw Price Data'!C129)/'Raw Price Data'!C129</f>
        <v>-8.703576522795603E-3</v>
      </c>
      <c r="D130" s="26">
        <f>('Raw Price Data'!D130-'Raw Price Data'!D129)/'Raw Price Data'!D129</f>
        <v>-1.6483516483516474E-2</v>
      </c>
      <c r="E130" s="26">
        <f>('Raw Price Data'!E130-'Raw Price Data'!E129)/'Raw Price Data'!E129</f>
        <v>1.1944980694980805E-2</v>
      </c>
      <c r="F130" s="26">
        <f>('Raw Price Data'!F130-'Raw Price Data'!F129)/'Raw Price Data'!F129</f>
        <v>7.5717286245391147E-3</v>
      </c>
    </row>
    <row r="131" spans="1:6" ht="15" customHeight="1" x14ac:dyDescent="0.3">
      <c r="A131" s="21">
        <v>43647</v>
      </c>
      <c r="B131" s="25">
        <f>('Raw Price Data'!B131-'Raw Price Data'!B130)/'Raw Price Data'!B130</f>
        <v>1.928289797930012E-2</v>
      </c>
      <c r="C131" s="25">
        <f>('Raw Price Data'!C131-'Raw Price Data'!C130)/'Raw Price Data'!C130</f>
        <v>-1.2803602595360876E-2</v>
      </c>
      <c r="D131" s="25">
        <f>('Raw Price Data'!D131-'Raw Price Data'!D130)/'Raw Price Data'!D130</f>
        <v>-1.7892193869847535E-2</v>
      </c>
      <c r="E131" s="25">
        <f>('Raw Price Data'!E131-'Raw Price Data'!E130)/'Raw Price Data'!E130</f>
        <v>-2.9967012439887208E-2</v>
      </c>
      <c r="F131" s="25">
        <f>('Raw Price Data'!F131-'Raw Price Data'!F130)/'Raw Price Data'!F130</f>
        <v>-1.6223216349032919E-2</v>
      </c>
    </row>
    <row r="132" spans="1:6" ht="15" customHeight="1" x14ac:dyDescent="0.3">
      <c r="A132" s="19">
        <v>43648</v>
      </c>
      <c r="B132" s="26">
        <f>('Raw Price Data'!B132-'Raw Price Data'!B131)/'Raw Price Data'!B131</f>
        <v>-1.7769718948322744E-2</v>
      </c>
      <c r="C132" s="26">
        <f>('Raw Price Data'!C132-'Raw Price Data'!C131)/'Raw Price Data'!C131</f>
        <v>1.0108507881667039E-2</v>
      </c>
      <c r="D132" s="26">
        <f>('Raw Price Data'!D132-'Raw Price Data'!D131)/'Raw Price Data'!D131</f>
        <v>1.4605273272349955E-2</v>
      </c>
      <c r="E132" s="26">
        <f>('Raw Price Data'!E132-'Raw Price Data'!E131)/'Raw Price Data'!E131</f>
        <v>-4.0562133814068943E-3</v>
      </c>
      <c r="F132" s="26">
        <f>('Raw Price Data'!F132-'Raw Price Data'!F131)/'Raw Price Data'!F131</f>
        <v>-9.5453372472534288E-3</v>
      </c>
    </row>
    <row r="133" spans="1:6" ht="15" customHeight="1" x14ac:dyDescent="0.3">
      <c r="A133" s="21">
        <v>43649</v>
      </c>
      <c r="B133" s="25">
        <f>('Raw Price Data'!B133-'Raw Price Data'!B132)/'Raw Price Data'!B132</f>
        <v>-1.3537628453633554E-3</v>
      </c>
      <c r="C133" s="25">
        <f>('Raw Price Data'!C133-'Raw Price Data'!C132)/'Raw Price Data'!C132</f>
        <v>2.032199879751476E-2</v>
      </c>
      <c r="D133" s="25">
        <f>('Raw Price Data'!D133-'Raw Price Data'!D132)/'Raw Price Data'!D132</f>
        <v>-1.878930221986528E-2</v>
      </c>
      <c r="E133" s="25">
        <f>('Raw Price Data'!E133-'Raw Price Data'!E132)/'Raw Price Data'!E132</f>
        <v>-1.1518841533651519E-2</v>
      </c>
      <c r="F133" s="25">
        <f>('Raw Price Data'!F133-'Raw Price Data'!F132)/'Raw Price Data'!F132</f>
        <v>3.0355598710206633E-3</v>
      </c>
    </row>
    <row r="134" spans="1:6" ht="15" customHeight="1" x14ac:dyDescent="0.3">
      <c r="A134" s="19">
        <v>43650</v>
      </c>
      <c r="B134" s="26">
        <f>('Raw Price Data'!B134-'Raw Price Data'!B133)/'Raw Price Data'!B133</f>
        <v>4.7445930125085359E-3</v>
      </c>
      <c r="C134" s="26">
        <f>('Raw Price Data'!C134-'Raw Price Data'!C133)/'Raw Price Data'!C133</f>
        <v>-2.7394390173637432E-2</v>
      </c>
      <c r="D134" s="26">
        <f>('Raw Price Data'!D134-'Raw Price Data'!D133)/'Raw Price Data'!D133</f>
        <v>3.551849278048089E-3</v>
      </c>
      <c r="E134" s="26">
        <f>('Raw Price Data'!E134-'Raw Price Data'!E133)/'Raw Price Data'!E133</f>
        <v>-1.4233394373231179E-2</v>
      </c>
      <c r="F134" s="26">
        <f>('Raw Price Data'!F134-'Raw Price Data'!F133)/'Raw Price Data'!F133</f>
        <v>1.115503679043302E-3</v>
      </c>
    </row>
    <row r="135" spans="1:6" ht="15" customHeight="1" x14ac:dyDescent="0.3">
      <c r="A135" s="21">
        <v>43651</v>
      </c>
      <c r="B135" s="25">
        <f>('Raw Price Data'!B135-'Raw Price Data'!B134)/'Raw Price Data'!B134</f>
        <v>2.4530847540782535E-2</v>
      </c>
      <c r="C135" s="25">
        <f>('Raw Price Data'!C135-'Raw Price Data'!C134)/'Raw Price Data'!C134</f>
        <v>-4.5372539515846789E-3</v>
      </c>
      <c r="D135" s="25">
        <f>('Raw Price Data'!D135-'Raw Price Data'!D134)/'Raw Price Data'!D134</f>
        <v>1.0617834884973421E-2</v>
      </c>
      <c r="E135" s="25">
        <f>('Raw Price Data'!E135-'Raw Price Data'!E134)/'Raw Price Data'!E134</f>
        <v>-1.7225365194629791E-2</v>
      </c>
      <c r="F135" s="25">
        <f>('Raw Price Data'!F135-'Raw Price Data'!F134)/'Raw Price Data'!F134</f>
        <v>2.6156026975903564E-3</v>
      </c>
    </row>
    <row r="136" spans="1:6" ht="15" customHeight="1" x14ac:dyDescent="0.3">
      <c r="A136" s="19">
        <v>43654</v>
      </c>
      <c r="B136" s="26">
        <f>('Raw Price Data'!B136-'Raw Price Data'!B135)/'Raw Price Data'!B135</f>
        <v>-2.298575362145339E-2</v>
      </c>
      <c r="C136" s="26">
        <f>('Raw Price Data'!C136-'Raw Price Data'!C135)/'Raw Price Data'!C135</f>
        <v>8.5207676805928762E-4</v>
      </c>
      <c r="D136" s="26">
        <f>('Raw Price Data'!D136-'Raw Price Data'!D135)/'Raw Price Data'!D135</f>
        <v>1.2257327750285601E-2</v>
      </c>
      <c r="E136" s="26">
        <f>('Raw Price Data'!E136-'Raw Price Data'!E135)/'Raw Price Data'!E135</f>
        <v>-3.7460262909184631E-2</v>
      </c>
      <c r="F136" s="26">
        <f>('Raw Price Data'!F136-'Raw Price Data'!F135)/'Raw Price Data'!F135</f>
        <v>6.9980464235619433E-3</v>
      </c>
    </row>
    <row r="137" spans="1:6" ht="15" customHeight="1" x14ac:dyDescent="0.3">
      <c r="A137" s="21">
        <v>43655</v>
      </c>
      <c r="B137" s="25">
        <f>('Raw Price Data'!B137-'Raw Price Data'!B136)/'Raw Price Data'!B136</f>
        <v>1.409141036637674E-2</v>
      </c>
      <c r="C137" s="25">
        <f>('Raw Price Data'!C137-'Raw Price Data'!C136)/'Raw Price Data'!C136</f>
        <v>2.0405405405405281E-3</v>
      </c>
      <c r="D137" s="25">
        <f>('Raw Price Data'!D137-'Raw Price Data'!D136)/'Raw Price Data'!D136</f>
        <v>6.242478941034778E-3</v>
      </c>
      <c r="E137" s="25">
        <f>('Raw Price Data'!E137-'Raw Price Data'!E136)/'Raw Price Data'!E136</f>
        <v>2.3877532803713266E-2</v>
      </c>
      <c r="F137" s="25">
        <f>('Raw Price Data'!F137-'Raw Price Data'!F136)/'Raw Price Data'!F136</f>
        <v>1.3934882231190987E-2</v>
      </c>
    </row>
    <row r="138" spans="1:6" ht="15" customHeight="1" x14ac:dyDescent="0.3">
      <c r="A138" s="19">
        <v>43656</v>
      </c>
      <c r="B138" s="26">
        <f>('Raw Price Data'!B138-'Raw Price Data'!B137)/'Raw Price Data'!B137</f>
        <v>8.4581923634604716E-3</v>
      </c>
      <c r="C138" s="26">
        <f>('Raw Price Data'!C138-'Raw Price Data'!C137)/'Raw Price Data'!C137</f>
        <v>1.5293118096856458E-2</v>
      </c>
      <c r="D138" s="26">
        <f>('Raw Price Data'!D138-'Raw Price Data'!D137)/'Raw Price Data'!D137</f>
        <v>-1.8536512444876224E-2</v>
      </c>
      <c r="E138" s="26">
        <f>('Raw Price Data'!E138-'Raw Price Data'!E137)/'Raw Price Data'!E137</f>
        <v>-3.530796390741477E-3</v>
      </c>
      <c r="F138" s="26">
        <f>('Raw Price Data'!F138-'Raw Price Data'!F137)/'Raw Price Data'!F137</f>
        <v>-1.1555487011214933E-2</v>
      </c>
    </row>
    <row r="139" spans="1:6" ht="15" customHeight="1" x14ac:dyDescent="0.3">
      <c r="A139" s="21">
        <v>43657</v>
      </c>
      <c r="B139" s="25">
        <f>('Raw Price Data'!B139-'Raw Price Data'!B138)/'Raw Price Data'!B138</f>
        <v>2.1567217828900209E-2</v>
      </c>
      <c r="C139" s="25">
        <f>('Raw Price Data'!C139-'Raw Price Data'!C138)/'Raw Price Data'!C138</f>
        <v>2.7097031281131216E-3</v>
      </c>
      <c r="D139" s="25">
        <f>('Raw Price Data'!D139-'Raw Price Data'!D138)/'Raw Price Data'!D138</f>
        <v>8.9102124742973694E-3</v>
      </c>
      <c r="E139" s="25">
        <f>('Raw Price Data'!E139-'Raw Price Data'!E138)/'Raw Price Data'!E138</f>
        <v>-2.8871391076115338E-3</v>
      </c>
      <c r="F139" s="25">
        <f>('Raw Price Data'!F139-'Raw Price Data'!F138)/'Raw Price Data'!F138</f>
        <v>-7.3552649219308184E-3</v>
      </c>
    </row>
    <row r="140" spans="1:6" ht="15" customHeight="1" x14ac:dyDescent="0.3">
      <c r="A140" s="19">
        <v>43658</v>
      </c>
      <c r="B140" s="26">
        <f>('Raw Price Data'!B140-'Raw Price Data'!B139)/'Raw Price Data'!B139</f>
        <v>1.0204081632652948E-2</v>
      </c>
      <c r="C140" s="26">
        <f>('Raw Price Data'!C140-'Raw Price Data'!C139)/'Raw Price Data'!C139</f>
        <v>-9.6305421982010378E-3</v>
      </c>
      <c r="D140" s="26">
        <f>('Raw Price Data'!D140-'Raw Price Data'!D139)/'Raw Price Data'!D139</f>
        <v>-1.736111111111034E-3</v>
      </c>
      <c r="E140" s="26">
        <f>('Raw Price Data'!E140-'Raw Price Data'!E139)/'Raw Price Data'!E139</f>
        <v>9.9587610774765738E-3</v>
      </c>
      <c r="F140" s="26">
        <f>('Raw Price Data'!F140-'Raw Price Data'!F139)/'Raw Price Data'!F139</f>
        <v>1.2540786686315404E-2</v>
      </c>
    </row>
    <row r="141" spans="1:6" ht="15" customHeight="1" x14ac:dyDescent="0.3">
      <c r="A141" s="21">
        <v>43661</v>
      </c>
      <c r="B141" s="25">
        <f>('Raw Price Data'!B141-'Raw Price Data'!B140)/'Raw Price Data'!B140</f>
        <v>1.0449320794148776E-3</v>
      </c>
      <c r="C141" s="25">
        <f>('Raw Price Data'!C141-'Raw Price Data'!C140)/'Raw Price Data'!C140</f>
        <v>-1.9020357935849799E-2</v>
      </c>
      <c r="D141" s="25">
        <f>('Raw Price Data'!D141-'Raw Price Data'!D140)/'Raw Price Data'!D140</f>
        <v>-1.5047258979206118E-2</v>
      </c>
      <c r="E141" s="25">
        <f>('Raw Price Data'!E141-'Raw Price Data'!E140)/'Raw Price Data'!E140</f>
        <v>2.0589896181747017E-2</v>
      </c>
      <c r="F141" s="25">
        <f>('Raw Price Data'!F141-'Raw Price Data'!F140)/'Raw Price Data'!F140</f>
        <v>1.3829833944188968E-3</v>
      </c>
    </row>
    <row r="142" spans="1:6" ht="15" customHeight="1" x14ac:dyDescent="0.3">
      <c r="A142" s="19">
        <v>43662</v>
      </c>
      <c r="B142" s="26">
        <f>('Raw Price Data'!B142-'Raw Price Data'!B141)/'Raw Price Data'!B141</f>
        <v>-6.9009510554395598E-3</v>
      </c>
      <c r="C142" s="26">
        <f>('Raw Price Data'!C142-'Raw Price Data'!C141)/'Raw Price Data'!C141</f>
        <v>-3.1592582492500625E-2</v>
      </c>
      <c r="D142" s="26">
        <f>('Raw Price Data'!D142-'Raw Price Data'!D141)/'Raw Price Data'!D141</f>
        <v>-3.0861354214647599E-2</v>
      </c>
      <c r="E142" s="26">
        <f>('Raw Price Data'!E142-'Raw Price Data'!E141)/'Raw Price Data'!E141</f>
        <v>2.5750159608427376E-2</v>
      </c>
      <c r="F142" s="26">
        <f>('Raw Price Data'!F142-'Raw Price Data'!F141)/'Raw Price Data'!F141</f>
        <v>2.4865970837865078E-3</v>
      </c>
    </row>
    <row r="143" spans="1:6" ht="15" customHeight="1" x14ac:dyDescent="0.3">
      <c r="A143" s="21">
        <v>43663</v>
      </c>
      <c r="B143" s="25">
        <f>('Raw Price Data'!B143-'Raw Price Data'!B142)/'Raw Price Data'!B142</f>
        <v>-1.6992700729926986E-2</v>
      </c>
      <c r="C143" s="25">
        <f>('Raw Price Data'!C143-'Raw Price Data'!C142)/'Raw Price Data'!C142</f>
        <v>-5.9417371837292531E-3</v>
      </c>
      <c r="D143" s="25">
        <f>('Raw Price Data'!D143-'Raw Price Data'!D142)/'Raw Price Data'!D142</f>
        <v>7.4461343472751263E-3</v>
      </c>
      <c r="E143" s="25">
        <f>('Raw Price Data'!E143-'Raw Price Data'!E142)/'Raw Price Data'!E142</f>
        <v>-7.6763485477178185E-3</v>
      </c>
      <c r="F143" s="25">
        <f>('Raw Price Data'!F143-'Raw Price Data'!F142)/'Raw Price Data'!F142</f>
        <v>1.4089070336524566E-2</v>
      </c>
    </row>
    <row r="144" spans="1:6" ht="15" customHeight="1" x14ac:dyDescent="0.3">
      <c r="A144" s="19">
        <v>43664</v>
      </c>
      <c r="B144" s="26">
        <f>('Raw Price Data'!B144-'Raw Price Data'!B143)/'Raw Price Data'!B143</f>
        <v>3.0295829868123496E-3</v>
      </c>
      <c r="C144" s="26">
        <f>('Raw Price Data'!C144-'Raw Price Data'!C143)/'Raw Price Data'!C143</f>
        <v>8.4984631945726372E-4</v>
      </c>
      <c r="D144" s="26">
        <f>('Raw Price Data'!D144-'Raw Price Data'!D143)/'Raw Price Data'!D143</f>
        <v>-2.4060386853278833E-2</v>
      </c>
      <c r="E144" s="26">
        <f>('Raw Price Data'!E144-'Raw Price Data'!E143)/'Raw Price Data'!E143</f>
        <v>4.014217018607602E-3</v>
      </c>
      <c r="F144" s="26">
        <f>('Raw Price Data'!F144-'Raw Price Data'!F143)/'Raw Price Data'!F143</f>
        <v>-2.0438937371490135E-2</v>
      </c>
    </row>
    <row r="145" spans="1:6" ht="15" customHeight="1" x14ac:dyDescent="0.3">
      <c r="A145" s="21">
        <v>43665</v>
      </c>
      <c r="B145" s="25">
        <f>('Raw Price Data'!B145-'Raw Price Data'!B144)/'Raw Price Data'!B144</f>
        <v>-2.3097423748888739E-3</v>
      </c>
      <c r="C145" s="25">
        <f>('Raw Price Data'!C145-'Raw Price Data'!C144)/'Raw Price Data'!C144</f>
        <v>1.6840973096899248E-2</v>
      </c>
      <c r="D145" s="25">
        <f>('Raw Price Data'!D145-'Raw Price Data'!D144)/'Raw Price Data'!D144</f>
        <v>-2.6426039316790211E-2</v>
      </c>
      <c r="E145" s="25">
        <f>('Raw Price Data'!E145-'Raw Price Data'!E144)/'Raw Price Data'!E144</f>
        <v>-1.6617383699137931E-2</v>
      </c>
      <c r="F145" s="25">
        <f>('Raw Price Data'!F145-'Raw Price Data'!F144)/'Raw Price Data'!F144</f>
        <v>1.7266387918724469E-2</v>
      </c>
    </row>
    <row r="146" spans="1:6" ht="15" customHeight="1" x14ac:dyDescent="0.3">
      <c r="A146" s="19">
        <v>43668</v>
      </c>
      <c r="B146" s="26">
        <f>('Raw Price Data'!B146-'Raw Price Data'!B145)/'Raw Price Data'!B145</f>
        <v>2.8315327080612501E-2</v>
      </c>
      <c r="C146" s="26">
        <f>('Raw Price Data'!C146-'Raw Price Data'!C145)/'Raw Price Data'!C145</f>
        <v>-6.0681131786614155E-3</v>
      </c>
      <c r="D146" s="26">
        <f>('Raw Price Data'!D146-'Raw Price Data'!D145)/'Raw Price Data'!D145</f>
        <v>2.7888116517709286E-2</v>
      </c>
      <c r="E146" s="26">
        <f>('Raw Price Data'!E146-'Raw Price Data'!E145)/'Raw Price Data'!E145</f>
        <v>1.4314755209215633E-2</v>
      </c>
      <c r="F146" s="26">
        <f>('Raw Price Data'!F146-'Raw Price Data'!F145)/'Raw Price Data'!F145</f>
        <v>2.6006762004280475E-3</v>
      </c>
    </row>
    <row r="147" spans="1:6" ht="15" customHeight="1" x14ac:dyDescent="0.3">
      <c r="A147" s="21">
        <v>43669</v>
      </c>
      <c r="B147" s="25">
        <f>('Raw Price Data'!B147-'Raw Price Data'!B146)/'Raw Price Data'!B146</f>
        <v>-8.1971944813253334E-3</v>
      </c>
      <c r="C147" s="25">
        <f>('Raw Price Data'!C147-'Raw Price Data'!C146)/'Raw Price Data'!C146</f>
        <v>4.1587901701323315E-2</v>
      </c>
      <c r="D147" s="25">
        <f>('Raw Price Data'!D147-'Raw Price Data'!D146)/'Raw Price Data'!D146</f>
        <v>-1.8517027614523767E-2</v>
      </c>
      <c r="E147" s="25">
        <f>('Raw Price Data'!E147-'Raw Price Data'!E146)/'Raw Price Data'!E146</f>
        <v>8.7682672233823787E-4</v>
      </c>
      <c r="F147" s="25">
        <f>('Raw Price Data'!F147-'Raw Price Data'!F146)/'Raw Price Data'!F146</f>
        <v>-1.4095979101245468E-2</v>
      </c>
    </row>
    <row r="148" spans="1:6" ht="15" customHeight="1" x14ac:dyDescent="0.3">
      <c r="A148" s="19">
        <v>43670</v>
      </c>
      <c r="B148" s="26">
        <f>('Raw Price Data'!B148-'Raw Price Data'!B147)/'Raw Price Data'!B147</f>
        <v>4.7727140445840942E-3</v>
      </c>
      <c r="C148" s="26">
        <f>('Raw Price Data'!C148-'Raw Price Data'!C147)/'Raw Price Data'!C147</f>
        <v>-7.5283995429193935E-4</v>
      </c>
      <c r="D148" s="26">
        <f>('Raw Price Data'!D148-'Raw Price Data'!D147)/'Raw Price Data'!D147</f>
        <v>-6.2341071282092601E-3</v>
      </c>
      <c r="E148" s="26">
        <f>('Raw Price Data'!E148-'Raw Price Data'!E147)/'Raw Price Data'!E147</f>
        <v>1.7646322639856452E-2</v>
      </c>
      <c r="F148" s="26">
        <f>('Raw Price Data'!F148-'Raw Price Data'!F147)/'Raw Price Data'!F147</f>
        <v>1.411468602636951E-2</v>
      </c>
    </row>
    <row r="149" spans="1:6" ht="15" customHeight="1" x14ac:dyDescent="0.3">
      <c r="A149" s="21">
        <v>43671</v>
      </c>
      <c r="B149" s="25">
        <f>('Raw Price Data'!B149-'Raw Price Data'!B148)/'Raw Price Data'!B148</f>
        <v>-2.1433122863928566E-2</v>
      </c>
      <c r="C149" s="25">
        <f>('Raw Price Data'!C149-'Raw Price Data'!C148)/'Raw Price Data'!C148</f>
        <v>-7.9242287666993864E-3</v>
      </c>
      <c r="D149" s="25">
        <f>('Raw Price Data'!D149-'Raw Price Data'!D148)/'Raw Price Data'!D148</f>
        <v>1.5683037556747646E-3</v>
      </c>
      <c r="E149" s="25">
        <f>('Raw Price Data'!E149-'Raw Price Data'!E148)/'Raw Price Data'!E148</f>
        <v>1.6110518980077097E-2</v>
      </c>
      <c r="F149" s="25">
        <f>('Raw Price Data'!F149-'Raw Price Data'!F148)/'Raw Price Data'!F148</f>
        <v>2.0745769676486048E-2</v>
      </c>
    </row>
    <row r="150" spans="1:6" ht="15" customHeight="1" x14ac:dyDescent="0.3">
      <c r="A150" s="19">
        <v>43672</v>
      </c>
      <c r="B150" s="26">
        <f>('Raw Price Data'!B150-'Raw Price Data'!B149)/'Raw Price Data'!B149</f>
        <v>-5.1500621559225981E-3</v>
      </c>
      <c r="C150" s="26">
        <f>('Raw Price Data'!C150-'Raw Price Data'!C149)/'Raw Price Data'!C149</f>
        <v>7.2959045294277132E-3</v>
      </c>
      <c r="D150" s="26">
        <f>('Raw Price Data'!D150-'Raw Price Data'!D149)/'Raw Price Data'!D149</f>
        <v>1.4834349761001532E-3</v>
      </c>
      <c r="E150" s="26">
        <f>('Raw Price Data'!E150-'Raw Price Data'!E149)/'Raw Price Data'!E149</f>
        <v>1.5249929398475011E-2</v>
      </c>
      <c r="F150" s="26">
        <f>('Raw Price Data'!F150-'Raw Price Data'!F149)/'Raw Price Data'!F149</f>
        <v>1.7434028974385087E-2</v>
      </c>
    </row>
    <row r="151" spans="1:6" ht="15" customHeight="1" x14ac:dyDescent="0.3">
      <c r="A151" s="21">
        <v>43675</v>
      </c>
      <c r="B151" s="25">
        <f>('Raw Price Data'!B151-'Raw Price Data'!B150)/'Raw Price Data'!B150</f>
        <v>3.9271688682613153E-3</v>
      </c>
      <c r="C151" s="25">
        <f>('Raw Price Data'!C151-'Raw Price Data'!C150)/'Raw Price Data'!C150</f>
        <v>-1.6519023129324944E-2</v>
      </c>
      <c r="D151" s="25">
        <f>('Raw Price Data'!D151-'Raw Price Data'!D150)/'Raw Price Data'!D150</f>
        <v>-1.563528637261349E-2</v>
      </c>
      <c r="E151" s="25">
        <f>('Raw Price Data'!E151-'Raw Price Data'!E150)/'Raw Price Data'!E150</f>
        <v>1.0609974170474816E-2</v>
      </c>
      <c r="F151" s="25">
        <f>('Raw Price Data'!F151-'Raw Price Data'!F150)/'Raw Price Data'!F150</f>
        <v>-2.4929936278122104E-3</v>
      </c>
    </row>
    <row r="152" spans="1:6" ht="15" customHeight="1" x14ac:dyDescent="0.3">
      <c r="A152" s="19">
        <v>43676</v>
      </c>
      <c r="B152" s="26">
        <f>('Raw Price Data'!B152-'Raw Price Data'!B151)/'Raw Price Data'!B151</f>
        <v>1.1735419630156412E-2</v>
      </c>
      <c r="C152" s="26">
        <f>('Raw Price Data'!C152-'Raw Price Data'!C151)/'Raw Price Data'!C151</f>
        <v>4.2846778278189147E-3</v>
      </c>
      <c r="D152" s="26">
        <f>('Raw Price Data'!D152-'Raw Price Data'!D151)/'Raw Price Data'!D151</f>
        <v>-1.0784149807724512E-2</v>
      </c>
      <c r="E152" s="26">
        <f>('Raw Price Data'!E152-'Raw Price Data'!E151)/'Raw Price Data'!E151</f>
        <v>2.1233092167349029E-3</v>
      </c>
      <c r="F152" s="26">
        <f>('Raw Price Data'!F152-'Raw Price Data'!F151)/'Raw Price Data'!F151</f>
        <v>8.262531529198449E-3</v>
      </c>
    </row>
    <row r="153" spans="1:6" ht="15" customHeight="1" x14ac:dyDescent="0.3">
      <c r="A153" s="21">
        <v>43677</v>
      </c>
      <c r="B153" s="25">
        <f>('Raw Price Data'!B153-'Raw Price Data'!B152)/'Raw Price Data'!B152</f>
        <v>2.0386643233743517E-2</v>
      </c>
      <c r="C153" s="25">
        <f>('Raw Price Data'!C153-'Raw Price Data'!C152)/'Raw Price Data'!C152</f>
        <v>-3.5821383784962614E-2</v>
      </c>
      <c r="D153" s="25">
        <f>('Raw Price Data'!D153-'Raw Price Data'!D152)/'Raw Price Data'!D152</f>
        <v>1.3098960534099528E-2</v>
      </c>
      <c r="E153" s="25">
        <f>('Raw Price Data'!E153-'Raw Price Data'!E152)/'Raw Price Data'!E152</f>
        <v>-2.2993015773365821E-2</v>
      </c>
      <c r="F153" s="25">
        <f>('Raw Price Data'!F153-'Raw Price Data'!F152)/'Raw Price Data'!F152</f>
        <v>6.4460652885987421E-3</v>
      </c>
    </row>
    <row r="154" spans="1:6" ht="15" customHeight="1" x14ac:dyDescent="0.3">
      <c r="A154" s="19">
        <v>43678</v>
      </c>
      <c r="B154" s="26">
        <f>('Raw Price Data'!B154-'Raw Price Data'!B153)/'Raw Price Data'!B153</f>
        <v>-2.870593638765149E-4</v>
      </c>
      <c r="C154" s="26">
        <f>('Raw Price Data'!C154-'Raw Price Data'!C153)/'Raw Price Data'!C153</f>
        <v>1.2525446731508728E-2</v>
      </c>
      <c r="D154" s="26">
        <f>('Raw Price Data'!D154-'Raw Price Data'!D153)/'Raw Price Data'!D153</f>
        <v>-4.004004004003919E-3</v>
      </c>
      <c r="E154" s="26">
        <f>('Raw Price Data'!E154-'Raw Price Data'!E153)/'Raw Price Data'!E153</f>
        <v>6.7068273092368976E-3</v>
      </c>
      <c r="F154" s="26">
        <f>('Raw Price Data'!F154-'Raw Price Data'!F153)/'Raw Price Data'!F153</f>
        <v>-1.5167698668957457E-2</v>
      </c>
    </row>
    <row r="155" spans="1:6" ht="15" customHeight="1" x14ac:dyDescent="0.3">
      <c r="A155" s="21">
        <v>43679</v>
      </c>
      <c r="B155" s="25">
        <f>('Raw Price Data'!B155-'Raw Price Data'!B154)/'Raw Price Data'!B154</f>
        <v>-1.5161086544535613E-2</v>
      </c>
      <c r="C155" s="25">
        <f>('Raw Price Data'!C155-'Raw Price Data'!C154)/'Raw Price Data'!C154</f>
        <v>1.7731981793303478E-3</v>
      </c>
      <c r="D155" s="25">
        <f>('Raw Price Data'!D155-'Raw Price Data'!D154)/'Raw Price Data'!D154</f>
        <v>0</v>
      </c>
      <c r="E155" s="25">
        <f>('Raw Price Data'!E155-'Raw Price Data'!E154)/'Raw Price Data'!E154</f>
        <v>3.2273507001236698E-2</v>
      </c>
      <c r="F155" s="25">
        <f>('Raw Price Data'!F155-'Raw Price Data'!F154)/'Raw Price Data'!F154</f>
        <v>2.9415026102040512E-2</v>
      </c>
    </row>
    <row r="156" spans="1:6" ht="15" customHeight="1" x14ac:dyDescent="0.3">
      <c r="A156" s="19">
        <v>43682</v>
      </c>
      <c r="B156" s="26">
        <f>('Raw Price Data'!B156-'Raw Price Data'!B155)/'Raw Price Data'!B155</f>
        <v>6.6476179369058625E-3</v>
      </c>
      <c r="C156" s="26">
        <f>('Raw Price Data'!C156-'Raw Price Data'!C155)/'Raw Price Data'!C155</f>
        <v>4.3066802324771523E-3</v>
      </c>
      <c r="D156" s="26">
        <f>('Raw Price Data'!D156-'Raw Price Data'!D155)/'Raw Price Data'!D155</f>
        <v>-3.3668341708542798E-2</v>
      </c>
      <c r="E156" s="26">
        <f>('Raw Price Data'!E156-'Raw Price Data'!E155)/'Raw Price Data'!E155</f>
        <v>-7.7291698871541203E-3</v>
      </c>
      <c r="F156" s="26">
        <f>('Raw Price Data'!F156-'Raw Price Data'!F155)/'Raw Price Data'!F155</f>
        <v>-1.0903035887679597E-2</v>
      </c>
    </row>
    <row r="157" spans="1:6" ht="15" customHeight="1" x14ac:dyDescent="0.3">
      <c r="A157" s="21">
        <v>43683</v>
      </c>
      <c r="B157" s="25">
        <f>('Raw Price Data'!B157-'Raw Price Data'!B156)/'Raw Price Data'!B156</f>
        <v>7.472629322829126E-3</v>
      </c>
      <c r="C157" s="25">
        <f>('Raw Price Data'!C157-'Raw Price Data'!C156)/'Raw Price Data'!C156</f>
        <v>3.3306503094728927E-3</v>
      </c>
      <c r="D157" s="25">
        <f>('Raw Price Data'!D157-'Raw Price Data'!D156)/'Raw Price Data'!D156</f>
        <v>-8.5803432137285043E-3</v>
      </c>
      <c r="E157" s="25">
        <f>('Raw Price Data'!E157-'Raw Price Data'!E156)/'Raw Price Data'!E156</f>
        <v>-1.2307212961520474E-2</v>
      </c>
      <c r="F157" s="25">
        <f>('Raw Price Data'!F157-'Raw Price Data'!F156)/'Raw Price Data'!F156</f>
        <v>2.378118098716879E-2</v>
      </c>
    </row>
    <row r="158" spans="1:6" ht="15" customHeight="1" x14ac:dyDescent="0.3">
      <c r="A158" s="19">
        <v>43684</v>
      </c>
      <c r="B158" s="26">
        <f>('Raw Price Data'!B158-'Raw Price Data'!B157)/'Raw Price Data'!B157</f>
        <v>7.1297148114075962E-3</v>
      </c>
      <c r="C158" s="26">
        <f>('Raw Price Data'!C158-'Raw Price Data'!C157)/'Raw Price Data'!C157</f>
        <v>-2.1867824836095132E-2</v>
      </c>
      <c r="D158" s="26">
        <f>('Raw Price Data'!D158-'Raw Price Data'!D157)/'Raw Price Data'!D157</f>
        <v>1.3899816417519044E-2</v>
      </c>
      <c r="E158" s="26">
        <f>('Raw Price Data'!E158-'Raw Price Data'!E157)/'Raw Price Data'!E157</f>
        <v>1.2145110410094686E-2</v>
      </c>
      <c r="F158" s="26">
        <f>('Raw Price Data'!F158-'Raw Price Data'!F157)/'Raw Price Data'!F157</f>
        <v>1.8013856637709669E-5</v>
      </c>
    </row>
    <row r="159" spans="1:6" ht="15" customHeight="1" x14ac:dyDescent="0.3">
      <c r="A159" s="21">
        <v>43685</v>
      </c>
      <c r="B159" s="25">
        <f>('Raw Price Data'!B159-'Raw Price Data'!B158)/'Raw Price Data'!B158</f>
        <v>-9.3628682347567157E-3</v>
      </c>
      <c r="C159" s="25">
        <f>('Raw Price Data'!C159-'Raw Price Data'!C158)/'Raw Price Data'!C158</f>
        <v>-1.5258000197972148E-2</v>
      </c>
      <c r="D159" s="25">
        <f>('Raw Price Data'!D159-'Raw Price Data'!D158)/'Raw Price Data'!D158</f>
        <v>-1.1122607346094208E-2</v>
      </c>
      <c r="E159" s="25">
        <f>('Raw Price Data'!E159-'Raw Price Data'!E158)/'Raw Price Data'!E158</f>
        <v>3.2102228455664676E-2</v>
      </c>
      <c r="F159" s="25">
        <f>('Raw Price Data'!F159-'Raw Price Data'!F158)/'Raw Price Data'!F158</f>
        <v>3.3675824303972444E-3</v>
      </c>
    </row>
    <row r="160" spans="1:6" ht="15" customHeight="1" x14ac:dyDescent="0.3">
      <c r="A160" s="19">
        <v>43686</v>
      </c>
      <c r="B160" s="26">
        <f>('Raw Price Data'!B160-'Raw Price Data'!B159)/'Raw Price Data'!B159</f>
        <v>1.6021207929921628E-2</v>
      </c>
      <c r="C160" s="26">
        <f>('Raw Price Data'!C160-'Raw Price Data'!C159)/'Raw Price Data'!C159</f>
        <v>2.821735259484761E-2</v>
      </c>
      <c r="D160" s="26">
        <f>('Raw Price Data'!D160-'Raw Price Data'!D159)/'Raw Price Data'!D159</f>
        <v>-1.456099049611999E-2</v>
      </c>
      <c r="E160" s="26">
        <f>('Raw Price Data'!E160-'Raw Price Data'!E159)/'Raw Price Data'!E159</f>
        <v>-1.9175600181186928E-2</v>
      </c>
      <c r="F160" s="26">
        <f>('Raw Price Data'!F160-'Raw Price Data'!F159)/'Raw Price Data'!F159</f>
        <v>-2.5277927754186144E-3</v>
      </c>
    </row>
    <row r="161" spans="1:6" ht="15" customHeight="1" x14ac:dyDescent="0.3">
      <c r="A161" s="21">
        <v>43689</v>
      </c>
      <c r="B161" s="25">
        <f>('Raw Price Data'!B161-'Raw Price Data'!B160)/'Raw Price Data'!B160</f>
        <v>1.5314804310832774E-3</v>
      </c>
      <c r="C161" s="25">
        <f>('Raw Price Data'!C161-'Raw Price Data'!C160)/'Raw Price Data'!C160</f>
        <v>9.3152521542394489E-3</v>
      </c>
      <c r="D161" s="25">
        <f>('Raw Price Data'!D161-'Raw Price Data'!D160)/'Raw Price Data'!D160</f>
        <v>6.2820739692090602E-3</v>
      </c>
      <c r="E161" s="25">
        <f>('Raw Price Data'!E161-'Raw Price Data'!E160)/'Raw Price Data'!E160</f>
        <v>-4.5181650246305348E-2</v>
      </c>
      <c r="F161" s="25">
        <f>('Raw Price Data'!F161-'Raw Price Data'!F160)/'Raw Price Data'!F160</f>
        <v>1.6213491084171333E-2</v>
      </c>
    </row>
    <row r="162" spans="1:6" ht="15" customHeight="1" x14ac:dyDescent="0.3">
      <c r="A162" s="19">
        <v>43690</v>
      </c>
      <c r="B162" s="26">
        <f>('Raw Price Data'!B162-'Raw Price Data'!B161)/'Raw Price Data'!B161</f>
        <v>1.0024352947839443E-2</v>
      </c>
      <c r="C162" s="26">
        <f>('Raw Price Data'!C162-'Raw Price Data'!C161)/'Raw Price Data'!C161</f>
        <v>-9.9349660993497488E-3</v>
      </c>
      <c r="D162" s="26">
        <f>('Raw Price Data'!D162-'Raw Price Data'!D161)/'Raw Price Data'!D161</f>
        <v>9.8478853424777135E-3</v>
      </c>
      <c r="E162" s="26">
        <f>('Raw Price Data'!E162-'Raw Price Data'!E161)/'Raw Price Data'!E161</f>
        <v>-1.1164852881902386E-2</v>
      </c>
      <c r="F162" s="26">
        <f>('Raw Price Data'!F162-'Raw Price Data'!F161)/'Raw Price Data'!F161</f>
        <v>2.0649076443363112E-2</v>
      </c>
    </row>
    <row r="163" spans="1:6" ht="15" customHeight="1" x14ac:dyDescent="0.3">
      <c r="A163" s="21">
        <v>43691</v>
      </c>
      <c r="B163" s="25">
        <f>('Raw Price Data'!B163-'Raw Price Data'!B162)/'Raw Price Data'!B162</f>
        <v>1.7999327127957876E-2</v>
      </c>
      <c r="C163" s="25">
        <f>('Raw Price Data'!C163-'Raw Price Data'!C162)/'Raw Price Data'!C162</f>
        <v>8.0221377459749679E-3</v>
      </c>
      <c r="D163" s="25">
        <f>('Raw Price Data'!D163-'Raw Price Data'!D162)/'Raw Price Data'!D162</f>
        <v>5.659555942533789E-3</v>
      </c>
      <c r="E163" s="25">
        <f>('Raw Price Data'!E163-'Raw Price Data'!E162)/'Raw Price Data'!E162</f>
        <v>2.3641625565564098E-3</v>
      </c>
      <c r="F163" s="25">
        <f>('Raw Price Data'!F163-'Raw Price Data'!F162)/'Raw Price Data'!F162</f>
        <v>2.4164622656329504E-3</v>
      </c>
    </row>
    <row r="164" spans="1:6" ht="15" customHeight="1" x14ac:dyDescent="0.3">
      <c r="A164" s="19">
        <v>43692</v>
      </c>
      <c r="B164" s="26">
        <f>('Raw Price Data'!B164-'Raw Price Data'!B163)/'Raw Price Data'!B163</f>
        <v>8.757917928945055E-3</v>
      </c>
      <c r="C164" s="26">
        <f>('Raw Price Data'!C164-'Raw Price Data'!C163)/'Raw Price Data'!C163</f>
        <v>7.7919196960874086E-3</v>
      </c>
      <c r="D164" s="26">
        <f>('Raw Price Data'!D164-'Raw Price Data'!D163)/'Raw Price Data'!D163</f>
        <v>-8.5714285714285268E-3</v>
      </c>
      <c r="E164" s="26">
        <f>('Raw Price Data'!E164-'Raw Price Data'!E163)/'Raw Price Data'!E163</f>
        <v>-2.1959253385384573E-3</v>
      </c>
      <c r="F164" s="26">
        <f>('Raw Price Data'!F164-'Raw Price Data'!F163)/'Raw Price Data'!F163</f>
        <v>-6.7477428408417002E-3</v>
      </c>
    </row>
    <row r="165" spans="1:6" ht="15" customHeight="1" x14ac:dyDescent="0.3">
      <c r="A165" s="21">
        <v>43693</v>
      </c>
      <c r="B165" s="25">
        <f>('Raw Price Data'!B165-'Raw Price Data'!B164)/'Raw Price Data'!B164</f>
        <v>4.2590368024462222E-3</v>
      </c>
      <c r="C165" s="25">
        <f>('Raw Price Data'!C165-'Raw Price Data'!C164)/'Raw Price Data'!C164</f>
        <v>3.5067686550737408E-2</v>
      </c>
      <c r="D165" s="25">
        <f>('Raw Price Data'!D165-'Raw Price Data'!D164)/'Raw Price Data'!D164</f>
        <v>1.2226006462317626E-2</v>
      </c>
      <c r="E165" s="25">
        <f>('Raw Price Data'!E165-'Raw Price Data'!E164)/'Raw Price Data'!E164</f>
        <v>-4.44227085625791E-3</v>
      </c>
      <c r="F165" s="25">
        <f>('Raw Price Data'!F165-'Raw Price Data'!F164)/'Raw Price Data'!F164</f>
        <v>-7.5610042029224597E-3</v>
      </c>
    </row>
    <row r="166" spans="1:6" ht="15" customHeight="1" x14ac:dyDescent="0.3">
      <c r="A166" s="19">
        <v>43696</v>
      </c>
      <c r="B166" s="26">
        <f>('Raw Price Data'!B166-'Raw Price Data'!B165)/'Raw Price Data'!B165</f>
        <v>3.0176163549369354E-2</v>
      </c>
      <c r="C166" s="26">
        <f>('Raw Price Data'!C166-'Raw Price Data'!C165)/'Raw Price Data'!C165</f>
        <v>2.0176243071892752E-2</v>
      </c>
      <c r="D166" s="26">
        <f>('Raw Price Data'!D166-'Raw Price Data'!D165)/'Raw Price Data'!D165</f>
        <v>2.6054697610214912E-2</v>
      </c>
      <c r="E166" s="26">
        <f>('Raw Price Data'!E166-'Raw Price Data'!E165)/'Raw Price Data'!E165</f>
        <v>-9.0469952513509422E-3</v>
      </c>
      <c r="F166" s="26">
        <f>('Raw Price Data'!F166-'Raw Price Data'!F165)/'Raw Price Data'!F165</f>
        <v>7.9635560876218699E-3</v>
      </c>
    </row>
    <row r="167" spans="1:6" ht="15" customHeight="1" x14ac:dyDescent="0.3">
      <c r="A167" s="21">
        <v>43697</v>
      </c>
      <c r="B167" s="25">
        <f>('Raw Price Data'!B167-'Raw Price Data'!B166)/'Raw Price Data'!B166</f>
        <v>3.6945162822609838E-3</v>
      </c>
      <c r="C167" s="25">
        <f>('Raw Price Data'!C167-'Raw Price Data'!C166)/'Raw Price Data'!C166</f>
        <v>7.856165722102907E-3</v>
      </c>
      <c r="D167" s="25">
        <f>('Raw Price Data'!D167-'Raw Price Data'!D166)/'Raw Price Data'!D166</f>
        <v>1.8834608593290128E-2</v>
      </c>
      <c r="E167" s="25">
        <f>('Raw Price Data'!E167-'Raw Price Data'!E166)/'Raw Price Data'!E166</f>
        <v>-1.1732143594827956E-2</v>
      </c>
      <c r="F167" s="25">
        <f>('Raw Price Data'!F167-'Raw Price Data'!F166)/'Raw Price Data'!F166</f>
        <v>-2.4888874053960043E-2</v>
      </c>
    </row>
    <row r="168" spans="1:6" ht="15" customHeight="1" x14ac:dyDescent="0.3">
      <c r="A168" s="19">
        <v>43698</v>
      </c>
      <c r="B168" s="26">
        <f>('Raw Price Data'!B168-'Raw Price Data'!B167)/'Raw Price Data'!B167</f>
        <v>-3.7860861334595305E-3</v>
      </c>
      <c r="C168" s="26">
        <f>('Raw Price Data'!C168-'Raw Price Data'!C167)/'Raw Price Data'!C167</f>
        <v>-7.3295586752502298E-3</v>
      </c>
      <c r="D168" s="26">
        <f>('Raw Price Data'!D168-'Raw Price Data'!D167)/'Raw Price Data'!D167</f>
        <v>-2.4263431542460988E-2</v>
      </c>
      <c r="E168" s="26">
        <f>('Raw Price Data'!E168-'Raw Price Data'!E167)/'Raw Price Data'!E167</f>
        <v>-1.5173682230489469E-2</v>
      </c>
      <c r="F168" s="26">
        <f>('Raw Price Data'!F168-'Raw Price Data'!F167)/'Raw Price Data'!F167</f>
        <v>-1.7876058325847696E-2</v>
      </c>
    </row>
    <row r="169" spans="1:6" ht="15" customHeight="1" x14ac:dyDescent="0.3">
      <c r="A169" s="21">
        <v>43699</v>
      </c>
      <c r="B169" s="25">
        <f>('Raw Price Data'!B169-'Raw Price Data'!B168)/'Raw Price Data'!B168</f>
        <v>1.8474531538665757E-3</v>
      </c>
      <c r="C169" s="25">
        <f>('Raw Price Data'!C169-'Raw Price Data'!C168)/'Raw Price Data'!C168</f>
        <v>3.2048026461434301E-2</v>
      </c>
      <c r="D169" s="25">
        <f>('Raw Price Data'!D169-'Raw Price Data'!D168)/'Raw Price Data'!D168</f>
        <v>4.6519495897826273E-2</v>
      </c>
      <c r="E169" s="25">
        <f>('Raw Price Data'!E169-'Raw Price Data'!E168)/'Raw Price Data'!E168</f>
        <v>7.300509337860776E-3</v>
      </c>
      <c r="F169" s="25">
        <f>('Raw Price Data'!F169-'Raw Price Data'!F168)/'Raw Price Data'!F168</f>
        <v>4.7665163429845396E-4</v>
      </c>
    </row>
    <row r="170" spans="1:6" ht="15" customHeight="1" x14ac:dyDescent="0.3">
      <c r="A170" s="19">
        <v>43700</v>
      </c>
      <c r="B170" s="26">
        <f>('Raw Price Data'!B170-'Raw Price Data'!B169)/'Raw Price Data'!B169</f>
        <v>2.0864067439409797E-2</v>
      </c>
      <c r="C170" s="26">
        <f>('Raw Price Data'!C170-'Raw Price Data'!C169)/'Raw Price Data'!C169</f>
        <v>-1.186089940947788E-3</v>
      </c>
      <c r="D170" s="26">
        <f>('Raw Price Data'!D170-'Raw Price Data'!D169)/'Raw Price Data'!D169</f>
        <v>-2.0447749131172723E-2</v>
      </c>
      <c r="E170" s="26">
        <f>('Raw Price Data'!E170-'Raw Price Data'!E169)/'Raw Price Data'!E169</f>
        <v>1.1292769256699843E-2</v>
      </c>
      <c r="F170" s="26">
        <f>('Raw Price Data'!F170-'Raw Price Data'!F169)/'Raw Price Data'!F169</f>
        <v>3.8424051151419543E-3</v>
      </c>
    </row>
    <row r="171" spans="1:6" ht="15" customHeight="1" x14ac:dyDescent="0.3">
      <c r="A171" s="21">
        <v>43703</v>
      </c>
      <c r="B171" s="25">
        <f>('Raw Price Data'!B171-'Raw Price Data'!B170)/'Raw Price Data'!B170</f>
        <v>1.9611890999174002E-3</v>
      </c>
      <c r="C171" s="25">
        <f>('Raw Price Data'!C171-'Raw Price Data'!C170)/'Raw Price Data'!C170</f>
        <v>-1.4767932489451545E-2</v>
      </c>
      <c r="D171" s="25">
        <f>('Raw Price Data'!D171-'Raw Price Data'!D170)/'Raw Price Data'!D170</f>
        <v>-1.8894389438943945E-2</v>
      </c>
      <c r="E171" s="25">
        <f>('Raw Price Data'!E171-'Raw Price Data'!E170)/'Raw Price Data'!E170</f>
        <v>-2.950000000000005E-2</v>
      </c>
      <c r="F171" s="25">
        <f>('Raw Price Data'!F171-'Raw Price Data'!F170)/'Raw Price Data'!F170</f>
        <v>-5.1184061645875682E-3</v>
      </c>
    </row>
    <row r="172" spans="1:6" ht="15" customHeight="1" x14ac:dyDescent="0.3">
      <c r="A172" s="19">
        <v>43704</v>
      </c>
      <c r="B172" s="26">
        <f>('Raw Price Data'!B172-'Raw Price Data'!B171)/'Raw Price Data'!B171</f>
        <v>7.5203461419594527E-3</v>
      </c>
      <c r="C172" s="26">
        <f>('Raw Price Data'!C172-'Raw Price Data'!C171)/'Raw Price Data'!C171</f>
        <v>-2.0926028029593837E-2</v>
      </c>
      <c r="D172" s="26">
        <f>('Raw Price Data'!D172-'Raw Price Data'!D171)/'Raw Price Data'!D171</f>
        <v>5.1299301993103985E-3</v>
      </c>
      <c r="E172" s="26">
        <f>('Raw Price Data'!E172-'Raw Price Data'!E171)/'Raw Price Data'!E171</f>
        <v>3.0396702730551318E-2</v>
      </c>
      <c r="F172" s="26">
        <f>('Raw Price Data'!F172-'Raw Price Data'!F171)/'Raw Price Data'!F171</f>
        <v>-4.5335341422806184E-3</v>
      </c>
    </row>
    <row r="173" spans="1:6" ht="15" customHeight="1" x14ac:dyDescent="0.3">
      <c r="A173" s="21">
        <v>43705</v>
      </c>
      <c r="B173" s="25">
        <f>('Raw Price Data'!B173-'Raw Price Data'!B172)/'Raw Price Data'!B172</f>
        <v>1.6922290388548068E-2</v>
      </c>
      <c r="C173" s="25">
        <f>('Raw Price Data'!C173-'Raw Price Data'!C172)/'Raw Price Data'!C172</f>
        <v>-1.4615555875689303E-2</v>
      </c>
      <c r="D173" s="25">
        <f>('Raw Price Data'!D173-'Raw Price Data'!D172)/'Raw Price Data'!D172</f>
        <v>-1.0876840696117424E-3</v>
      </c>
      <c r="E173" s="25">
        <f>('Raw Price Data'!E173-'Raw Price Data'!E172)/'Raw Price Data'!E172</f>
        <v>8.7916666666667236E-3</v>
      </c>
      <c r="F173" s="25">
        <f>('Raw Price Data'!F173-'Raw Price Data'!F172)/'Raw Price Data'!F172</f>
        <v>-1.9167836787282906E-2</v>
      </c>
    </row>
    <row r="174" spans="1:6" ht="15" customHeight="1" x14ac:dyDescent="0.3">
      <c r="A174" s="19">
        <v>43706</v>
      </c>
      <c r="B174" s="26">
        <f>('Raw Price Data'!B174-'Raw Price Data'!B173)/'Raw Price Data'!B173</f>
        <v>-6.8372630838066722E-3</v>
      </c>
      <c r="C174" s="26">
        <f>('Raw Price Data'!C174-'Raw Price Data'!C173)/'Raw Price Data'!C173</f>
        <v>-5.8212942411716958E-3</v>
      </c>
      <c r="D174" s="26">
        <f>('Raw Price Data'!D174-'Raw Price Data'!D173)/'Raw Price Data'!D173</f>
        <v>6.1144149426250434E-3</v>
      </c>
      <c r="E174" s="26">
        <f>('Raw Price Data'!E174-'Raw Price Data'!E173)/'Raw Price Data'!E173</f>
        <v>1.0945438024038566E-2</v>
      </c>
      <c r="F174" s="26">
        <f>('Raw Price Data'!F174-'Raw Price Data'!F173)/'Raw Price Data'!F173</f>
        <v>-4.0676411705274675E-3</v>
      </c>
    </row>
    <row r="175" spans="1:6" ht="15" customHeight="1" x14ac:dyDescent="0.3">
      <c r="A175" s="21">
        <v>43707</v>
      </c>
      <c r="B175" s="25">
        <f>('Raw Price Data'!B175-'Raw Price Data'!B174)/'Raw Price Data'!B174</f>
        <v>-2.3588964819033283E-2</v>
      </c>
      <c r="C175" s="25">
        <f>('Raw Price Data'!C175-'Raw Price Data'!C174)/'Raw Price Data'!C174</f>
        <v>1.4090343970161729E-2</v>
      </c>
      <c r="D175" s="25">
        <f>('Raw Price Data'!D175-'Raw Price Data'!D174)/'Raw Price Data'!D174</f>
        <v>2.1062271062271071E-2</v>
      </c>
      <c r="E175" s="25">
        <f>('Raw Price Data'!E175-'Raw Price Data'!E174)/'Raw Price Data'!E174</f>
        <v>-4.861905540120926E-3</v>
      </c>
      <c r="F175" s="25">
        <f>('Raw Price Data'!F175-'Raw Price Data'!F174)/'Raw Price Data'!F174</f>
        <v>-1.401954537095768E-3</v>
      </c>
    </row>
    <row r="176" spans="1:6" ht="15" customHeight="1" x14ac:dyDescent="0.3">
      <c r="A176" s="19">
        <v>43710</v>
      </c>
      <c r="B176" s="26">
        <f>('Raw Price Data'!B176-'Raw Price Data'!B175)/'Raw Price Data'!B175</f>
        <v>4.4584996630204453E-3</v>
      </c>
      <c r="C176" s="26">
        <f>('Raw Price Data'!C176-'Raw Price Data'!C175)/'Raw Price Data'!C175</f>
        <v>1.6702479665686696E-2</v>
      </c>
      <c r="D176" s="26">
        <f>('Raw Price Data'!D176-'Raw Price Data'!D175)/'Raw Price Data'!D175</f>
        <v>1.508357113738275E-2</v>
      </c>
      <c r="E176" s="26">
        <f>('Raw Price Data'!E176-'Raw Price Data'!E175)/'Raw Price Data'!E175</f>
        <v>5.2962187461510881E-3</v>
      </c>
      <c r="F176" s="26">
        <f>('Raw Price Data'!F176-'Raw Price Data'!F175)/'Raw Price Data'!F175</f>
        <v>3.670568228515149E-3</v>
      </c>
    </row>
    <row r="177" spans="1:6" ht="15" customHeight="1" x14ac:dyDescent="0.3">
      <c r="A177" s="21">
        <v>43711</v>
      </c>
      <c r="B177" s="25">
        <f>('Raw Price Data'!B177-'Raw Price Data'!B176)/'Raw Price Data'!B176</f>
        <v>3.5096774193548739E-3</v>
      </c>
      <c r="C177" s="25">
        <f>('Raw Price Data'!C177-'Raw Price Data'!C176)/'Raw Price Data'!C176</f>
        <v>2.0901405528758889E-2</v>
      </c>
      <c r="D177" s="25">
        <f>('Raw Price Data'!D177-'Raw Price Data'!D176)/'Raw Price Data'!D176</f>
        <v>-1.3734939759036094E-2</v>
      </c>
      <c r="E177" s="25">
        <f>('Raw Price Data'!E177-'Raw Price Data'!E176)/'Raw Price Data'!E176</f>
        <v>-2.074654904843589E-2</v>
      </c>
      <c r="F177" s="25">
        <f>('Raw Price Data'!F177-'Raw Price Data'!F176)/'Raw Price Data'!F176</f>
        <v>6.8669046816049401E-3</v>
      </c>
    </row>
    <row r="178" spans="1:6" ht="15" customHeight="1" x14ac:dyDescent="0.3">
      <c r="A178" s="19">
        <v>43712</v>
      </c>
      <c r="B178" s="26">
        <f>('Raw Price Data'!B178-'Raw Price Data'!B177)/'Raw Price Data'!B177</f>
        <v>-8.1263179550481526E-3</v>
      </c>
      <c r="C178" s="26">
        <f>('Raw Price Data'!C178-'Raw Price Data'!C177)/'Raw Price Data'!C177</f>
        <v>3.2894736842105669E-3</v>
      </c>
      <c r="D178" s="26">
        <f>('Raw Price Data'!D178-'Raw Price Data'!D177)/'Raw Price Data'!D177</f>
        <v>1.5473572766511745E-3</v>
      </c>
      <c r="E178" s="26">
        <f>('Raw Price Data'!E178-'Raw Price Data'!E177)/'Raw Price Data'!E177</f>
        <v>3.0402869296855418E-2</v>
      </c>
      <c r="F178" s="26">
        <f>('Raw Price Data'!F178-'Raw Price Data'!F177)/'Raw Price Data'!F177</f>
        <v>-2.173247287029733E-2</v>
      </c>
    </row>
    <row r="179" spans="1:6" ht="15" customHeight="1" x14ac:dyDescent="0.3">
      <c r="A179" s="21">
        <v>43713</v>
      </c>
      <c r="B179" s="25">
        <f>('Raw Price Data'!B179-'Raw Price Data'!B178)/'Raw Price Data'!B178</f>
        <v>1.2393051594503577E-2</v>
      </c>
      <c r="C179" s="25">
        <f>('Raw Price Data'!C179-'Raw Price Data'!C178)/'Raw Price Data'!C178</f>
        <v>1.526678903728077E-2</v>
      </c>
      <c r="D179" s="25">
        <f>('Raw Price Data'!D179-'Raw Price Data'!D178)/'Raw Price Data'!D178</f>
        <v>1.634412099528371E-2</v>
      </c>
      <c r="E179" s="25">
        <f>('Raw Price Data'!E179-'Raw Price Data'!E178)/'Raw Price Data'!E178</f>
        <v>2.7198769579471403E-2</v>
      </c>
      <c r="F179" s="25">
        <f>('Raw Price Data'!F179-'Raw Price Data'!F178)/'Raw Price Data'!F178</f>
        <v>1.8101475354294135E-2</v>
      </c>
    </row>
    <row r="180" spans="1:6" ht="15" customHeight="1" x14ac:dyDescent="0.3">
      <c r="A180" s="19">
        <v>43714</v>
      </c>
      <c r="B180" s="26">
        <f>('Raw Price Data'!B180-'Raw Price Data'!B179)/'Raw Price Data'!B179</f>
        <v>8.7584511370619716E-3</v>
      </c>
      <c r="C180" s="26">
        <f>('Raw Price Data'!C180-'Raw Price Data'!C179)/'Raw Price Data'!C179</f>
        <v>4.0435904789217172E-2</v>
      </c>
      <c r="D180" s="26">
        <f>('Raw Price Data'!D180-'Raw Price Data'!D179)/'Raw Price Data'!D179</f>
        <v>1.6961356908552723E-2</v>
      </c>
      <c r="E180" s="26">
        <f>('Raw Price Data'!E180-'Raw Price Data'!E179)/'Raw Price Data'!E179</f>
        <v>-4.0584735411166757E-3</v>
      </c>
      <c r="F180" s="26">
        <f>('Raw Price Data'!F180-'Raw Price Data'!F179)/'Raw Price Data'!F179</f>
        <v>-2.3587150639806882E-2</v>
      </c>
    </row>
    <row r="181" spans="1:6" ht="15" customHeight="1" x14ac:dyDescent="0.3">
      <c r="A181" s="21">
        <v>43717</v>
      </c>
      <c r="B181" s="25">
        <f>('Raw Price Data'!B181-'Raw Price Data'!B180)/'Raw Price Data'!B180</f>
        <v>-1.3455191673013341E-2</v>
      </c>
      <c r="C181" s="25">
        <f>('Raw Price Data'!C181-'Raw Price Data'!C180)/'Raw Price Data'!C180</f>
        <v>1.6657878337567683E-2</v>
      </c>
      <c r="D181" s="25">
        <f>('Raw Price Data'!D181-'Raw Price Data'!D180)/'Raw Price Data'!D180</f>
        <v>1.809456376366924E-2</v>
      </c>
      <c r="E181" s="25">
        <f>('Raw Price Data'!E181-'Raw Price Data'!E180)/'Raw Price Data'!E180</f>
        <v>-2.4450071213799569E-2</v>
      </c>
      <c r="F181" s="25">
        <f>('Raw Price Data'!F181-'Raw Price Data'!F180)/'Raw Price Data'!F180</f>
        <v>6.2121069709114417E-3</v>
      </c>
    </row>
    <row r="182" spans="1:6" ht="15" customHeight="1" x14ac:dyDescent="0.3">
      <c r="A182" s="19">
        <v>43718</v>
      </c>
      <c r="B182" s="26">
        <f>('Raw Price Data'!B182-'Raw Price Data'!B181)/'Raw Price Data'!B181</f>
        <v>7.46268656716412E-3</v>
      </c>
      <c r="C182" s="26">
        <f>('Raw Price Data'!C182-'Raw Price Data'!C181)/'Raw Price Data'!C181</f>
        <v>2.886814249003938E-2</v>
      </c>
      <c r="D182" s="26">
        <f>('Raw Price Data'!D182-'Raw Price Data'!D181)/'Raw Price Data'!D181</f>
        <v>1.3291090333049987E-2</v>
      </c>
      <c r="E182" s="26">
        <f>('Raw Price Data'!E182-'Raw Price Data'!E181)/'Raw Price Data'!E181</f>
        <v>-5.2721226376835559E-3</v>
      </c>
      <c r="F182" s="26">
        <f>('Raw Price Data'!F182-'Raw Price Data'!F181)/'Raw Price Data'!F181</f>
        <v>-4.7504240951090791E-3</v>
      </c>
    </row>
    <row r="183" spans="1:6" ht="15" customHeight="1" x14ac:dyDescent="0.3">
      <c r="A183" s="21">
        <v>43719</v>
      </c>
      <c r="B183" s="25">
        <f>('Raw Price Data'!B183-'Raw Price Data'!B182)/'Raw Price Data'!B182</f>
        <v>-2.4010217113665331E-3</v>
      </c>
      <c r="C183" s="25">
        <f>('Raw Price Data'!C183-'Raw Price Data'!C182)/'Raw Price Data'!C182</f>
        <v>-2.6053183323213006E-2</v>
      </c>
      <c r="D183" s="25">
        <f>('Raw Price Data'!D183-'Raw Price Data'!D182)/'Raw Price Data'!D182</f>
        <v>1.1515290170060177E-2</v>
      </c>
      <c r="E183" s="25">
        <f>('Raw Price Data'!E183-'Raw Price Data'!E182)/'Raw Price Data'!E182</f>
        <v>1.1619373776908E-2</v>
      </c>
      <c r="F183" s="25">
        <f>('Raw Price Data'!F183-'Raw Price Data'!F182)/'Raw Price Data'!F182</f>
        <v>1.1509985702765494E-2</v>
      </c>
    </row>
    <row r="184" spans="1:6" ht="15" customHeight="1" x14ac:dyDescent="0.3">
      <c r="A184" s="19">
        <v>43720</v>
      </c>
      <c r="B184" s="26">
        <f>('Raw Price Data'!B184-'Raw Price Data'!B183)/'Raw Price Data'!B183</f>
        <v>-2.0227365833674665E-2</v>
      </c>
      <c r="C184" s="26">
        <f>('Raw Price Data'!C184-'Raw Price Data'!C183)/'Raw Price Data'!C183</f>
        <v>-1.2492794880542064E-2</v>
      </c>
      <c r="D184" s="26">
        <f>('Raw Price Data'!D184-'Raw Price Data'!D183)/'Raw Price Data'!D183</f>
        <v>-7.6899879372736872E-3</v>
      </c>
      <c r="E184" s="26">
        <f>('Raw Price Data'!E184-'Raw Price Data'!E183)/'Raw Price Data'!E183</f>
        <v>-6.9721516946761363E-3</v>
      </c>
      <c r="F184" s="26">
        <f>('Raw Price Data'!F184-'Raw Price Data'!F183)/'Raw Price Data'!F183</f>
        <v>6.6176005532479036E-3</v>
      </c>
    </row>
    <row r="185" spans="1:6" ht="15" customHeight="1" x14ac:dyDescent="0.3">
      <c r="A185" s="21">
        <v>43721</v>
      </c>
      <c r="B185" s="25">
        <f>('Raw Price Data'!B185-'Raw Price Data'!B184)/'Raw Price Data'!B184</f>
        <v>6.5854805832853752E-3</v>
      </c>
      <c r="C185" s="25">
        <f>('Raw Price Data'!C185-'Raw Price Data'!C184)/'Raw Price Data'!C184</f>
        <v>-1.2650839219984042E-2</v>
      </c>
      <c r="D185" s="25">
        <f>('Raw Price Data'!D185-'Raw Price Data'!D184)/'Raw Price Data'!D184</f>
        <v>-2.0361647166084233E-2</v>
      </c>
      <c r="E185" s="25">
        <f>('Raw Price Data'!E185-'Raw Price Data'!E184)/'Raw Price Data'!E184</f>
        <v>-1.4529220779220829E-2</v>
      </c>
      <c r="F185" s="25">
        <f>('Raw Price Data'!F185-'Raw Price Data'!F184)/'Raw Price Data'!F184</f>
        <v>-1.7906074553560157E-3</v>
      </c>
    </row>
    <row r="186" spans="1:6" ht="15" customHeight="1" x14ac:dyDescent="0.3">
      <c r="A186" s="19">
        <v>43724</v>
      </c>
      <c r="B186" s="26">
        <f>('Raw Price Data'!B186-'Raw Price Data'!B185)/'Raw Price Data'!B185</f>
        <v>-3.1154265538191117E-4</v>
      </c>
      <c r="C186" s="26">
        <f>('Raw Price Data'!C186-'Raw Price Data'!C185)/'Raw Price Data'!C185</f>
        <v>-4.66188091934608E-2</v>
      </c>
      <c r="D186" s="26">
        <f>('Raw Price Data'!D186-'Raw Price Data'!D185)/'Raw Price Data'!D185</f>
        <v>7.0575461454940019E-3</v>
      </c>
      <c r="E186" s="26">
        <f>('Raw Price Data'!E186-'Raw Price Data'!E185)/'Raw Price Data'!E185</f>
        <v>3.5005353759986588E-3</v>
      </c>
      <c r="F186" s="26">
        <f>('Raw Price Data'!F186-'Raw Price Data'!F185)/'Raw Price Data'!F185</f>
        <v>-3.1973436238705434E-3</v>
      </c>
    </row>
    <row r="187" spans="1:6" ht="15" customHeight="1" x14ac:dyDescent="0.3">
      <c r="A187" s="21">
        <v>43725</v>
      </c>
      <c r="B187" s="25">
        <f>('Raw Price Data'!B187-'Raw Price Data'!B186)/'Raw Price Data'!B186</f>
        <v>-9.972471822573041E-3</v>
      </c>
      <c r="C187" s="25">
        <f>('Raw Price Data'!C187-'Raw Price Data'!C186)/'Raw Price Data'!C186</f>
        <v>1.8982295845408181E-3</v>
      </c>
      <c r="D187" s="25">
        <f>('Raw Price Data'!D187-'Raw Price Data'!D186)/'Raw Price Data'!D186</f>
        <v>-6.70003850596846E-3</v>
      </c>
      <c r="E187" s="25">
        <f>('Raw Price Data'!E187-'Raw Price Data'!E186)/'Raw Price Data'!E186</f>
        <v>-1.6046292116386904E-2</v>
      </c>
      <c r="F187" s="25">
        <f>('Raw Price Data'!F187-'Raw Price Data'!F186)/'Raw Price Data'!F186</f>
        <v>-1.8531389004965131E-2</v>
      </c>
    </row>
    <row r="188" spans="1:6" ht="15" customHeight="1" x14ac:dyDescent="0.3">
      <c r="A188" s="19">
        <v>43726</v>
      </c>
      <c r="B188" s="26">
        <f>('Raw Price Data'!B188-'Raw Price Data'!B187)/'Raw Price Data'!B187</f>
        <v>7.5546928282881152E-3</v>
      </c>
      <c r="C188" s="26">
        <f>('Raw Price Data'!C188-'Raw Price Data'!C187)/'Raw Price Data'!C187</f>
        <v>2.5148097156787168E-2</v>
      </c>
      <c r="D188" s="26">
        <f>('Raw Price Data'!D188-'Raw Price Data'!D187)/'Raw Price Data'!D187</f>
        <v>1.9925569855791764E-2</v>
      </c>
      <c r="E188" s="26">
        <f>('Raw Price Data'!E188-'Raw Price Data'!E187)/'Raw Price Data'!E187</f>
        <v>2.5734067400734136E-2</v>
      </c>
      <c r="F188" s="26">
        <f>('Raw Price Data'!F188-'Raw Price Data'!F187)/'Raw Price Data'!F187</f>
        <v>-6.6617763889957279E-4</v>
      </c>
    </row>
    <row r="189" spans="1:6" ht="15" customHeight="1" x14ac:dyDescent="0.3">
      <c r="A189" s="21">
        <v>43727</v>
      </c>
      <c r="B189" s="25">
        <f>('Raw Price Data'!B189-'Raw Price Data'!B188)/'Raw Price Data'!B188</f>
        <v>7.0814891955219223E-3</v>
      </c>
      <c r="C189" s="25">
        <f>('Raw Price Data'!C189-'Raw Price Data'!C188)/'Raw Price Data'!C188</f>
        <v>-8.8465045218204946E-3</v>
      </c>
      <c r="D189" s="25">
        <f>('Raw Price Data'!D189-'Raw Price Data'!D188)/'Raw Price Data'!D188</f>
        <v>-1.3302926643861648E-2</v>
      </c>
      <c r="E189" s="25">
        <f>('Raw Price Data'!E189-'Raw Price Data'!E188)/'Raw Price Data'!E188</f>
        <v>1.8338551620379746E-2</v>
      </c>
      <c r="F189" s="25">
        <f>('Raw Price Data'!F189-'Raw Price Data'!F188)/'Raw Price Data'!F188</f>
        <v>-7.929226286894726E-3</v>
      </c>
    </row>
    <row r="190" spans="1:6" ht="15" customHeight="1" x14ac:dyDescent="0.3">
      <c r="A190" s="19">
        <v>43728</v>
      </c>
      <c r="B190" s="26">
        <f>('Raw Price Data'!B190-'Raw Price Data'!B189)/'Raw Price Data'!B189</f>
        <v>-7.7038415800631255E-3</v>
      </c>
      <c r="C190" s="26">
        <f>('Raw Price Data'!C190-'Raw Price Data'!C189)/'Raw Price Data'!C189</f>
        <v>4.0400775694893337E-3</v>
      </c>
      <c r="D190" s="26">
        <f>('Raw Price Data'!D190-'Raw Price Data'!D189)/'Raw Price Data'!D189</f>
        <v>-5.6240369799693234E-3</v>
      </c>
      <c r="E190" s="26">
        <f>('Raw Price Data'!E190-'Raw Price Data'!E189)/'Raw Price Data'!E189</f>
        <v>1.3017089921737706E-2</v>
      </c>
      <c r="F190" s="26">
        <f>('Raw Price Data'!F190-'Raw Price Data'!F189)/'Raw Price Data'!F189</f>
        <v>-1.0335169277227775E-2</v>
      </c>
    </row>
    <row r="191" spans="1:6" ht="15" customHeight="1" x14ac:dyDescent="0.3">
      <c r="A191" s="21">
        <v>43731</v>
      </c>
      <c r="B191" s="25">
        <f>('Raw Price Data'!B191-'Raw Price Data'!B190)/'Raw Price Data'!B190</f>
        <v>5.8878699458108788E-3</v>
      </c>
      <c r="C191" s="25">
        <f>('Raw Price Data'!C191-'Raw Price Data'!C190)/'Raw Price Data'!C190</f>
        <v>-1.446099369807731E-2</v>
      </c>
      <c r="D191" s="25">
        <f>('Raw Price Data'!D191-'Raw Price Data'!D190)/'Raw Price Data'!D190</f>
        <v>-6.3531417060509274E-3</v>
      </c>
      <c r="E191" s="25">
        <f>('Raw Price Data'!E191-'Raw Price Data'!E190)/'Raw Price Data'!E190</f>
        <v>-1.2889239258967213E-2</v>
      </c>
      <c r="F191" s="25">
        <f>('Raw Price Data'!F191-'Raw Price Data'!F190)/'Raw Price Data'!F190</f>
        <v>-1.2310825052834228E-2</v>
      </c>
    </row>
    <row r="192" spans="1:6" ht="15" customHeight="1" x14ac:dyDescent="0.3">
      <c r="A192" s="19">
        <v>43732</v>
      </c>
      <c r="B192" s="26">
        <f>('Raw Price Data'!B192-'Raw Price Data'!B191)/'Raw Price Data'!B191</f>
        <v>1.4348614348614253E-2</v>
      </c>
      <c r="C192" s="26">
        <f>('Raw Price Data'!C192-'Raw Price Data'!C191)/'Raw Price Data'!C191</f>
        <v>-8.0777879674877821E-3</v>
      </c>
      <c r="D192" s="26">
        <f>('Raw Price Data'!D192-'Raw Price Data'!D191)/'Raw Price Data'!D191</f>
        <v>1.567251461988297E-2</v>
      </c>
      <c r="E192" s="26">
        <f>('Raw Price Data'!E192-'Raw Price Data'!E191)/'Raw Price Data'!E191</f>
        <v>4.3924449946092488E-3</v>
      </c>
      <c r="F192" s="26">
        <f>('Raw Price Data'!F192-'Raw Price Data'!F191)/'Raw Price Data'!F191</f>
        <v>4.6952519264888528E-4</v>
      </c>
    </row>
    <row r="193" spans="1:6" ht="15" customHeight="1" x14ac:dyDescent="0.3">
      <c r="A193" s="21">
        <v>43733</v>
      </c>
      <c r="B193" s="25">
        <f>('Raw Price Data'!B193-'Raw Price Data'!B192)/'Raw Price Data'!B192</f>
        <v>-9.5495863548156704E-3</v>
      </c>
      <c r="C193" s="25">
        <f>('Raw Price Data'!C193-'Raw Price Data'!C192)/'Raw Price Data'!C192</f>
        <v>5.6232427366447232E-3</v>
      </c>
      <c r="D193" s="25">
        <f>('Raw Price Data'!D193-'Raw Price Data'!D192)/'Raw Price Data'!D192</f>
        <v>1.220635651773379E-2</v>
      </c>
      <c r="E193" s="25">
        <f>('Raw Price Data'!E193-'Raw Price Data'!E192)/'Raw Price Data'!E192</f>
        <v>2.1428855404921936E-2</v>
      </c>
      <c r="F193" s="25">
        <f>('Raw Price Data'!F193-'Raw Price Data'!F192)/'Raw Price Data'!F192</f>
        <v>-4.4282323475018327E-3</v>
      </c>
    </row>
    <row r="194" spans="1:6" ht="15" customHeight="1" x14ac:dyDescent="0.3">
      <c r="A194" s="19">
        <v>43734</v>
      </c>
      <c r="B194" s="26">
        <f>('Raw Price Data'!B194-'Raw Price Data'!B193)/'Raw Price Data'!B193</f>
        <v>5.6200051559680509E-3</v>
      </c>
      <c r="C194" s="26">
        <f>('Raw Price Data'!C194-'Raw Price Data'!C193)/'Raw Price Data'!C193</f>
        <v>-2.0490667741366694E-2</v>
      </c>
      <c r="D194" s="26">
        <f>('Raw Price Data'!D194-'Raw Price Data'!D193)/'Raw Price Data'!D193</f>
        <v>7.5843761850583481E-4</v>
      </c>
      <c r="E194" s="26">
        <f>('Raw Price Data'!E194-'Raw Price Data'!E193)/'Raw Price Data'!E193</f>
        <v>-3.9078312315117623E-2</v>
      </c>
      <c r="F194" s="26">
        <f>('Raw Price Data'!F194-'Raw Price Data'!F193)/'Raw Price Data'!F193</f>
        <v>1.0231260119732679E-2</v>
      </c>
    </row>
    <row r="195" spans="1:6" ht="15" customHeight="1" x14ac:dyDescent="0.3">
      <c r="A195" s="21">
        <v>43735</v>
      </c>
      <c r="B195" s="25">
        <f>('Raw Price Data'!B195-'Raw Price Data'!B194)/'Raw Price Data'!B194</f>
        <v>3.58900738310201E-4</v>
      </c>
      <c r="C195" s="25">
        <f>('Raw Price Data'!C195-'Raw Price Data'!C194)/'Raw Price Data'!C194</f>
        <v>2.1292189006750169E-2</v>
      </c>
      <c r="D195" s="25">
        <f>('Raw Price Data'!D195-'Raw Price Data'!D194)/'Raw Price Data'!D194</f>
        <v>5.0018946570672606E-3</v>
      </c>
      <c r="E195" s="25">
        <f>('Raw Price Data'!E195-'Raw Price Data'!E194)/'Raw Price Data'!E194</f>
        <v>4.3745949449125587E-3</v>
      </c>
      <c r="F195" s="25">
        <f>('Raw Price Data'!F195-'Raw Price Data'!F194)/'Raw Price Data'!F194</f>
        <v>-5.786189590939665E-3</v>
      </c>
    </row>
    <row r="196" spans="1:6" ht="15" customHeight="1" x14ac:dyDescent="0.3">
      <c r="A196" s="19">
        <v>43738</v>
      </c>
      <c r="B196" s="26">
        <f>('Raw Price Data'!B196-'Raw Price Data'!B195)/'Raw Price Data'!B195</f>
        <v>3.172569319870841E-2</v>
      </c>
      <c r="C196" s="26">
        <f>('Raw Price Data'!C196-'Raw Price Data'!C195)/'Raw Price Data'!C195</f>
        <v>-3.3248983394392577E-2</v>
      </c>
      <c r="D196" s="26">
        <f>('Raw Price Data'!D196-'Raw Price Data'!D195)/'Raw Price Data'!D195</f>
        <v>2.5789910263177642E-2</v>
      </c>
      <c r="E196" s="26">
        <f>('Raw Price Data'!E196-'Raw Price Data'!E195)/'Raw Price Data'!E195</f>
        <v>2.7020487175350816E-2</v>
      </c>
      <c r="F196" s="26">
        <f>('Raw Price Data'!F196-'Raw Price Data'!F195)/'Raw Price Data'!F195</f>
        <v>-1.6543393720537893E-2</v>
      </c>
    </row>
    <row r="197" spans="1:6" ht="15" customHeight="1" x14ac:dyDescent="0.3">
      <c r="A197" s="21">
        <v>43739</v>
      </c>
      <c r="B197" s="25">
        <f>('Raw Price Data'!B197-'Raw Price Data'!B196)/'Raw Price Data'!B196</f>
        <v>-2.5534028812717411E-2</v>
      </c>
      <c r="C197" s="25">
        <f>('Raw Price Data'!C197-'Raw Price Data'!C196)/'Raw Price Data'!C196</f>
        <v>6.2898814949863798E-3</v>
      </c>
      <c r="D197" s="25">
        <f>('Raw Price Data'!D197-'Raw Price Data'!D196)/'Raw Price Data'!D196</f>
        <v>-2.7346908770124228E-2</v>
      </c>
      <c r="E197" s="25">
        <f>('Raw Price Data'!E197-'Raw Price Data'!E196)/'Raw Price Data'!E196</f>
        <v>3.4712950600801082E-2</v>
      </c>
      <c r="F197" s="25">
        <f>('Raw Price Data'!F197-'Raw Price Data'!F196)/'Raw Price Data'!F196</f>
        <v>-8.6013303176533332E-3</v>
      </c>
    </row>
    <row r="198" spans="1:6" ht="15" customHeight="1" x14ac:dyDescent="0.3">
      <c r="A198" s="19">
        <v>43740</v>
      </c>
      <c r="B198" s="26">
        <f>('Raw Price Data'!B198-'Raw Price Data'!B197)/'Raw Price Data'!B197</f>
        <v>9.9918433931484914E-3</v>
      </c>
      <c r="C198" s="26">
        <f>('Raw Price Data'!C198-'Raw Price Data'!C197)/'Raw Price Data'!C197</f>
        <v>-8.0752656167095999E-3</v>
      </c>
      <c r="D198" s="26">
        <f>('Raw Price Data'!D198-'Raw Price Data'!D197)/'Raw Price Data'!D197</f>
        <v>1.2168392411760149E-2</v>
      </c>
      <c r="E198" s="26">
        <f>('Raw Price Data'!E198-'Raw Price Data'!E197)/'Raw Price Data'!E197</f>
        <v>-1.7495256166982973E-2</v>
      </c>
      <c r="F198" s="26">
        <f>('Raw Price Data'!F198-'Raw Price Data'!F197)/'Raw Price Data'!F197</f>
        <v>6.5036056817793428E-4</v>
      </c>
    </row>
    <row r="199" spans="1:6" ht="15" customHeight="1" x14ac:dyDescent="0.3">
      <c r="A199" s="21">
        <v>43741</v>
      </c>
      <c r="B199" s="25">
        <f>('Raw Price Data'!B199-'Raw Price Data'!B198)/'Raw Price Data'!B198</f>
        <v>-3.937007874015754E-3</v>
      </c>
      <c r="C199" s="25">
        <f>('Raw Price Data'!C199-'Raw Price Data'!C198)/'Raw Price Data'!C198</f>
        <v>2.6862711842294135E-2</v>
      </c>
      <c r="D199" s="25">
        <f>('Raw Price Data'!D199-'Raw Price Data'!D198)/'Raw Price Data'!D198</f>
        <v>1.7398446833930801E-2</v>
      </c>
      <c r="E199" s="25">
        <f>('Raw Price Data'!E199-'Raw Price Data'!E198)/'Raw Price Data'!E198</f>
        <v>5.7167136621731939E-3</v>
      </c>
      <c r="F199" s="25">
        <f>('Raw Price Data'!F199-'Raw Price Data'!F198)/'Raw Price Data'!F198</f>
        <v>-2.0410138945543995E-2</v>
      </c>
    </row>
    <row r="200" spans="1:6" ht="15" customHeight="1" x14ac:dyDescent="0.3">
      <c r="A200" s="19">
        <v>43742</v>
      </c>
      <c r="B200" s="26">
        <f>('Raw Price Data'!B200-'Raw Price Data'!B199)/'Raw Price Data'!B199</f>
        <v>-1.0641532380663218E-3</v>
      </c>
      <c r="C200" s="26">
        <f>('Raw Price Data'!C200-'Raw Price Data'!C199)/'Raw Price Data'!C199</f>
        <v>1.4026528434212485E-2</v>
      </c>
      <c r="D200" s="26">
        <f>('Raw Price Data'!D200-'Raw Price Data'!D199)/'Raw Price Data'!D199</f>
        <v>1.9522935779816487E-2</v>
      </c>
      <c r="E200" s="26">
        <f>('Raw Price Data'!E200-'Raw Price Data'!E199)/'Raw Price Data'!E199</f>
        <v>2.0202020202020166E-2</v>
      </c>
      <c r="F200" s="26">
        <f>('Raw Price Data'!F200-'Raw Price Data'!F199)/'Raw Price Data'!F199</f>
        <v>1.5257636001342638E-2</v>
      </c>
    </row>
    <row r="201" spans="1:6" ht="15" customHeight="1" x14ac:dyDescent="0.3">
      <c r="A201" s="21">
        <v>43745</v>
      </c>
      <c r="B201" s="25">
        <f>('Raw Price Data'!B201-'Raw Price Data'!B200)/'Raw Price Data'!B200</f>
        <v>2.668289960939477E-2</v>
      </c>
      <c r="C201" s="25">
        <f>('Raw Price Data'!C201-'Raw Price Data'!C200)/'Raw Price Data'!C200</f>
        <v>-3.6159975943467162E-2</v>
      </c>
      <c r="D201" s="25">
        <f>('Raw Price Data'!D201-'Raw Price Data'!D200)/'Raw Price Data'!D200</f>
        <v>1.3030019437045586E-2</v>
      </c>
      <c r="E201" s="25">
        <f>('Raw Price Data'!E201-'Raw Price Data'!E200)/'Raw Price Data'!E200</f>
        <v>2.3265444415163976E-2</v>
      </c>
      <c r="F201" s="25">
        <f>('Raw Price Data'!F201-'Raw Price Data'!F200)/'Raw Price Data'!F200</f>
        <v>-2.3183688871594491E-3</v>
      </c>
    </row>
    <row r="202" spans="1:6" ht="15" customHeight="1" x14ac:dyDescent="0.3">
      <c r="A202" s="19">
        <v>43746</v>
      </c>
      <c r="B202" s="26">
        <f>('Raw Price Data'!B202-'Raw Price Data'!B201)/'Raw Price Data'!B201</f>
        <v>1.9763822323247426E-4</v>
      </c>
      <c r="C202" s="26">
        <f>('Raw Price Data'!C202-'Raw Price Data'!C201)/'Raw Price Data'!C201</f>
        <v>-4.2131399006837697E-2</v>
      </c>
      <c r="D202" s="26">
        <f>('Raw Price Data'!D202-'Raw Price Data'!D201)/'Raw Price Data'!D201</f>
        <v>-1.1796475270039771E-2</v>
      </c>
      <c r="E202" s="26">
        <f>('Raw Price Data'!E202-'Raw Price Data'!E201)/'Raw Price Data'!E201</f>
        <v>-3.4288657518119249E-2</v>
      </c>
      <c r="F202" s="26">
        <f>('Raw Price Data'!F202-'Raw Price Data'!F201)/'Raw Price Data'!F201</f>
        <v>-1.2019576888543577E-3</v>
      </c>
    </row>
    <row r="203" spans="1:6" ht="15" customHeight="1" x14ac:dyDescent="0.3">
      <c r="A203" s="21">
        <v>43747</v>
      </c>
      <c r="B203" s="25">
        <f>('Raw Price Data'!B203-'Raw Price Data'!B202)/'Raw Price Data'!B202</f>
        <v>3.1368868250753315E-2</v>
      </c>
      <c r="C203" s="25">
        <f>('Raw Price Data'!C203-'Raw Price Data'!C202)/'Raw Price Data'!C202</f>
        <v>-1.7072674221347683E-2</v>
      </c>
      <c r="D203" s="25">
        <f>('Raw Price Data'!D203-'Raw Price Data'!D202)/'Raw Price Data'!D202</f>
        <v>-8.0540773766719729E-3</v>
      </c>
      <c r="E203" s="25">
        <f>('Raw Price Data'!E203-'Raw Price Data'!E202)/'Raw Price Data'!E202</f>
        <v>-3.7487142367328294E-2</v>
      </c>
      <c r="F203" s="25">
        <f>('Raw Price Data'!F203-'Raw Price Data'!F202)/'Raw Price Data'!F202</f>
        <v>1.8105928395195389E-3</v>
      </c>
    </row>
    <row r="204" spans="1:6" ht="15" customHeight="1" x14ac:dyDescent="0.3">
      <c r="A204" s="19">
        <v>43748</v>
      </c>
      <c r="B204" s="26">
        <f>('Raw Price Data'!B204-'Raw Price Data'!B203)/'Raw Price Data'!B203</f>
        <v>-5.8434715968962488E-3</v>
      </c>
      <c r="C204" s="26">
        <f>('Raw Price Data'!C204-'Raw Price Data'!C203)/'Raw Price Data'!C203</f>
        <v>-8.2565893934582659E-3</v>
      </c>
      <c r="D204" s="26">
        <f>('Raw Price Data'!D204-'Raw Price Data'!D203)/'Raw Price Data'!D203</f>
        <v>1.0801797883137662E-2</v>
      </c>
      <c r="E204" s="26">
        <f>('Raw Price Data'!E204-'Raw Price Data'!E203)/'Raw Price Data'!E203</f>
        <v>3.3643380170195699E-3</v>
      </c>
      <c r="F204" s="26">
        <f>('Raw Price Data'!F204-'Raw Price Data'!F203)/'Raw Price Data'!F203</f>
        <v>7.8562064438976974E-3</v>
      </c>
    </row>
    <row r="205" spans="1:6" ht="15" customHeight="1" x14ac:dyDescent="0.3">
      <c r="A205" s="21">
        <v>43749</v>
      </c>
      <c r="B205" s="25">
        <f>('Raw Price Data'!B205-'Raw Price Data'!B204)/'Raw Price Data'!B204</f>
        <v>5.2033147041818462E-3</v>
      </c>
      <c r="C205" s="25">
        <f>('Raw Price Data'!C205-'Raw Price Data'!C204)/'Raw Price Data'!C204</f>
        <v>-2.7426248451181468E-3</v>
      </c>
      <c r="D205" s="25">
        <f>('Raw Price Data'!D205-'Raw Price Data'!D204)/'Raw Price Data'!D204</f>
        <v>-8.8933515025461461E-3</v>
      </c>
      <c r="E205" s="25">
        <f>('Raw Price Data'!E205-'Raw Price Data'!E204)/'Raw Price Data'!E204</f>
        <v>9.9013806706114045E-3</v>
      </c>
      <c r="F205" s="25">
        <f>('Raw Price Data'!F205-'Raw Price Data'!F204)/'Raw Price Data'!F204</f>
        <v>7.7868697874523213E-3</v>
      </c>
    </row>
    <row r="206" spans="1:6" ht="15" customHeight="1" x14ac:dyDescent="0.3">
      <c r="A206" s="19">
        <v>43752</v>
      </c>
      <c r="B206" s="26">
        <f>('Raw Price Data'!B206-'Raw Price Data'!B205)/'Raw Price Data'!B205</f>
        <v>-6.5184049079753895E-3</v>
      </c>
      <c r="C206" s="26">
        <f>('Raw Price Data'!C206-'Raw Price Data'!C205)/'Raw Price Data'!C205</f>
        <v>1.1307795398703727E-3</v>
      </c>
      <c r="D206" s="26">
        <f>('Raw Price Data'!D206-'Raw Price Data'!D205)/'Raw Price Data'!D205</f>
        <v>-2.6774730443592486E-3</v>
      </c>
      <c r="E206" s="26">
        <f>('Raw Price Data'!E206-'Raw Price Data'!E205)/'Raw Price Data'!E205</f>
        <v>-1.8749267606733714E-3</v>
      </c>
      <c r="F206" s="26">
        <f>('Raw Price Data'!F206-'Raw Price Data'!F205)/'Raw Price Data'!F205</f>
        <v>-8.268445465433337E-3</v>
      </c>
    </row>
    <row r="207" spans="1:6" ht="15" customHeight="1" x14ac:dyDescent="0.3">
      <c r="A207" s="21">
        <v>43753</v>
      </c>
      <c r="B207" s="25">
        <f>('Raw Price Data'!B207-'Raw Price Data'!B206)/'Raw Price Data'!B206</f>
        <v>-9.2145889617907973E-3</v>
      </c>
      <c r="C207" s="25">
        <f>('Raw Price Data'!C207-'Raw Price Data'!C206)/'Raw Price Data'!C206</f>
        <v>1.2466358958626824E-2</v>
      </c>
      <c r="D207" s="25">
        <f>('Raw Price Data'!D207-'Raw Price Data'!D206)/'Raw Price Data'!D206</f>
        <v>-2.3363807865331584E-2</v>
      </c>
      <c r="E207" s="25">
        <f>('Raw Price Data'!E207-'Raw Price Data'!E206)/'Raw Price Data'!E206</f>
        <v>-5.7136148397448749E-3</v>
      </c>
      <c r="F207" s="25">
        <f>('Raw Price Data'!F207-'Raw Price Data'!F206)/'Raw Price Data'!F206</f>
        <v>-7.8318476802426169E-3</v>
      </c>
    </row>
    <row r="208" spans="1:6" ht="15" customHeight="1" x14ac:dyDescent="0.3">
      <c r="A208" s="19">
        <v>43754</v>
      </c>
      <c r="B208" s="26">
        <f>('Raw Price Data'!B208-'Raw Price Data'!B207)/'Raw Price Data'!B207</f>
        <v>1.1686224862443838E-3</v>
      </c>
      <c r="C208" s="26">
        <f>('Raw Price Data'!C208-'Raw Price Data'!C207)/'Raw Price Data'!C207</f>
        <v>-2.3496357100555122E-2</v>
      </c>
      <c r="D208" s="26">
        <f>('Raw Price Data'!D208-'Raw Price Data'!D207)/'Raw Price Data'!D207</f>
        <v>-1.8350668647845462E-2</v>
      </c>
      <c r="E208" s="26">
        <f>('Raw Price Data'!E208-'Raw Price Data'!E207)/'Raw Price Data'!E207</f>
        <v>2.4638879049080926E-2</v>
      </c>
      <c r="F208" s="26">
        <f>('Raw Price Data'!F208-'Raw Price Data'!F207)/'Raw Price Data'!F207</f>
        <v>2.2662387884510811E-2</v>
      </c>
    </row>
    <row r="209" spans="1:6" ht="15" customHeight="1" x14ac:dyDescent="0.3">
      <c r="A209" s="21">
        <v>43755</v>
      </c>
      <c r="B209" s="25">
        <f>('Raw Price Data'!B209-'Raw Price Data'!B208)/'Raw Price Data'!B208</f>
        <v>-3.599046738971884E-3</v>
      </c>
      <c r="C209" s="25">
        <f>('Raw Price Data'!C209-'Raw Price Data'!C208)/'Raw Price Data'!C208</f>
        <v>-3.1156119095640446E-2</v>
      </c>
      <c r="D209" s="25">
        <f>('Raw Price Data'!D209-'Raw Price Data'!D208)/'Raw Price Data'!D208</f>
        <v>5.8275940361765706E-3</v>
      </c>
      <c r="E209" s="25">
        <f>('Raw Price Data'!E209-'Raw Price Data'!E208)/'Raw Price Data'!E208</f>
        <v>2.8387047209311428E-2</v>
      </c>
      <c r="F209" s="25">
        <f>('Raw Price Data'!F209-'Raw Price Data'!F208)/'Raw Price Data'!F208</f>
        <v>-2.3566840835041569E-2</v>
      </c>
    </row>
    <row r="210" spans="1:6" ht="15" customHeight="1" x14ac:dyDescent="0.3">
      <c r="A210" s="19">
        <v>43756</v>
      </c>
      <c r="B210" s="26">
        <f>('Raw Price Data'!B210-'Raw Price Data'!B209)/'Raw Price Data'!B209</f>
        <v>3.1239322497192677E-3</v>
      </c>
      <c r="C210" s="26">
        <f>('Raw Price Data'!C210-'Raw Price Data'!C209)/'Raw Price Data'!C209</f>
        <v>5.0515343853724266E-3</v>
      </c>
      <c r="D210" s="26">
        <f>('Raw Price Data'!D210-'Raw Price Data'!D209)/'Raw Price Data'!D209</f>
        <v>-6.2452972159519372E-3</v>
      </c>
      <c r="E210" s="26">
        <f>('Raw Price Data'!E210-'Raw Price Data'!E209)/'Raw Price Data'!E209</f>
        <v>-1.0720155386224429E-2</v>
      </c>
      <c r="F210" s="26">
        <f>('Raw Price Data'!F210-'Raw Price Data'!F209)/'Raw Price Data'!F209</f>
        <v>-1.1153184387478733E-2</v>
      </c>
    </row>
    <row r="211" spans="1:6" ht="15" customHeight="1" x14ac:dyDescent="0.3">
      <c r="A211" s="21">
        <v>43759</v>
      </c>
      <c r="B211" s="25">
        <f>('Raw Price Data'!B211-'Raw Price Data'!B210)/'Raw Price Data'!B210</f>
        <v>-2.8855043550192101E-2</v>
      </c>
      <c r="C211" s="25">
        <f>('Raw Price Data'!C211-'Raw Price Data'!C210)/'Raw Price Data'!C210</f>
        <v>-5.7793421109807635E-3</v>
      </c>
      <c r="D211" s="25">
        <f>('Raw Price Data'!D211-'Raw Price Data'!D210)/'Raw Price Data'!D210</f>
        <v>-1.1584765654577127E-2</v>
      </c>
      <c r="E211" s="25">
        <f>('Raw Price Data'!E211-'Raw Price Data'!E210)/'Raw Price Data'!E210</f>
        <v>3.4736643383045458E-3</v>
      </c>
      <c r="F211" s="25">
        <f>('Raw Price Data'!F211-'Raw Price Data'!F210)/'Raw Price Data'!F210</f>
        <v>-9.7259311008241738E-3</v>
      </c>
    </row>
    <row r="212" spans="1:6" ht="15" customHeight="1" x14ac:dyDescent="0.3">
      <c r="A212" s="19">
        <v>43760</v>
      </c>
      <c r="B212" s="26">
        <f>('Raw Price Data'!B212-'Raw Price Data'!B211)/'Raw Price Data'!B211</f>
        <v>2.8058923739853664E-2</v>
      </c>
      <c r="C212" s="26">
        <f>('Raw Price Data'!C212-'Raw Price Data'!C211)/'Raw Price Data'!C211</f>
        <v>-1.2237762237762703E-3</v>
      </c>
      <c r="D212" s="26">
        <f>('Raw Price Data'!D212-'Raw Price Data'!D211)/'Raw Price Data'!D211</f>
        <v>-2.5279607783053786E-3</v>
      </c>
      <c r="E212" s="26">
        <f>('Raw Price Data'!E212-'Raw Price Data'!E211)/'Raw Price Data'!E211</f>
        <v>-2.1409489408134846E-2</v>
      </c>
      <c r="F212" s="26">
        <f>('Raw Price Data'!F212-'Raw Price Data'!F211)/'Raw Price Data'!F211</f>
        <v>1.0553958657544762E-2</v>
      </c>
    </row>
    <row r="213" spans="1:6" ht="15" customHeight="1" x14ac:dyDescent="0.3">
      <c r="A213" s="21">
        <v>43761</v>
      </c>
      <c r="B213" s="25">
        <f>('Raw Price Data'!B213-'Raw Price Data'!B212)/'Raw Price Data'!B212</f>
        <v>-1.9982454430256193E-3</v>
      </c>
      <c r="C213" s="25">
        <f>('Raw Price Data'!C213-'Raw Price Data'!C212)/'Raw Price Data'!C212</f>
        <v>-1.0735748876830474E-2</v>
      </c>
      <c r="D213" s="25">
        <f>('Raw Price Data'!D213-'Raw Price Data'!D212)/'Raw Price Data'!D212</f>
        <v>5.0687351201904353E-3</v>
      </c>
      <c r="E213" s="25">
        <f>('Raw Price Data'!E213-'Raw Price Data'!E212)/'Raw Price Data'!E212</f>
        <v>3.3297446939403362E-2</v>
      </c>
      <c r="F213" s="25">
        <f>('Raw Price Data'!F213-'Raw Price Data'!F212)/'Raw Price Data'!F212</f>
        <v>3.5137945305549131E-3</v>
      </c>
    </row>
    <row r="214" spans="1:6" ht="15" customHeight="1" x14ac:dyDescent="0.3">
      <c r="A214" s="19">
        <v>43762</v>
      </c>
      <c r="B214" s="26">
        <f>('Raw Price Data'!B214-'Raw Price Data'!B213)/'Raw Price Data'!B213</f>
        <v>2.4466474581237439E-2</v>
      </c>
      <c r="C214" s="26">
        <f>('Raw Price Data'!C214-'Raw Price Data'!C213)/'Raw Price Data'!C213</f>
        <v>-2.4476555588323233E-3</v>
      </c>
      <c r="D214" s="26">
        <f>('Raw Price Data'!D214-'Raw Price Data'!D213)/'Raw Price Data'!D213</f>
        <v>-3.667761901123391E-3</v>
      </c>
      <c r="E214" s="26">
        <f>('Raw Price Data'!E214-'Raw Price Data'!E213)/'Raw Price Data'!E213</f>
        <v>-2.6084691523405486E-2</v>
      </c>
      <c r="F214" s="26">
        <f>('Raw Price Data'!F214-'Raw Price Data'!F213)/'Raw Price Data'!F213</f>
        <v>3.9074013072349324E-3</v>
      </c>
    </row>
    <row r="215" spans="1:6" ht="15" customHeight="1" x14ac:dyDescent="0.3">
      <c r="A215" s="21">
        <v>43763</v>
      </c>
      <c r="B215" s="25">
        <f>('Raw Price Data'!B215-'Raw Price Data'!B214)/'Raw Price Data'!B214</f>
        <v>-1.3633330155400962E-2</v>
      </c>
      <c r="C215" s="25">
        <f>('Raw Price Data'!C215-'Raw Price Data'!C214)/'Raw Price Data'!C214</f>
        <v>2.6812900937121215E-2</v>
      </c>
      <c r="D215" s="25">
        <f>('Raw Price Data'!D215-'Raw Price Data'!D214)/'Raw Price Data'!D214</f>
        <v>3.067719917171606E-3</v>
      </c>
      <c r="E215" s="25">
        <f>('Raw Price Data'!E215-'Raw Price Data'!E214)/'Raw Price Data'!E214</f>
        <v>-1.9753180758797294E-2</v>
      </c>
      <c r="F215" s="25">
        <f>('Raw Price Data'!F215-'Raw Price Data'!F214)/'Raw Price Data'!F214</f>
        <v>-9.5621013092706091E-3</v>
      </c>
    </row>
    <row r="216" spans="1:6" ht="15" customHeight="1" x14ac:dyDescent="0.3">
      <c r="A216" s="19">
        <v>43766</v>
      </c>
      <c r="B216" s="26">
        <f>('Raw Price Data'!B216-'Raw Price Data'!B215)/'Raw Price Data'!B215</f>
        <v>4.3978349120434232E-3</v>
      </c>
      <c r="C216" s="26">
        <f>('Raw Price Data'!C216-'Raw Price Data'!C215)/'Raw Price Data'!C215</f>
        <v>-2.8041688259342296E-2</v>
      </c>
      <c r="D216" s="26">
        <f>('Raw Price Data'!D216-'Raw Price Data'!D215)/'Raw Price Data'!D215</f>
        <v>1.8350026760456388E-3</v>
      </c>
      <c r="E216" s="26">
        <f>('Raw Price Data'!E216-'Raw Price Data'!E215)/'Raw Price Data'!E215</f>
        <v>-1.633146242594324E-2</v>
      </c>
      <c r="F216" s="26">
        <f>('Raw Price Data'!F216-'Raw Price Data'!F215)/'Raw Price Data'!F215</f>
        <v>3.9631172686463972E-3</v>
      </c>
    </row>
    <row r="217" spans="1:6" ht="15" customHeight="1" x14ac:dyDescent="0.3">
      <c r="A217" s="21">
        <v>43767</v>
      </c>
      <c r="B217" s="25">
        <f>('Raw Price Data'!B217-'Raw Price Data'!B216)/'Raw Price Data'!B216</f>
        <v>4.4170716450945377E-2</v>
      </c>
      <c r="C217" s="25">
        <f>('Raw Price Data'!C217-'Raw Price Data'!C216)/'Raw Price Data'!C216</f>
        <v>-2.1015995260663587E-2</v>
      </c>
      <c r="D217" s="25">
        <f>('Raw Price Data'!D217-'Raw Price Data'!D216)/'Raw Price Data'!D216</f>
        <v>-3.5869648172174224E-3</v>
      </c>
      <c r="E217" s="25">
        <f>('Raw Price Data'!E217-'Raw Price Data'!E216)/'Raw Price Data'!E216</f>
        <v>-1.9336688195902823E-2</v>
      </c>
      <c r="F217" s="25">
        <f>('Raw Price Data'!F217-'Raw Price Data'!F216)/'Raw Price Data'!F216</f>
        <v>-1.0604966569248007E-2</v>
      </c>
    </row>
    <row r="218" spans="1:6" ht="15" customHeight="1" x14ac:dyDescent="0.3">
      <c r="A218" s="19">
        <v>43768</v>
      </c>
      <c r="B218" s="26">
        <f>('Raw Price Data'!B218-'Raw Price Data'!B217)/'Raw Price Data'!B217</f>
        <v>-1.1750610570941353E-2</v>
      </c>
      <c r="C218" s="26">
        <f>('Raw Price Data'!C218-'Raw Price Data'!C217)/'Raw Price Data'!C217</f>
        <v>1.1906022601776077E-2</v>
      </c>
      <c r="D218" s="26">
        <f>('Raw Price Data'!D218-'Raw Price Data'!D217)/'Raw Price Data'!D217</f>
        <v>2.2977941176471458E-4</v>
      </c>
      <c r="E218" s="26">
        <f>('Raw Price Data'!E218-'Raw Price Data'!E217)/'Raw Price Data'!E217</f>
        <v>2.4647460503454663E-2</v>
      </c>
      <c r="F218" s="26">
        <f>('Raw Price Data'!F218-'Raw Price Data'!F217)/'Raw Price Data'!F217</f>
        <v>-6.0297683607873484E-3</v>
      </c>
    </row>
    <row r="219" spans="1:6" ht="15" customHeight="1" x14ac:dyDescent="0.3">
      <c r="A219" s="21">
        <v>43769</v>
      </c>
      <c r="B219" s="25">
        <f>('Raw Price Data'!B219-'Raw Price Data'!B218)/'Raw Price Data'!B218</f>
        <v>-2.0423388976965381E-2</v>
      </c>
      <c r="C219" s="25">
        <f>('Raw Price Data'!C219-'Raw Price Data'!C218)/'Raw Price Data'!C218</f>
        <v>2.8241239086233685E-2</v>
      </c>
      <c r="D219" s="25">
        <f>('Raw Price Data'!D219-'Raw Price Data'!D218)/'Raw Price Data'!D218</f>
        <v>-1.355387089363665E-2</v>
      </c>
      <c r="E219" s="25">
        <f>('Raw Price Data'!E219-'Raw Price Data'!E218)/'Raw Price Data'!E218</f>
        <v>4.4323514334161367E-2</v>
      </c>
      <c r="F219" s="25">
        <f>('Raw Price Data'!F219-'Raw Price Data'!F218)/'Raw Price Data'!F218</f>
        <v>-8.2955308815254088E-3</v>
      </c>
    </row>
    <row r="220" spans="1:6" ht="15" customHeight="1" x14ac:dyDescent="0.3">
      <c r="A220" s="19">
        <v>43770</v>
      </c>
      <c r="B220" s="26">
        <f>('Raw Price Data'!B220-'Raw Price Data'!B219)/'Raw Price Data'!B219</f>
        <v>-7.2353389185072833E-3</v>
      </c>
      <c r="C220" s="26">
        <f>('Raw Price Data'!C220-'Raw Price Data'!C219)/'Raw Price Data'!C219</f>
        <v>-3.0242668333889632E-3</v>
      </c>
      <c r="D220" s="26">
        <f>('Raw Price Data'!D220-'Raw Price Data'!D219)/'Raw Price Data'!D219</f>
        <v>-7.5298866635615507E-3</v>
      </c>
      <c r="E220" s="26">
        <f>('Raw Price Data'!E220-'Raw Price Data'!E219)/'Raw Price Data'!E219</f>
        <v>5.3996903674055317E-3</v>
      </c>
      <c r="F220" s="26">
        <f>('Raw Price Data'!F220-'Raw Price Data'!F219)/'Raw Price Data'!F219</f>
        <v>-7.8843255316670812E-3</v>
      </c>
    </row>
    <row r="221" spans="1:6" ht="15" customHeight="1" x14ac:dyDescent="0.3">
      <c r="A221" s="21">
        <v>43773</v>
      </c>
      <c r="B221" s="25">
        <f>('Raw Price Data'!B221-'Raw Price Data'!B220)/'Raw Price Data'!B220</f>
        <v>6.8565400843882181E-3</v>
      </c>
      <c r="C221" s="25">
        <f>('Raw Price Data'!C221-'Raw Price Data'!C220)/'Raw Price Data'!C220</f>
        <v>-2.1686184719042139E-2</v>
      </c>
      <c r="D221" s="25">
        <f>('Raw Price Data'!D221-'Raw Price Data'!D220)/'Raw Price Data'!D220</f>
        <v>-2.8549080954243189E-2</v>
      </c>
      <c r="E221" s="25">
        <f>('Raw Price Data'!E221-'Raw Price Data'!E220)/'Raw Price Data'!E220</f>
        <v>-5.8589348756854292E-3</v>
      </c>
      <c r="F221" s="25">
        <f>('Raw Price Data'!F221-'Raw Price Data'!F220)/'Raw Price Data'!F220</f>
        <v>-1.1030507221143307E-2</v>
      </c>
    </row>
    <row r="222" spans="1:6" ht="15" customHeight="1" x14ac:dyDescent="0.3">
      <c r="A222" s="19">
        <v>43774</v>
      </c>
      <c r="B222" s="26">
        <f>('Raw Price Data'!B222-'Raw Price Data'!B221)/'Raw Price Data'!B221</f>
        <v>9.9528548978522948E-3</v>
      </c>
      <c r="C222" s="26">
        <f>('Raw Price Data'!C222-'Raw Price Data'!C221)/'Raw Price Data'!C221</f>
        <v>-3.4703795354938859E-2</v>
      </c>
      <c r="D222" s="26">
        <f>('Raw Price Data'!D222-'Raw Price Data'!D221)/'Raw Price Data'!D221</f>
        <v>-1.7954911433172335E-2</v>
      </c>
      <c r="E222" s="26">
        <f>('Raw Price Data'!E222-'Raw Price Data'!E221)/'Raw Price Data'!E221</f>
        <v>1.412920287117495E-2</v>
      </c>
      <c r="F222" s="26">
        <f>('Raw Price Data'!F222-'Raw Price Data'!F221)/'Raw Price Data'!F221</f>
        <v>2.7115875446655732E-3</v>
      </c>
    </row>
    <row r="223" spans="1:6" ht="15" customHeight="1" x14ac:dyDescent="0.3">
      <c r="A223" s="21">
        <v>43775</v>
      </c>
      <c r="B223" s="25">
        <f>('Raw Price Data'!B223-'Raw Price Data'!B222)/'Raw Price Data'!B222</f>
        <v>1.8200678989060661E-2</v>
      </c>
      <c r="C223" s="25">
        <f>('Raw Price Data'!C223-'Raw Price Data'!C222)/'Raw Price Data'!C222</f>
        <v>5.2043117027519605E-3</v>
      </c>
      <c r="D223" s="25">
        <f>('Raw Price Data'!D223-'Raw Price Data'!D222)/'Raw Price Data'!D222</f>
        <v>-1.8283184389604034E-2</v>
      </c>
      <c r="E223" s="25">
        <f>('Raw Price Data'!E223-'Raw Price Data'!E222)/'Raw Price Data'!E222</f>
        <v>-1.6689018030099905E-2</v>
      </c>
      <c r="F223" s="25">
        <f>('Raw Price Data'!F223-'Raw Price Data'!F222)/'Raw Price Data'!F222</f>
        <v>3.6821487059535969E-3</v>
      </c>
    </row>
    <row r="224" spans="1:6" ht="15" customHeight="1" x14ac:dyDescent="0.3">
      <c r="A224" s="19">
        <v>43776</v>
      </c>
      <c r="B224" s="26">
        <f>('Raw Price Data'!B224-'Raw Price Data'!B223)/'Raw Price Data'!B223</f>
        <v>-3.2416411966286404E-3</v>
      </c>
      <c r="C224" s="26">
        <f>('Raw Price Data'!C224-'Raw Price Data'!C223)/'Raw Price Data'!C223</f>
        <v>-2.1446897420534211E-2</v>
      </c>
      <c r="D224" s="26">
        <f>('Raw Price Data'!D224-'Raw Price Data'!D223)/'Raw Price Data'!D223</f>
        <v>-5.9295139468848656E-3</v>
      </c>
      <c r="E224" s="26">
        <f>('Raw Price Data'!E224-'Raw Price Data'!E223)/'Raw Price Data'!E223</f>
        <v>2.5761479011971556E-2</v>
      </c>
      <c r="F224" s="26">
        <f>('Raw Price Data'!F224-'Raw Price Data'!F223)/'Raw Price Data'!F223</f>
        <v>-8.9696157057657534E-3</v>
      </c>
    </row>
    <row r="225" spans="1:6" ht="15" customHeight="1" x14ac:dyDescent="0.3">
      <c r="A225" s="21">
        <v>43777</v>
      </c>
      <c r="B225" s="25">
        <f>('Raw Price Data'!B225-'Raw Price Data'!B224)/'Raw Price Data'!B224</f>
        <v>-2.1929009477792225E-2</v>
      </c>
      <c r="C225" s="25">
        <f>('Raw Price Data'!C225-'Raw Price Data'!C224)/'Raw Price Data'!C224</f>
        <v>3.896695188005328E-2</v>
      </c>
      <c r="D225" s="25">
        <f>('Raw Price Data'!D225-'Raw Price Data'!D224)/'Raw Price Data'!D224</f>
        <v>1.8230698143325227E-2</v>
      </c>
      <c r="E225" s="25">
        <f>('Raw Price Data'!E225-'Raw Price Data'!E224)/'Raw Price Data'!E224</f>
        <v>-2.2159846358399423E-4</v>
      </c>
      <c r="F225" s="25">
        <f>('Raw Price Data'!F225-'Raw Price Data'!F224)/'Raw Price Data'!F224</f>
        <v>-4.9156234709762303E-3</v>
      </c>
    </row>
    <row r="226" spans="1:6" ht="15" customHeight="1" x14ac:dyDescent="0.3">
      <c r="A226" s="19">
        <v>43780</v>
      </c>
      <c r="B226" s="26">
        <f>('Raw Price Data'!B226-'Raw Price Data'!B225)/'Raw Price Data'!B225</f>
        <v>-5.7001710051302343E-3</v>
      </c>
      <c r="C226" s="26">
        <f>('Raw Price Data'!C226-'Raw Price Data'!C225)/'Raw Price Data'!C225</f>
        <v>4.190277588890403E-2</v>
      </c>
      <c r="D226" s="26">
        <f>('Raw Price Data'!D226-'Raw Price Data'!D225)/'Raw Price Data'!D225</f>
        <v>2.4752475247525691E-4</v>
      </c>
      <c r="E226" s="26">
        <f>('Raw Price Data'!E226-'Raw Price Data'!E225)/'Raw Price Data'!E225</f>
        <v>8.4226080531955294E-3</v>
      </c>
      <c r="F226" s="26">
        <f>('Raw Price Data'!F226-'Raw Price Data'!F225)/'Raw Price Data'!F225</f>
        <v>5.1627848818298506E-3</v>
      </c>
    </row>
    <row r="227" spans="1:6" ht="15" customHeight="1" x14ac:dyDescent="0.3">
      <c r="A227" s="21">
        <v>43781</v>
      </c>
      <c r="B227" s="25">
        <f>('Raw Price Data'!B227-'Raw Price Data'!B226)/'Raw Price Data'!B226</f>
        <v>1.7532963883049951E-2</v>
      </c>
      <c r="C227" s="25">
        <f>('Raw Price Data'!C227-'Raw Price Data'!C226)/'Raw Price Data'!C226</f>
        <v>4.5830311820159071E-3</v>
      </c>
      <c r="D227" s="25">
        <f>('Raw Price Data'!D227-'Raw Price Data'!D226)/'Raw Price Data'!D226</f>
        <v>2.8045863235171922E-3</v>
      </c>
      <c r="E227" s="25">
        <f>('Raw Price Data'!E227-'Raw Price Data'!E226)/'Raw Price Data'!E226</f>
        <v>-1.2565023078613843E-2</v>
      </c>
      <c r="F227" s="25">
        <f>('Raw Price Data'!F227-'Raw Price Data'!F226)/'Raw Price Data'!F226</f>
        <v>2.017210191482531E-3</v>
      </c>
    </row>
    <row r="228" spans="1:6" ht="15" customHeight="1" x14ac:dyDescent="0.3">
      <c r="A228" s="19">
        <v>43782</v>
      </c>
      <c r="B228" s="26">
        <f>('Raw Price Data'!B228-'Raw Price Data'!B227)/'Raw Price Data'!B227</f>
        <v>6.7608807925254597E-3</v>
      </c>
      <c r="C228" s="26">
        <f>('Raw Price Data'!C228-'Raw Price Data'!C227)/'Raw Price Data'!C227</f>
        <v>9.153119856784039E-3</v>
      </c>
      <c r="D228" s="26">
        <f>('Raw Price Data'!D228-'Raw Price Data'!D227)/'Raw Price Data'!D227</f>
        <v>-1.4477255901949419E-2</v>
      </c>
      <c r="E228" s="26">
        <f>('Raw Price Data'!E228-'Raw Price Data'!E227)/'Raw Price Data'!E227</f>
        <v>-3.4130959005750912E-3</v>
      </c>
      <c r="F228" s="26">
        <f>('Raw Price Data'!F228-'Raw Price Data'!F227)/'Raw Price Data'!F227</f>
        <v>1.659928933788957E-2</v>
      </c>
    </row>
    <row r="229" spans="1:6" ht="15" customHeight="1" x14ac:dyDescent="0.3">
      <c r="A229" s="21">
        <v>43783</v>
      </c>
      <c r="B229" s="25">
        <f>('Raw Price Data'!B229-'Raw Price Data'!B228)/'Raw Price Data'!B228</f>
        <v>-2.6815277713006576E-2</v>
      </c>
      <c r="C229" s="25">
        <f>('Raw Price Data'!C229-'Raw Price Data'!C228)/'Raw Price Data'!C228</f>
        <v>-1.4735336194563271E-3</v>
      </c>
      <c r="D229" s="25">
        <f>('Raw Price Data'!D229-'Raw Price Data'!D228)/'Raw Price Data'!D228</f>
        <v>4.924463734245918E-3</v>
      </c>
      <c r="E229" s="25">
        <f>('Raw Price Data'!E229-'Raw Price Data'!E228)/'Raw Price Data'!E228</f>
        <v>-3.0115772624055299E-2</v>
      </c>
      <c r="F229" s="25">
        <f>('Raw Price Data'!F229-'Raw Price Data'!F228)/'Raw Price Data'!F228</f>
        <v>-2.6199056119562761E-3</v>
      </c>
    </row>
    <row r="230" spans="1:6" ht="15" customHeight="1" x14ac:dyDescent="0.3">
      <c r="A230" s="19">
        <v>43784</v>
      </c>
      <c r="B230" s="26">
        <f>('Raw Price Data'!B230-'Raw Price Data'!B229)/'Raw Price Data'!B229</f>
        <v>-1.4376078205865985E-4</v>
      </c>
      <c r="C230" s="26">
        <f>('Raw Price Data'!C230-'Raw Price Data'!C229)/'Raw Price Data'!C229</f>
        <v>2.0731550066621814E-2</v>
      </c>
      <c r="D230" s="26">
        <f>('Raw Price Data'!D230-'Raw Price Data'!D229)/'Raw Price Data'!D229</f>
        <v>2.7076411960132815E-2</v>
      </c>
      <c r="E230" s="26">
        <f>('Raw Price Data'!E230-'Raw Price Data'!E229)/'Raw Price Data'!E229</f>
        <v>8.4440009211626018E-4</v>
      </c>
      <c r="F230" s="26">
        <f>('Raw Price Data'!F230-'Raw Price Data'!F229)/'Raw Price Data'!F229</f>
        <v>3.9978206728964729E-3</v>
      </c>
    </row>
    <row r="231" spans="1:6" ht="15" customHeight="1" x14ac:dyDescent="0.3">
      <c r="A231" s="21">
        <v>43787</v>
      </c>
      <c r="B231" s="25">
        <f>('Raw Price Data'!B231-'Raw Price Data'!B230)/'Raw Price Data'!B230</f>
        <v>1.9698058950395329E-2</v>
      </c>
      <c r="C231" s="25">
        <f>('Raw Price Data'!C231-'Raw Price Data'!C230)/'Raw Price Data'!C230</f>
        <v>5.3337824939643399E-4</v>
      </c>
      <c r="D231" s="25">
        <f>('Raw Price Data'!D231-'Raw Price Data'!D230)/'Raw Price Data'!D230</f>
        <v>-9.7040271712752987E-4</v>
      </c>
      <c r="E231" s="25">
        <f>('Raw Price Data'!E231-'Raw Price Data'!E230)/'Raw Price Data'!E230</f>
        <v>1.7295597484276694E-2</v>
      </c>
      <c r="F231" s="25">
        <f>('Raw Price Data'!F231-'Raw Price Data'!F230)/'Raw Price Data'!F230</f>
        <v>7.8300329922630953E-3</v>
      </c>
    </row>
    <row r="232" spans="1:6" ht="15" customHeight="1" x14ac:dyDescent="0.3">
      <c r="A232" s="19">
        <v>43788</v>
      </c>
      <c r="B232" s="26">
        <f>('Raw Price Data'!B232-'Raw Price Data'!B231)/'Raw Price Data'!B231</f>
        <v>2.9751833051325498E-2</v>
      </c>
      <c r="C232" s="26">
        <f>('Raw Price Data'!C232-'Raw Price Data'!C231)/'Raw Price Data'!C231</f>
        <v>1.7115120226703986E-3</v>
      </c>
      <c r="D232" s="26">
        <f>('Raw Price Data'!D232-'Raw Price Data'!D231)/'Raw Price Data'!D231</f>
        <v>-1.2546543629593745E-2</v>
      </c>
      <c r="E232" s="26">
        <f>('Raw Price Data'!E232-'Raw Price Data'!E231)/'Raw Price Data'!E231</f>
        <v>-3.4530855354921286E-2</v>
      </c>
      <c r="F232" s="26">
        <f>('Raw Price Data'!F232-'Raw Price Data'!F231)/'Raw Price Data'!F231</f>
        <v>-1.1003195724993317E-2</v>
      </c>
    </row>
    <row r="233" spans="1:6" ht="15" customHeight="1" x14ac:dyDescent="0.3">
      <c r="A233" s="21">
        <v>43789</v>
      </c>
      <c r="B233" s="25">
        <f>('Raw Price Data'!B233-'Raw Price Data'!B232)/'Raw Price Data'!B232</f>
        <v>8.1245150394814968E-3</v>
      </c>
      <c r="C233" s="25">
        <f>('Raw Price Data'!C233-'Raw Price Data'!C232)/'Raw Price Data'!C232</f>
        <v>2.4592459806173406E-2</v>
      </c>
      <c r="D233" s="25">
        <f>('Raw Price Data'!D233-'Raw Price Data'!D232)/'Raw Price Data'!D232</f>
        <v>-1.803426510369693E-2</v>
      </c>
      <c r="E233" s="25">
        <f>('Raw Price Data'!E233-'Raw Price Data'!E232)/'Raw Price Data'!E232</f>
        <v>-1.8585763929561593E-2</v>
      </c>
      <c r="F233" s="25">
        <f>('Raw Price Data'!F233-'Raw Price Data'!F232)/'Raw Price Data'!F232</f>
        <v>-1.1976714925598535E-2</v>
      </c>
    </row>
    <row r="234" spans="1:6" ht="15" customHeight="1" x14ac:dyDescent="0.3">
      <c r="A234" s="19">
        <v>43790</v>
      </c>
      <c r="B234" s="26">
        <f>('Raw Price Data'!B234-'Raw Price Data'!B233)/'Raw Price Data'!B233</f>
        <v>4.5728256440439666E-3</v>
      </c>
      <c r="C234" s="26">
        <f>('Raw Price Data'!C234-'Raw Price Data'!C233)/'Raw Price Data'!C233</f>
        <v>1.1645708037178761E-2</v>
      </c>
      <c r="D234" s="26">
        <f>('Raw Price Data'!D234-'Raw Price Data'!D233)/'Raw Price Data'!D233</f>
        <v>4.5913682277318405E-3</v>
      </c>
      <c r="E234" s="26">
        <f>('Raw Price Data'!E234-'Raw Price Data'!E233)/'Raw Price Data'!E233</f>
        <v>-8.5538094290829748E-3</v>
      </c>
      <c r="F234" s="26">
        <f>('Raw Price Data'!F234-'Raw Price Data'!F233)/'Raw Price Data'!F233</f>
        <v>-1.5269187171492065E-2</v>
      </c>
    </row>
    <row r="235" spans="1:6" ht="15" customHeight="1" x14ac:dyDescent="0.3">
      <c r="A235" s="21">
        <v>43791</v>
      </c>
      <c r="B235" s="25">
        <f>('Raw Price Data'!B235-'Raw Price Data'!B234)/'Raw Price Data'!B234</f>
        <v>-1.6855958175590449E-2</v>
      </c>
      <c r="C235" s="25">
        <f>('Raw Price Data'!C235-'Raw Price Data'!C234)/'Raw Price Data'!C234</f>
        <v>3.8182997351780781E-2</v>
      </c>
      <c r="D235" s="25">
        <f>('Raw Price Data'!D235-'Raw Price Data'!D234)/'Raw Price Data'!D234</f>
        <v>-1.4459032740568464E-2</v>
      </c>
      <c r="E235" s="25">
        <f>('Raw Price Data'!E235-'Raw Price Data'!E234)/'Raw Price Data'!E234</f>
        <v>-5.3772070626002212E-3</v>
      </c>
      <c r="F235" s="25">
        <f>('Raw Price Data'!F235-'Raw Price Data'!F234)/'Raw Price Data'!F234</f>
        <v>4.9792111382778699E-3</v>
      </c>
    </row>
    <row r="236" spans="1:6" ht="15" customHeight="1" x14ac:dyDescent="0.3">
      <c r="A236" s="19">
        <v>43794</v>
      </c>
      <c r="B236" s="26">
        <f>('Raw Price Data'!B236-'Raw Price Data'!B235)/'Raw Price Data'!B235</f>
        <v>-1.1368845695424911E-2</v>
      </c>
      <c r="C236" s="26">
        <f>('Raw Price Data'!C236-'Raw Price Data'!C235)/'Raw Price Data'!C235</f>
        <v>-2.8280277987454149E-2</v>
      </c>
      <c r="D236" s="26">
        <f>('Raw Price Data'!D236-'Raw Price Data'!D235)/'Raw Price Data'!D235</f>
        <v>1.1635750421585243E-2</v>
      </c>
      <c r="E236" s="26">
        <f>('Raw Price Data'!E236-'Raw Price Data'!E235)/'Raw Price Data'!E235</f>
        <v>-1.2103606874849164E-3</v>
      </c>
      <c r="F236" s="26">
        <f>('Raw Price Data'!F236-'Raw Price Data'!F235)/'Raw Price Data'!F235</f>
        <v>-1.9394497297512191E-3</v>
      </c>
    </row>
    <row r="237" spans="1:6" ht="15" customHeight="1" x14ac:dyDescent="0.3">
      <c r="A237" s="21">
        <v>43795</v>
      </c>
      <c r="B237" s="25">
        <f>('Raw Price Data'!B237-'Raw Price Data'!B236)/'Raw Price Data'!B236</f>
        <v>9.737549846981729E-4</v>
      </c>
      <c r="C237" s="25">
        <f>('Raw Price Data'!C237-'Raw Price Data'!C236)/'Raw Price Data'!C236</f>
        <v>-9.2010982387999794E-3</v>
      </c>
      <c r="D237" s="25">
        <f>('Raw Price Data'!D237-'Raw Price Data'!D236)/'Raw Price Data'!D236</f>
        <v>-1.5502583763960655E-2</v>
      </c>
      <c r="E237" s="25">
        <f>('Raw Price Data'!E237-'Raw Price Data'!E236)/'Raw Price Data'!E236</f>
        <v>-3.6354823073195757E-4</v>
      </c>
      <c r="F237" s="25">
        <f>('Raw Price Data'!F237-'Raw Price Data'!F236)/'Raw Price Data'!F236</f>
        <v>3.2123386811189767E-3</v>
      </c>
    </row>
    <row r="238" spans="1:6" ht="15" customHeight="1" x14ac:dyDescent="0.3">
      <c r="A238" s="19">
        <v>43796</v>
      </c>
      <c r="B238" s="26">
        <f>('Raw Price Data'!B238-'Raw Price Data'!B237)/'Raw Price Data'!B237</f>
        <v>7.2728957242784694E-3</v>
      </c>
      <c r="C238" s="26">
        <f>('Raw Price Data'!C238-'Raw Price Data'!C237)/'Raw Price Data'!C237</f>
        <v>-1.5355916623861167E-2</v>
      </c>
      <c r="D238" s="26">
        <f>('Raw Price Data'!D238-'Raw Price Data'!D237)/'Raw Price Data'!D237</f>
        <v>-2.5736539112766729E-2</v>
      </c>
      <c r="E238" s="26">
        <f>('Raw Price Data'!E238-'Raw Price Data'!E237)/'Raw Price Data'!E237</f>
        <v>5.8188871378348798E-3</v>
      </c>
      <c r="F238" s="26">
        <f>('Raw Price Data'!F238-'Raw Price Data'!F237)/'Raw Price Data'!F237</f>
        <v>1.7302279249144577E-3</v>
      </c>
    </row>
    <row r="239" spans="1:6" ht="15" customHeight="1" x14ac:dyDescent="0.3">
      <c r="A239" s="21">
        <v>43797</v>
      </c>
      <c r="B239" s="25">
        <f>('Raw Price Data'!B239-'Raw Price Data'!B238)/'Raw Price Data'!B238</f>
        <v>8.3701250919793659E-3</v>
      </c>
      <c r="C239" s="25">
        <f>('Raw Price Data'!C239-'Raw Price Data'!C238)/'Raw Price Data'!C238</f>
        <v>1.5444386480327284E-2</v>
      </c>
      <c r="D239" s="25">
        <f>('Raw Price Data'!D239-'Raw Price Data'!D238)/'Raw Price Data'!D238</f>
        <v>7.9944386513729725E-3</v>
      </c>
      <c r="E239" s="25">
        <f>('Raw Price Data'!E239-'Raw Price Data'!E238)/'Raw Price Data'!E238</f>
        <v>-2.0087581856889216E-4</v>
      </c>
      <c r="F239" s="25">
        <f>('Raw Price Data'!F239-'Raw Price Data'!F238)/'Raw Price Data'!F238</f>
        <v>2.6621336800736867E-3</v>
      </c>
    </row>
    <row r="240" spans="1:6" ht="15" customHeight="1" x14ac:dyDescent="0.3">
      <c r="A240" s="19">
        <v>43798</v>
      </c>
      <c r="B240" s="26">
        <f>('Raw Price Data'!B240-'Raw Price Data'!B239)/'Raw Price Data'!B239</f>
        <v>-6.2938976557511423E-3</v>
      </c>
      <c r="C240" s="26">
        <f>('Raw Price Data'!C240-'Raw Price Data'!C239)/'Raw Price Data'!C239</f>
        <v>-8.1117254992091065E-3</v>
      </c>
      <c r="D240" s="26">
        <f>('Raw Price Data'!D240-'Raw Price Data'!D239)/'Raw Price Data'!D239</f>
        <v>-1.9999999999999941E-2</v>
      </c>
      <c r="E240" s="26">
        <f>('Raw Price Data'!E240-'Raw Price Data'!E239)/'Raw Price Data'!E239</f>
        <v>-3.1302740496664871E-2</v>
      </c>
      <c r="F240" s="26">
        <f>('Raw Price Data'!F240-'Raw Price Data'!F239)/'Raw Price Data'!F239</f>
        <v>7.4979669595382891E-3</v>
      </c>
    </row>
    <row r="241" spans="1:6" ht="15" customHeight="1" x14ac:dyDescent="0.3">
      <c r="A241" s="21">
        <v>43801</v>
      </c>
      <c r="B241" s="25">
        <f>('Raw Price Data'!B241-'Raw Price Data'!B240)/'Raw Price Data'!B240</f>
        <v>-1.5650816963466114E-2</v>
      </c>
      <c r="C241" s="25">
        <f>('Raw Price Data'!C241-'Raw Price Data'!C240)/'Raw Price Data'!C240</f>
        <v>1.1231207491106369E-2</v>
      </c>
      <c r="D241" s="25">
        <f>('Raw Price Data'!D241-'Raw Price Data'!D240)/'Raw Price Data'!D240</f>
        <v>9.9401829697395791E-3</v>
      </c>
      <c r="E241" s="25">
        <f>('Raw Price Data'!E241-'Raw Price Data'!E240)/'Raw Price Data'!E240</f>
        <v>6.4296677313643814E-3</v>
      </c>
      <c r="F241" s="25">
        <f>('Raw Price Data'!F241-'Raw Price Data'!F240)/'Raw Price Data'!F240</f>
        <v>-4.2412804264175845E-3</v>
      </c>
    </row>
    <row r="242" spans="1:6" ht="15" customHeight="1" x14ac:dyDescent="0.3">
      <c r="A242" s="19">
        <v>43802</v>
      </c>
      <c r="B242" s="26">
        <f>('Raw Price Data'!B242-'Raw Price Data'!B241)/'Raw Price Data'!B241</f>
        <v>-1.044435119130885E-2</v>
      </c>
      <c r="C242" s="26">
        <f>('Raw Price Data'!C242-'Raw Price Data'!C241)/'Raw Price Data'!C241</f>
        <v>-2.0029383617959071E-2</v>
      </c>
      <c r="D242" s="26">
        <f>('Raw Price Data'!D242-'Raw Price Data'!D241)/'Raw Price Data'!D241</f>
        <v>1.6723281944081542E-2</v>
      </c>
      <c r="E242" s="26">
        <f>('Raw Price Data'!E242-'Raw Price Data'!E241)/'Raw Price Data'!E241</f>
        <v>2.3205011952848055E-2</v>
      </c>
      <c r="F242" s="26">
        <f>('Raw Price Data'!F242-'Raw Price Data'!F241)/'Raw Price Data'!F241</f>
        <v>8.8168565327273705E-3</v>
      </c>
    </row>
    <row r="243" spans="1:6" ht="15" customHeight="1" x14ac:dyDescent="0.3">
      <c r="A243" s="21">
        <v>43803</v>
      </c>
      <c r="B243" s="25">
        <f>('Raw Price Data'!B243-'Raw Price Data'!B242)/'Raw Price Data'!B242</f>
        <v>-1.5737643123026921E-2</v>
      </c>
      <c r="C243" s="25">
        <f>('Raw Price Data'!C243-'Raw Price Data'!C242)/'Raw Price Data'!C242</f>
        <v>-1.0728285537445468E-3</v>
      </c>
      <c r="D243" s="25">
        <f>('Raw Price Data'!D243-'Raw Price Data'!D242)/'Raw Price Data'!D242</f>
        <v>-8.9094491561724169E-3</v>
      </c>
      <c r="E243" s="25">
        <f>('Raw Price Data'!E243-'Raw Price Data'!E242)/'Raw Price Data'!E242</f>
        <v>5.3575025176234138E-3</v>
      </c>
      <c r="F243" s="25">
        <f>('Raw Price Data'!F243-'Raw Price Data'!F242)/'Raw Price Data'!F242</f>
        <v>7.2444696075934702E-3</v>
      </c>
    </row>
    <row r="244" spans="1:6" ht="15" customHeight="1" x14ac:dyDescent="0.3">
      <c r="A244" s="19">
        <v>43804</v>
      </c>
      <c r="B244" s="26">
        <f>('Raw Price Data'!B244-'Raw Price Data'!B243)/'Raw Price Data'!B243</f>
        <v>9.2393125568481348E-3</v>
      </c>
      <c r="C244" s="26">
        <f>('Raw Price Data'!C244-'Raw Price Data'!C243)/'Raw Price Data'!C243</f>
        <v>4.1114186184201484E-2</v>
      </c>
      <c r="D244" s="26">
        <f>('Raw Price Data'!D244-'Raw Price Data'!D243)/'Raw Price Data'!D243</f>
        <v>3.6303915636615239E-3</v>
      </c>
      <c r="E244" s="26">
        <f>('Raw Price Data'!E244-'Raw Price Data'!E243)/'Raw Price Data'!E243</f>
        <v>-3.3055533295937176E-2</v>
      </c>
      <c r="F244" s="26">
        <f>('Raw Price Data'!F244-'Raw Price Data'!F243)/'Raw Price Data'!F243</f>
        <v>-1.5404495763507133E-2</v>
      </c>
    </row>
    <row r="245" spans="1:6" ht="15" customHeight="1" x14ac:dyDescent="0.3">
      <c r="A245" s="21">
        <v>43805</v>
      </c>
      <c r="B245" s="25">
        <f>('Raw Price Data'!B245-'Raw Price Data'!B244)/'Raw Price Data'!B244</f>
        <v>-3.1733232141163067E-2</v>
      </c>
      <c r="C245" s="25">
        <f>('Raw Price Data'!C245-'Raw Price Data'!C244)/'Raw Price Data'!C244</f>
        <v>2.9492283073016486E-2</v>
      </c>
      <c r="D245" s="25">
        <f>('Raw Price Data'!D245-'Raw Price Data'!D244)/'Raw Price Data'!D244</f>
        <v>2.239255878046675E-2</v>
      </c>
      <c r="E245" s="25">
        <f>('Raw Price Data'!E245-'Raw Price Data'!E244)/'Raw Price Data'!E244</f>
        <v>4.8895702979322025E-3</v>
      </c>
      <c r="F245" s="25">
        <f>('Raw Price Data'!F245-'Raw Price Data'!F244)/'Raw Price Data'!F244</f>
        <v>-2.3579084780680033E-3</v>
      </c>
    </row>
    <row r="246" spans="1:6" ht="15" customHeight="1" x14ac:dyDescent="0.3">
      <c r="A246" s="19">
        <v>43808</v>
      </c>
      <c r="B246" s="26">
        <f>('Raw Price Data'!B246-'Raw Price Data'!B245)/'Raw Price Data'!B245</f>
        <v>-4.3109782981433182E-3</v>
      </c>
      <c r="C246" s="26">
        <f>('Raw Price Data'!C246-'Raw Price Data'!C245)/'Raw Price Data'!C245</f>
        <v>-3.2539855863725611E-2</v>
      </c>
      <c r="D246" s="26">
        <f>('Raw Price Data'!D246-'Raw Price Data'!D245)/'Raw Price Data'!D245</f>
        <v>-6.9918288265520875E-3</v>
      </c>
      <c r="E246" s="26">
        <f>('Raw Price Data'!E246-'Raw Price Data'!E245)/'Raw Price Data'!E245</f>
        <v>9.4429095707394359E-3</v>
      </c>
      <c r="F246" s="26">
        <f>('Raw Price Data'!F246-'Raw Price Data'!F245)/'Raw Price Data'!F245</f>
        <v>1.7881494717946294E-2</v>
      </c>
    </row>
    <row r="247" spans="1:6" ht="15" customHeight="1" x14ac:dyDescent="0.3">
      <c r="A247" s="21">
        <v>43809</v>
      </c>
      <c r="B247" s="25">
        <f>('Raw Price Data'!B247-'Raw Price Data'!B246)/'Raw Price Data'!B246</f>
        <v>6.5436654366544285E-3</v>
      </c>
      <c r="C247" s="25">
        <f>('Raw Price Data'!C247-'Raw Price Data'!C246)/'Raw Price Data'!C246</f>
        <v>7.0242995618111318E-3</v>
      </c>
      <c r="D247" s="25">
        <f>('Raw Price Data'!D247-'Raw Price Data'!D246)/'Raw Price Data'!D246</f>
        <v>2.5619273837801243E-2</v>
      </c>
      <c r="E247" s="25">
        <f>('Raw Price Data'!E247-'Raw Price Data'!E246)/'Raw Price Data'!E246</f>
        <v>-1.8218954248366045E-2</v>
      </c>
      <c r="F247" s="25">
        <f>('Raw Price Data'!F247-'Raw Price Data'!F246)/'Raw Price Data'!F246</f>
        <v>4.1050774489225457E-2</v>
      </c>
    </row>
    <row r="248" spans="1:6" ht="15" customHeight="1" x14ac:dyDescent="0.3">
      <c r="A248" s="19">
        <v>43810</v>
      </c>
      <c r="B248" s="26">
        <f>('Raw Price Data'!B248-'Raw Price Data'!B247)/'Raw Price Data'!B247</f>
        <v>2.1409717469938389E-2</v>
      </c>
      <c r="C248" s="26">
        <f>('Raw Price Data'!C248-'Raw Price Data'!C247)/'Raw Price Data'!C247</f>
        <v>1.5176887880905592E-2</v>
      </c>
      <c r="D248" s="26">
        <f>('Raw Price Data'!D248-'Raw Price Data'!D247)/'Raw Price Data'!D247</f>
        <v>-4.7973531844500619E-3</v>
      </c>
      <c r="E248" s="26">
        <f>('Raw Price Data'!E248-'Raw Price Data'!E247)/'Raw Price Data'!E247</f>
        <v>1.9139552300907379E-3</v>
      </c>
      <c r="F248" s="26">
        <f>('Raw Price Data'!F248-'Raw Price Data'!F247)/'Raw Price Data'!F247</f>
        <v>-1.5542494143695398E-4</v>
      </c>
    </row>
    <row r="249" spans="1:6" ht="15" customHeight="1" x14ac:dyDescent="0.3">
      <c r="A249" s="21">
        <v>43811</v>
      </c>
      <c r="B249" s="25">
        <f>('Raw Price Data'!B249-'Raw Price Data'!B248)/'Raw Price Data'!B248</f>
        <v>1.3399693721286425E-3</v>
      </c>
      <c r="C249" s="25">
        <f>('Raw Price Data'!C249-'Raw Price Data'!C248)/'Raw Price Data'!C248</f>
        <v>-8.1049486946356795E-3</v>
      </c>
      <c r="D249" s="25">
        <f>('Raw Price Data'!D249-'Raw Price Data'!D248)/'Raw Price Data'!D248</f>
        <v>-1.4378324468085022E-2</v>
      </c>
      <c r="E249" s="25">
        <f>('Raw Price Data'!E249-'Raw Price Data'!E248)/'Raw Price Data'!E248</f>
        <v>2.4584717607973369E-2</v>
      </c>
      <c r="F249" s="25">
        <f>('Raw Price Data'!F249-'Raw Price Data'!F248)/'Raw Price Data'!F248</f>
        <v>6.3594763702363413E-4</v>
      </c>
    </row>
    <row r="250" spans="1:6" ht="15" customHeight="1" x14ac:dyDescent="0.3">
      <c r="A250" s="19">
        <v>43812</v>
      </c>
      <c r="B250" s="26">
        <f>('Raw Price Data'!B250-'Raw Price Data'!B249)/'Raw Price Data'!B249</f>
        <v>1.4194226725291526E-2</v>
      </c>
      <c r="C250" s="26">
        <f>('Raw Price Data'!C250-'Raw Price Data'!C249)/'Raw Price Data'!C249</f>
        <v>-1.8856559201738964E-2</v>
      </c>
      <c r="D250" s="26">
        <f>('Raw Price Data'!D250-'Raw Price Data'!D249)/'Raw Price Data'!D249</f>
        <v>1.9394552660425817E-3</v>
      </c>
      <c r="E250" s="26">
        <f>('Raw Price Data'!E250-'Raw Price Data'!E249)/'Raw Price Data'!E249</f>
        <v>3.1047341115434487E-2</v>
      </c>
      <c r="F250" s="26">
        <f>('Raw Price Data'!F250-'Raw Price Data'!F249)/'Raw Price Data'!F249</f>
        <v>-1.824776852675622E-2</v>
      </c>
    </row>
    <row r="251" spans="1:6" ht="15" customHeight="1" x14ac:dyDescent="0.3">
      <c r="A251" s="21">
        <v>43815</v>
      </c>
      <c r="B251" s="25">
        <f>('Raw Price Data'!B251-'Raw Price Data'!B250)/'Raw Price Data'!B250</f>
        <v>-5.2306677347910731E-3</v>
      </c>
      <c r="C251" s="25">
        <f>('Raw Price Data'!C251-'Raw Price Data'!C250)/'Raw Price Data'!C250</f>
        <v>1.2278781731308286E-2</v>
      </c>
      <c r="D251" s="25">
        <f>('Raw Price Data'!D251-'Raw Price Data'!D250)/'Raw Price Data'!D250</f>
        <v>3.9555630365259477E-3</v>
      </c>
      <c r="E251" s="25">
        <f>('Raw Price Data'!E251-'Raw Price Data'!E250)/'Raw Price Data'!E250</f>
        <v>2.869722462457812E-3</v>
      </c>
      <c r="F251" s="25">
        <f>('Raw Price Data'!F251-'Raw Price Data'!F250)/'Raw Price Data'!F250</f>
        <v>1.6225376016649781E-3</v>
      </c>
    </row>
    <row r="252" spans="1:6" ht="15" customHeight="1" x14ac:dyDescent="0.3">
      <c r="A252" s="19">
        <v>43816</v>
      </c>
      <c r="B252" s="26">
        <f>('Raw Price Data'!B252-'Raw Price Data'!B251)/'Raw Price Data'!B251</f>
        <v>-9.9952629085740662E-3</v>
      </c>
      <c r="C252" s="26">
        <f>('Raw Price Data'!C252-'Raw Price Data'!C251)/'Raw Price Data'!C251</f>
        <v>2.3732299659836439E-3</v>
      </c>
      <c r="D252" s="26">
        <f>('Raw Price Data'!D252-'Raw Price Data'!D251)/'Raw Price Data'!D251</f>
        <v>1.8274792522424282E-2</v>
      </c>
      <c r="E252" s="26">
        <f>('Raw Price Data'!E252-'Raw Price Data'!E251)/'Raw Price Data'!E251</f>
        <v>1.0074085688526491E-2</v>
      </c>
      <c r="F252" s="26">
        <f>('Raw Price Data'!F252-'Raw Price Data'!F251)/'Raw Price Data'!F251</f>
        <v>-4.1946802302650647E-4</v>
      </c>
    </row>
    <row r="253" spans="1:6" ht="15" customHeight="1" x14ac:dyDescent="0.3">
      <c r="A253" s="21">
        <v>43817</v>
      </c>
      <c r="B253" s="25">
        <f>('Raw Price Data'!B253-'Raw Price Data'!B252)/'Raw Price Data'!B252</f>
        <v>-9.0434949040624664E-3</v>
      </c>
      <c r="C253" s="25">
        <f>('Raw Price Data'!C253-'Raw Price Data'!C252)/'Raw Price Data'!C252</f>
        <v>1.0338568384500058E-2</v>
      </c>
      <c r="D253" s="25">
        <f>('Raw Price Data'!D253-'Raw Price Data'!D252)/'Raw Price Data'!D252</f>
        <v>1.4324524573968839E-2</v>
      </c>
      <c r="E253" s="25">
        <f>('Raw Price Data'!E253-'Raw Price Data'!E252)/'Raw Price Data'!E252</f>
        <v>-2.6389320086929787E-3</v>
      </c>
      <c r="F253" s="25">
        <f>('Raw Price Data'!F253-'Raw Price Data'!F252)/'Raw Price Data'!F252</f>
        <v>-6.0899616565236467E-3</v>
      </c>
    </row>
    <row r="254" spans="1:6" ht="15" customHeight="1" x14ac:dyDescent="0.3">
      <c r="A254" s="19">
        <v>43818</v>
      </c>
      <c r="B254" s="26">
        <f>('Raw Price Data'!B254-'Raw Price Data'!B253)/'Raw Price Data'!B253</f>
        <v>2.1487204249155081E-2</v>
      </c>
      <c r="C254" s="26">
        <f>('Raw Price Data'!C254-'Raw Price Data'!C253)/'Raw Price Data'!C253</f>
        <v>-2.2001770556684562E-3</v>
      </c>
      <c r="D254" s="26">
        <f>('Raw Price Data'!D254-'Raw Price Data'!D253)/'Raw Price Data'!D253</f>
        <v>6.2494927359793059E-3</v>
      </c>
      <c r="E254" s="26">
        <f>('Raw Price Data'!E254-'Raw Price Data'!E253)/'Raw Price Data'!E253</f>
        <v>-7.2762645914397064E-3</v>
      </c>
      <c r="F254" s="26">
        <f>('Raw Price Data'!F254-'Raw Price Data'!F253)/'Raw Price Data'!F253</f>
        <v>2.0424474451586141E-2</v>
      </c>
    </row>
    <row r="255" spans="1:6" ht="15" customHeight="1" x14ac:dyDescent="0.3">
      <c r="A255" s="21">
        <v>43819</v>
      </c>
      <c r="B255" s="25">
        <f>('Raw Price Data'!B255-'Raw Price Data'!B254)/'Raw Price Data'!B254</f>
        <v>1.4086504372488724E-2</v>
      </c>
      <c r="C255" s="25">
        <f>('Raw Price Data'!C255-'Raw Price Data'!C254)/'Raw Price Data'!C254</f>
        <v>4.1725924089610296E-2</v>
      </c>
      <c r="D255" s="25">
        <f>('Raw Price Data'!D255-'Raw Price Data'!D254)/'Raw Price Data'!D254</f>
        <v>1.0727536699467641E-2</v>
      </c>
      <c r="E255" s="25">
        <f>('Raw Price Data'!E255-'Raw Price Data'!E254)/'Raw Price Data'!E254</f>
        <v>2.6653078822561092E-2</v>
      </c>
      <c r="F255" s="25">
        <f>('Raw Price Data'!F255-'Raw Price Data'!F254)/'Raw Price Data'!F254</f>
        <v>2.7403025445329847E-3</v>
      </c>
    </row>
    <row r="256" spans="1:6" ht="15" customHeight="1" x14ac:dyDescent="0.3">
      <c r="A256" s="19">
        <v>43822</v>
      </c>
      <c r="B256" s="26">
        <f>('Raw Price Data'!B256-'Raw Price Data'!B255)/'Raw Price Data'!B255</f>
        <v>7.0852561413322626E-3</v>
      </c>
      <c r="C256" s="26">
        <f>('Raw Price Data'!C256-'Raw Price Data'!C255)/'Raw Price Data'!C255</f>
        <v>-1.5530867599353688E-2</v>
      </c>
      <c r="D256" s="26">
        <f>('Raw Price Data'!D256-'Raw Price Data'!D255)/'Raw Price Data'!D255</f>
        <v>3.2718857234059259E-3</v>
      </c>
      <c r="E256" s="26">
        <f>('Raw Price Data'!E256-'Raw Price Data'!E255)/'Raw Price Data'!E255</f>
        <v>1.8669110067575254E-2</v>
      </c>
      <c r="F256" s="26">
        <f>('Raw Price Data'!F256-'Raw Price Data'!F255)/'Raw Price Data'!F255</f>
        <v>-1.0926110708004368E-2</v>
      </c>
    </row>
    <row r="257" spans="1:6" ht="15" customHeight="1" x14ac:dyDescent="0.3">
      <c r="A257" s="21">
        <v>43823</v>
      </c>
      <c r="B257" s="25">
        <f>('Raw Price Data'!B257-'Raw Price Data'!B256)/'Raw Price Data'!B256</f>
        <v>4.6470724369358903E-2</v>
      </c>
      <c r="C257" s="25">
        <f>('Raw Price Data'!C257-'Raw Price Data'!C256)/'Raw Price Data'!C256</f>
        <v>-8.1551125303748907E-3</v>
      </c>
      <c r="D257" s="25">
        <f>('Raw Price Data'!D257-'Raw Price Data'!D256)/'Raw Price Data'!D256</f>
        <v>1.280623608017817E-2</v>
      </c>
      <c r="E257" s="25">
        <f>('Raw Price Data'!E257-'Raw Price Data'!E256)/'Raw Price Data'!E256</f>
        <v>1.2143017764785283E-2</v>
      </c>
      <c r="F257" s="25">
        <f>('Raw Price Data'!F257-'Raw Price Data'!F256)/'Raw Price Data'!F256</f>
        <v>-1.2034849939848612E-2</v>
      </c>
    </row>
    <row r="258" spans="1:6" ht="15" customHeight="1" x14ac:dyDescent="0.3">
      <c r="A258" s="19">
        <v>43824</v>
      </c>
      <c r="B258" s="26">
        <f>('Raw Price Data'!B258-'Raw Price Data'!B257)/'Raw Price Data'!B257</f>
        <v>-1.3269052147375443E-4</v>
      </c>
      <c r="C258" s="26">
        <f>('Raw Price Data'!C258-'Raw Price Data'!C257)/'Raw Price Data'!C257</f>
        <v>9.6844535659311882E-3</v>
      </c>
      <c r="D258" s="26">
        <f>('Raw Price Data'!D258-'Raw Price Data'!D257)/'Raw Price Data'!D257</f>
        <v>-7.7750726458807422E-3</v>
      </c>
      <c r="E258" s="26">
        <f>('Raw Price Data'!E258-'Raw Price Data'!E257)/'Raw Price Data'!E257</f>
        <v>-9.4793749537139971E-3</v>
      </c>
      <c r="F258" s="26">
        <f>('Raw Price Data'!F258-'Raw Price Data'!F257)/'Raw Price Data'!F257</f>
        <v>8.692701263443757E-3</v>
      </c>
    </row>
    <row r="259" spans="1:6" ht="15" customHeight="1" x14ac:dyDescent="0.3">
      <c r="A259" s="21">
        <v>43825</v>
      </c>
      <c r="B259" s="25">
        <f>('Raw Price Data'!B259-'Raw Price Data'!B258)/'Raw Price Data'!B258</f>
        <v>8.935680792709946E-3</v>
      </c>
      <c r="C259" s="25">
        <f>('Raw Price Data'!C259-'Raw Price Data'!C258)/'Raw Price Data'!C258</f>
        <v>1.3491710601537197E-2</v>
      </c>
      <c r="D259" s="25">
        <f>('Raw Price Data'!D259-'Raw Price Data'!D258)/'Raw Price Data'!D258</f>
        <v>-1.6621814152287546E-2</v>
      </c>
      <c r="E259" s="25">
        <f>('Raw Price Data'!E259-'Raw Price Data'!E258)/'Raw Price Data'!E258</f>
        <v>2.8186915887850543E-2</v>
      </c>
      <c r="F259" s="25">
        <f>('Raw Price Data'!F259-'Raw Price Data'!F258)/'Raw Price Data'!F258</f>
        <v>-6.8255971418872269E-3</v>
      </c>
    </row>
    <row r="260" spans="1:6" ht="15" customHeight="1" x14ac:dyDescent="0.3">
      <c r="A260" s="19">
        <v>43826</v>
      </c>
      <c r="B260" s="26">
        <f>('Raw Price Data'!B260-'Raw Price Data'!B259)/'Raw Price Data'!B259</f>
        <v>4.559803577692003E-3</v>
      </c>
      <c r="C260" s="26">
        <f>('Raw Price Data'!C260-'Raw Price Data'!C259)/'Raw Price Data'!C259</f>
        <v>-2.3716108652869824E-2</v>
      </c>
      <c r="D260" s="26">
        <f>('Raw Price Data'!D260-'Raw Price Data'!D259)/'Raw Price Data'!D259</f>
        <v>3.7025112685126205E-3</v>
      </c>
      <c r="E260" s="26">
        <f>('Raw Price Data'!E260-'Raw Price Data'!E259)/'Raw Price Data'!E259</f>
        <v>2.0142524723676423E-2</v>
      </c>
      <c r="F260" s="26">
        <f>('Raw Price Data'!F260-'Raw Price Data'!F259)/'Raw Price Data'!F259</f>
        <v>-1.0255988042636369E-2</v>
      </c>
    </row>
    <row r="261" spans="1:6" ht="15" customHeight="1" x14ac:dyDescent="0.3">
      <c r="A261" s="21">
        <v>43829</v>
      </c>
      <c r="B261" s="25">
        <f>('Raw Price Data'!B261-'Raw Price Data'!B260)/'Raw Price Data'!B260</f>
        <v>-2.749650837988807E-3</v>
      </c>
      <c r="C261" s="25">
        <f>('Raw Price Data'!C261-'Raw Price Data'!C260)/'Raw Price Data'!C260</f>
        <v>2.3470501380240063E-2</v>
      </c>
      <c r="D261" s="25">
        <f>('Raw Price Data'!D261-'Raw Price Data'!D260)/'Raw Price Data'!D260</f>
        <v>4.2742582197273442E-2</v>
      </c>
      <c r="E261" s="25">
        <f>('Raw Price Data'!E261-'Raw Price Data'!E260)/'Raw Price Data'!E260</f>
        <v>-2.3914748021954452E-2</v>
      </c>
      <c r="F261" s="25">
        <f>('Raw Price Data'!F261-'Raw Price Data'!F260)/'Raw Price Data'!F260</f>
        <v>-1.8771231765985174E-2</v>
      </c>
    </row>
    <row r="262" spans="1:6" ht="15" customHeight="1" x14ac:dyDescent="0.3">
      <c r="A262" s="19">
        <v>43830</v>
      </c>
      <c r="B262" s="26">
        <f>('Raw Price Data'!B262-'Raw Price Data'!B261)/'Raw Price Data'!B261</f>
        <v>3.2430303295549023E-2</v>
      </c>
      <c r="C262" s="26">
        <f>('Raw Price Data'!C262-'Raw Price Data'!C261)/'Raw Price Data'!C261</f>
        <v>-2.5115100422766653E-2</v>
      </c>
      <c r="D262" s="26">
        <f>('Raw Price Data'!D262-'Raw Price Data'!D261)/'Raw Price Data'!D261</f>
        <v>1.3150811351226701E-2</v>
      </c>
      <c r="E262" s="26">
        <f>('Raw Price Data'!E262-'Raw Price Data'!E261)/'Raw Price Data'!E261</f>
        <v>2.1031876437725895E-2</v>
      </c>
      <c r="F262" s="26">
        <f>('Raw Price Data'!F262-'Raw Price Data'!F261)/'Raw Price Data'!F261</f>
        <v>-1.166123437728313E-3</v>
      </c>
    </row>
    <row r="263" spans="1:6" ht="15" customHeight="1" x14ac:dyDescent="0.3">
      <c r="A263" s="21">
        <v>43831</v>
      </c>
      <c r="B263" s="25">
        <f>('Raw Price Data'!B263-'Raw Price Data'!B262)/'Raw Price Data'!B262</f>
        <v>2.1195421788893599E-2</v>
      </c>
      <c r="C263" s="25">
        <f>('Raw Price Data'!C263-'Raw Price Data'!C262)/'Raw Price Data'!C262</f>
        <v>7.077505115105384E-4</v>
      </c>
      <c r="D263" s="25">
        <f>('Raw Price Data'!D263-'Raw Price Data'!D262)/'Raw Price Data'!D262</f>
        <v>-1.0626992561105249E-2</v>
      </c>
      <c r="E263" s="25">
        <f>('Raw Price Data'!E263-'Raw Price Data'!E262)/'Raw Price Data'!E262</f>
        <v>3.6476772878445869E-3</v>
      </c>
      <c r="F263" s="25">
        <f>('Raw Price Data'!F263-'Raw Price Data'!F262)/'Raw Price Data'!F262</f>
        <v>7.1078429159491564E-3</v>
      </c>
    </row>
    <row r="264" spans="1:6" ht="15" customHeight="1" x14ac:dyDescent="0.3">
      <c r="A264" s="19">
        <v>43832</v>
      </c>
      <c r="B264" s="26">
        <f>('Raw Price Data'!B264-'Raw Price Data'!B263)/'Raw Price Data'!B263</f>
        <v>-1.9095060190950579E-2</v>
      </c>
      <c r="C264" s="26">
        <f>('Raw Price Data'!C264-'Raw Price Data'!C263)/'Raw Price Data'!C263</f>
        <v>-4.8221587840444414E-3</v>
      </c>
      <c r="D264" s="26">
        <f>('Raw Price Data'!D264-'Raw Price Data'!D263)/'Raw Price Data'!D263</f>
        <v>2.232622372257171E-2</v>
      </c>
      <c r="E264" s="26">
        <f>('Raw Price Data'!E264-'Raw Price Data'!E263)/'Raw Price Data'!E263</f>
        <v>5.7366827008730227E-3</v>
      </c>
      <c r="F264" s="26">
        <f>('Raw Price Data'!F264-'Raw Price Data'!F263)/'Raw Price Data'!F263</f>
        <v>9.5613068538912219E-3</v>
      </c>
    </row>
    <row r="265" spans="1:6" ht="15" customHeight="1" x14ac:dyDescent="0.3">
      <c r="A265" s="21">
        <v>43833</v>
      </c>
      <c r="B265" s="25">
        <f>('Raw Price Data'!B265-'Raw Price Data'!B264)/'Raw Price Data'!B264</f>
        <v>-5.2052475666526368E-3</v>
      </c>
      <c r="C265" s="25">
        <f>('Raw Price Data'!C265-'Raw Price Data'!C264)/'Raw Price Data'!C264</f>
        <v>-1.1887687198769795E-2</v>
      </c>
      <c r="D265" s="25">
        <f>('Raw Price Data'!D265-'Raw Price Data'!D264)/'Raw Price Data'!D264</f>
        <v>-2.8968105065666144E-2</v>
      </c>
      <c r="E265" s="25">
        <f>('Raw Price Data'!E265-'Raw Price Data'!E264)/'Raw Price Data'!E264</f>
        <v>-3.7624884857932417E-2</v>
      </c>
      <c r="F265" s="25">
        <f>('Raw Price Data'!F265-'Raw Price Data'!F264)/'Raw Price Data'!F264</f>
        <v>3.0813586129512724E-3</v>
      </c>
    </row>
    <row r="266" spans="1:6" ht="15" customHeight="1" x14ac:dyDescent="0.3">
      <c r="A266" s="19">
        <v>43836</v>
      </c>
      <c r="B266" s="26">
        <f>('Raw Price Data'!B266-'Raw Price Data'!B265)/'Raw Price Data'!B265</f>
        <v>6.253456417237414E-3</v>
      </c>
      <c r="C266" s="26">
        <f>('Raw Price Data'!C266-'Raw Price Data'!C265)/'Raw Price Data'!C265</f>
        <v>2.0582966091721056E-2</v>
      </c>
      <c r="D266" s="26">
        <f>('Raw Price Data'!D266-'Raw Price Data'!D265)/'Raw Price Data'!D265</f>
        <v>-3.5551433650203228E-3</v>
      </c>
      <c r="E266" s="26">
        <f>('Raw Price Data'!E266-'Raw Price Data'!E265)/'Raw Price Data'!E265</f>
        <v>-2.7168310999852729E-2</v>
      </c>
      <c r="F266" s="26">
        <f>('Raw Price Data'!F266-'Raw Price Data'!F265)/'Raw Price Data'!F265</f>
        <v>1.9016343515503624E-2</v>
      </c>
    </row>
    <row r="267" spans="1:6" ht="15" customHeight="1" x14ac:dyDescent="0.3">
      <c r="A267" s="21">
        <v>43837</v>
      </c>
      <c r="B267" s="25">
        <f>('Raw Price Data'!B267-'Raw Price Data'!B266)/'Raw Price Data'!B266</f>
        <v>1.1160903018517016E-2</v>
      </c>
      <c r="C267" s="25">
        <f>('Raw Price Data'!C267-'Raw Price Data'!C266)/'Raw Price Data'!C266</f>
        <v>-4.0796976103530051E-2</v>
      </c>
      <c r="D267" s="25">
        <f>('Raw Price Data'!D267-'Raw Price Data'!D266)/'Raw Price Data'!D266</f>
        <v>6.6702862018148236E-3</v>
      </c>
      <c r="E267" s="25">
        <f>('Raw Price Data'!E267-'Raw Price Data'!E266)/'Raw Price Data'!E266</f>
        <v>1.9147808976008485E-2</v>
      </c>
      <c r="F267" s="25">
        <f>('Raw Price Data'!F267-'Raw Price Data'!F266)/'Raw Price Data'!F266</f>
        <v>-1.312386809841405E-2</v>
      </c>
    </row>
    <row r="268" spans="1:6" ht="15" customHeight="1" x14ac:dyDescent="0.3">
      <c r="A268" s="19">
        <v>43838</v>
      </c>
      <c r="B268" s="26">
        <f>('Raw Price Data'!B268-'Raw Price Data'!B267)/'Raw Price Data'!B267</f>
        <v>-1.8354377456309117E-2</v>
      </c>
      <c r="C268" s="26">
        <f>('Raw Price Data'!C268-'Raw Price Data'!C267)/'Raw Price Data'!C267</f>
        <v>-1.2302801191541705E-2</v>
      </c>
      <c r="D268" s="26">
        <f>('Raw Price Data'!D268-'Raw Price Data'!D267)/'Raw Price Data'!D267</f>
        <v>-1.024732259804287E-2</v>
      </c>
      <c r="E268" s="26">
        <f>('Raw Price Data'!E268-'Raw Price Data'!E267)/'Raw Price Data'!E267</f>
        <v>-1.3998217733551099E-2</v>
      </c>
      <c r="F268" s="26">
        <f>('Raw Price Data'!F268-'Raw Price Data'!F267)/'Raw Price Data'!F267</f>
        <v>2.5411814006474033E-3</v>
      </c>
    </row>
    <row r="269" spans="1:6" ht="15" customHeight="1" x14ac:dyDescent="0.3">
      <c r="A269" s="21">
        <v>43839</v>
      </c>
      <c r="B269" s="25">
        <f>('Raw Price Data'!B269-'Raw Price Data'!B268)/'Raw Price Data'!B268</f>
        <v>-3.0963840027258323E-2</v>
      </c>
      <c r="C269" s="25">
        <f>('Raw Price Data'!C269-'Raw Price Data'!C268)/'Raw Price Data'!C268</f>
        <v>-1.5323235055450267E-2</v>
      </c>
      <c r="D269" s="25">
        <f>('Raw Price Data'!D269-'Raw Price Data'!D268)/'Raw Price Data'!D268</f>
        <v>-8.9522030203954984E-3</v>
      </c>
      <c r="E269" s="25">
        <f>('Raw Price Data'!E269-'Raw Price Data'!E268)/'Raw Price Data'!E268</f>
        <v>1.5816230465072446E-2</v>
      </c>
      <c r="F269" s="25">
        <f>('Raw Price Data'!F269-'Raw Price Data'!F268)/'Raw Price Data'!F268</f>
        <v>4.6356810451226669E-3</v>
      </c>
    </row>
    <row r="270" spans="1:6" ht="15" customHeight="1" x14ac:dyDescent="0.3">
      <c r="A270" s="19">
        <v>43840</v>
      </c>
      <c r="B270" s="26">
        <f>('Raw Price Data'!B270-'Raw Price Data'!B269)/'Raw Price Data'!B269</f>
        <v>-2.6107594936708851E-2</v>
      </c>
      <c r="C270" s="26">
        <f>('Raw Price Data'!C270-'Raw Price Data'!C269)/'Raw Price Data'!C269</f>
        <v>1.6028678561127305E-2</v>
      </c>
      <c r="D270" s="26">
        <f>('Raw Price Data'!D270-'Raw Price Data'!D269)/'Raw Price Data'!D269</f>
        <v>-2.2779043280182721E-3</v>
      </c>
      <c r="E270" s="26">
        <f>('Raw Price Data'!E270-'Raw Price Data'!E269)/'Raw Price Data'!E269</f>
        <v>-2.4578313253012032E-2</v>
      </c>
      <c r="F270" s="26">
        <f>('Raw Price Data'!F270-'Raw Price Data'!F269)/'Raw Price Data'!F269</f>
        <v>-1.8247600966562409E-2</v>
      </c>
    </row>
    <row r="271" spans="1:6" ht="15" customHeight="1" x14ac:dyDescent="0.3">
      <c r="A271" s="21">
        <v>43843</v>
      </c>
      <c r="B271" s="25">
        <f>('Raw Price Data'!B271-'Raw Price Data'!B270)/'Raw Price Data'!B270</f>
        <v>-6.7695640400760758E-4</v>
      </c>
      <c r="C271" s="25">
        <f>('Raw Price Data'!C271-'Raw Price Data'!C270)/'Raw Price Data'!C270</f>
        <v>2.7942249979722548E-2</v>
      </c>
      <c r="D271" s="25">
        <f>('Raw Price Data'!D271-'Raw Price Data'!D270)/'Raw Price Data'!D270</f>
        <v>-8.1876869784285322E-3</v>
      </c>
      <c r="E271" s="25">
        <f>('Raw Price Data'!E271-'Raw Price Data'!E270)/'Raw Price Data'!E270</f>
        <v>-2.7401945880206779E-2</v>
      </c>
      <c r="F271" s="25">
        <f>('Raw Price Data'!F271-'Raw Price Data'!F270)/'Raw Price Data'!F270</f>
        <v>-1.8107099207093475E-3</v>
      </c>
    </row>
    <row r="272" spans="1:6" ht="15" customHeight="1" x14ac:dyDescent="0.3">
      <c r="A272" s="19">
        <v>43844</v>
      </c>
      <c r="B272" s="26">
        <f>('Raw Price Data'!B272-'Raw Price Data'!B271)/'Raw Price Data'!B271</f>
        <v>-1.0838639750711697E-3</v>
      </c>
      <c r="C272" s="26">
        <f>('Raw Price Data'!C272-'Raw Price Data'!C271)/'Raw Price Data'!C271</f>
        <v>1.4268618245420264E-2</v>
      </c>
      <c r="D272" s="26">
        <f>('Raw Price Data'!D272-'Raw Price Data'!D271)/'Raw Price Data'!D271</f>
        <v>-1.1906651849499921E-2</v>
      </c>
      <c r="E272" s="26">
        <f>('Raw Price Data'!E272-'Raw Price Data'!E271)/'Raw Price Data'!E271</f>
        <v>3.6575358524481204E-2</v>
      </c>
      <c r="F272" s="26">
        <f>('Raw Price Data'!F272-'Raw Price Data'!F271)/'Raw Price Data'!F271</f>
        <v>-1.2069363048206588E-2</v>
      </c>
    </row>
    <row r="273" spans="1:6" ht="15" customHeight="1" x14ac:dyDescent="0.3">
      <c r="A273" s="21">
        <v>43845</v>
      </c>
      <c r="B273" s="25">
        <f>('Raw Price Data'!B273-'Raw Price Data'!B272)/'Raw Price Data'!B272</f>
        <v>5.1087300510872799E-3</v>
      </c>
      <c r="C273" s="25">
        <f>('Raw Price Data'!C273-'Raw Price Data'!C272)/'Raw Price Data'!C272</f>
        <v>2.5205507870238383E-2</v>
      </c>
      <c r="D273" s="25">
        <f>('Raw Price Data'!D273-'Raw Price Data'!D272)/'Raw Price Data'!D272</f>
        <v>-1.6709511568123378E-2</v>
      </c>
      <c r="E273" s="25">
        <f>('Raw Price Data'!E273-'Raw Price Data'!E272)/'Raw Price Data'!E272</f>
        <v>1.7642402080898734E-2</v>
      </c>
      <c r="F273" s="25">
        <f>('Raw Price Data'!F273-'Raw Price Data'!F272)/'Raw Price Data'!F272</f>
        <v>2.9152781702635193E-3</v>
      </c>
    </row>
    <row r="274" spans="1:6" ht="15" customHeight="1" x14ac:dyDescent="0.3">
      <c r="A274" s="19">
        <v>43846</v>
      </c>
      <c r="B274" s="26">
        <f>('Raw Price Data'!B274-'Raw Price Data'!B273)/'Raw Price Data'!B273</f>
        <v>-1.0345448002878658E-2</v>
      </c>
      <c r="C274" s="26">
        <f>('Raw Price Data'!C274-'Raw Price Data'!C273)/'Raw Price Data'!C273</f>
        <v>-3.8636651068673408E-2</v>
      </c>
      <c r="D274" s="26">
        <f>('Raw Price Data'!D274-'Raw Price Data'!D273)/'Raw Price Data'!D273</f>
        <v>-2.4183006535947776E-2</v>
      </c>
      <c r="E274" s="26">
        <f>('Raw Price Data'!E274-'Raw Price Data'!E273)/'Raw Price Data'!E273</f>
        <v>-1.9262826449341797E-3</v>
      </c>
      <c r="F274" s="26">
        <f>('Raw Price Data'!F274-'Raw Price Data'!F273)/'Raw Price Data'!F273</f>
        <v>-9.1306864522587173E-3</v>
      </c>
    </row>
    <row r="275" spans="1:6" ht="15" customHeight="1" x14ac:dyDescent="0.3">
      <c r="A275" s="21">
        <v>43847</v>
      </c>
      <c r="B275" s="25">
        <f>('Raw Price Data'!B275-'Raw Price Data'!B274)/'Raw Price Data'!B274</f>
        <v>-1.6680301790746366E-2</v>
      </c>
      <c r="C275" s="25">
        <f>('Raw Price Data'!C275-'Raw Price Data'!C274)/'Raw Price Data'!C274</f>
        <v>3.472998750246644E-3</v>
      </c>
      <c r="D275" s="25">
        <f>('Raw Price Data'!D275-'Raw Price Data'!D274)/'Raw Price Data'!D274</f>
        <v>-1.4819156061620865E-2</v>
      </c>
      <c r="E275" s="25">
        <f>('Raw Price Data'!E275-'Raw Price Data'!E274)/'Raw Price Data'!E274</f>
        <v>4.6765393608729205E-3</v>
      </c>
      <c r="F275" s="25">
        <f>('Raw Price Data'!F275-'Raw Price Data'!F274)/'Raw Price Data'!F274</f>
        <v>7.7587042963824706E-3</v>
      </c>
    </row>
    <row r="276" spans="1:6" ht="15" customHeight="1" x14ac:dyDescent="0.3">
      <c r="A276" s="19">
        <v>43850</v>
      </c>
      <c r="B276" s="26">
        <f>('Raw Price Data'!B276-'Raw Price Data'!B275)/'Raw Price Data'!B275</f>
        <v>-2.7686618904552721E-2</v>
      </c>
      <c r="C276" s="26">
        <f>('Raw Price Data'!C276-'Raw Price Data'!C275)/'Raw Price Data'!C275</f>
        <v>-2.3794229080087544E-2</v>
      </c>
      <c r="D276" s="26">
        <f>('Raw Price Data'!D276-'Raw Price Data'!D275)/'Raw Price Data'!D275</f>
        <v>-1.1897679952409328E-3</v>
      </c>
      <c r="E276" s="26">
        <f>('Raw Price Data'!E276-'Raw Price Data'!E275)/'Raw Price Data'!E275</f>
        <v>-1.2892977206398497E-2</v>
      </c>
      <c r="F276" s="26">
        <f>('Raw Price Data'!F276-'Raw Price Data'!F275)/'Raw Price Data'!F275</f>
        <v>1.8337117082721347E-2</v>
      </c>
    </row>
    <row r="277" spans="1:6" ht="15" customHeight="1" x14ac:dyDescent="0.3">
      <c r="A277" s="21">
        <v>43851</v>
      </c>
      <c r="B277" s="25">
        <f>('Raw Price Data'!B277-'Raw Price Data'!B276)/'Raw Price Data'!B276</f>
        <v>4.8488305761550761E-3</v>
      </c>
      <c r="C277" s="25">
        <f>('Raw Price Data'!C277-'Raw Price Data'!C276)/'Raw Price Data'!C276</f>
        <v>-6.0163300386764321E-3</v>
      </c>
      <c r="D277" s="25">
        <f>('Raw Price Data'!D277-'Raw Price Data'!D276)/'Raw Price Data'!D276</f>
        <v>1.6251169914064466E-2</v>
      </c>
      <c r="E277" s="25">
        <f>('Raw Price Data'!E277-'Raw Price Data'!E276)/'Raw Price Data'!E276</f>
        <v>7.1856287425150298E-3</v>
      </c>
      <c r="F277" s="25">
        <f>('Raw Price Data'!F277-'Raw Price Data'!F276)/'Raw Price Data'!F276</f>
        <v>-2.1415048697325427E-3</v>
      </c>
    </row>
    <row r="278" spans="1:6" ht="15" customHeight="1" x14ac:dyDescent="0.3">
      <c r="A278" s="19">
        <v>43852</v>
      </c>
      <c r="B278" s="26">
        <f>('Raw Price Data'!B278-'Raw Price Data'!B277)/'Raw Price Data'!B277</f>
        <v>5.4404390197748398E-3</v>
      </c>
      <c r="C278" s="26">
        <f>('Raw Price Data'!C278-'Raw Price Data'!C277)/'Raw Price Data'!C277</f>
        <v>4.9043450064850782E-3</v>
      </c>
      <c r="D278" s="26">
        <f>('Raw Price Data'!D278-'Raw Price Data'!D277)/'Raw Price Data'!D277</f>
        <v>-1.0046885465505717E-2</v>
      </c>
      <c r="E278" s="26">
        <f>('Raw Price Data'!E278-'Raw Price Data'!E277)/'Raw Price Data'!E277</f>
        <v>2.2777942925089164E-2</v>
      </c>
      <c r="F278" s="26">
        <f>('Raw Price Data'!F278-'Raw Price Data'!F277)/'Raw Price Data'!F277</f>
        <v>-7.0072097097086065E-3</v>
      </c>
    </row>
    <row r="279" spans="1:6" ht="15" customHeight="1" x14ac:dyDescent="0.3">
      <c r="A279" s="21">
        <v>43853</v>
      </c>
      <c r="B279" s="25">
        <f>('Raw Price Data'!B279-'Raw Price Data'!B278)/'Raw Price Data'!B278</f>
        <v>1.4115654260574978E-2</v>
      </c>
      <c r="C279" s="25">
        <f>('Raw Price Data'!C279-'Raw Price Data'!C278)/'Raw Price Data'!C278</f>
        <v>2.2721467080762778E-3</v>
      </c>
      <c r="D279" s="25">
        <f>('Raw Price Data'!D279-'Raw Price Data'!D278)/'Raw Price Data'!D278</f>
        <v>-1.8690798376183981E-2</v>
      </c>
      <c r="E279" s="25">
        <f>('Raw Price Data'!E279-'Raw Price Data'!E278)/'Raw Price Data'!E278</f>
        <v>-7.375113533151581E-3</v>
      </c>
      <c r="F279" s="25">
        <f>('Raw Price Data'!F279-'Raw Price Data'!F278)/'Raw Price Data'!F278</f>
        <v>-1.3430945249873247E-2</v>
      </c>
    </row>
    <row r="280" spans="1:6" ht="15" customHeight="1" x14ac:dyDescent="0.3">
      <c r="A280" s="19">
        <v>43854</v>
      </c>
      <c r="B280" s="26">
        <f>('Raw Price Data'!B280-'Raw Price Data'!B279)/'Raw Price Data'!B279</f>
        <v>1.1274532547673209E-2</v>
      </c>
      <c r="C280" s="26">
        <f>('Raw Price Data'!C280-'Raw Price Data'!C279)/'Raw Price Data'!C279</f>
        <v>2.4856468315716012E-2</v>
      </c>
      <c r="D280" s="26">
        <f>('Raw Price Data'!D280-'Raw Price Data'!D279)/'Raw Price Data'!D279</f>
        <v>2.5683013013875756E-2</v>
      </c>
      <c r="E280" s="26">
        <f>('Raw Price Data'!E280-'Raw Price Data'!E279)/'Raw Price Data'!E279</f>
        <v>9.6625430056364332E-3</v>
      </c>
      <c r="F280" s="26">
        <f>('Raw Price Data'!F280-'Raw Price Data'!F279)/'Raw Price Data'!F279</f>
        <v>4.8398000596795504E-3</v>
      </c>
    </row>
    <row r="281" spans="1:6" ht="15" customHeight="1" x14ac:dyDescent="0.3">
      <c r="A281" s="21">
        <v>43857</v>
      </c>
      <c r="B281" s="25">
        <f>('Raw Price Data'!B281-'Raw Price Data'!B280)/'Raw Price Data'!B280</f>
        <v>-2.3398788768582276E-3</v>
      </c>
      <c r="C281" s="25">
        <f>('Raw Price Data'!C281-'Raw Price Data'!C280)/'Raw Price Data'!C280</f>
        <v>-3.4305833693276312E-2</v>
      </c>
      <c r="D281" s="25">
        <f>('Raw Price Data'!D281-'Raw Price Data'!D280)/'Raw Price Data'!D280</f>
        <v>-1.756154944962611E-2</v>
      </c>
      <c r="E281" s="25">
        <f>('Raw Price Data'!E281-'Raw Price Data'!E280)/'Raw Price Data'!E280</f>
        <v>-3.1501486261146946E-2</v>
      </c>
      <c r="F281" s="25">
        <f>('Raw Price Data'!F281-'Raw Price Data'!F280)/'Raw Price Data'!F280</f>
        <v>-1.0148041083343811E-2</v>
      </c>
    </row>
    <row r="282" spans="1:6" ht="15" customHeight="1" x14ac:dyDescent="0.3">
      <c r="A282" s="19">
        <v>43858</v>
      </c>
      <c r="B282" s="26">
        <f>('Raw Price Data'!B282-'Raw Price Data'!B281)/'Raw Price Data'!B281</f>
        <v>1.8992871924580473E-2</v>
      </c>
      <c r="C282" s="26">
        <f>('Raw Price Data'!C282-'Raw Price Data'!C281)/'Raw Price Data'!C281</f>
        <v>-1.4150176199511984E-2</v>
      </c>
      <c r="D282" s="26">
        <f>('Raw Price Data'!D282-'Raw Price Data'!D281)/'Raw Price Data'!D281</f>
        <v>1.8816284639069352E-3</v>
      </c>
      <c r="E282" s="26">
        <f>('Raw Price Data'!E282-'Raw Price Data'!E281)/'Raw Price Data'!E281</f>
        <v>3.4509862634277688E-2</v>
      </c>
      <c r="F282" s="26">
        <f>('Raw Price Data'!F282-'Raw Price Data'!F281)/'Raw Price Data'!F281</f>
        <v>1.0901939450361909E-2</v>
      </c>
    </row>
    <row r="283" spans="1:6" ht="15" customHeight="1" x14ac:dyDescent="0.3">
      <c r="A283" s="21">
        <v>43859</v>
      </c>
      <c r="B283" s="25">
        <f>('Raw Price Data'!B283-'Raw Price Data'!B282)/'Raw Price Data'!B282</f>
        <v>-1.5344345157505344E-3</v>
      </c>
      <c r="C283" s="25">
        <f>('Raw Price Data'!C283-'Raw Price Data'!C282)/'Raw Price Data'!C282</f>
        <v>-2.5516937967443986E-2</v>
      </c>
      <c r="D283" s="25">
        <f>('Raw Price Data'!D283-'Raw Price Data'!D282)/'Raw Price Data'!D282</f>
        <v>-1.434181321495652E-2</v>
      </c>
      <c r="E283" s="25">
        <f>('Raw Price Data'!E283-'Raw Price Data'!E282)/'Raw Price Data'!E282</f>
        <v>1.9465248380911016E-2</v>
      </c>
      <c r="F283" s="25">
        <f>('Raw Price Data'!F283-'Raw Price Data'!F282)/'Raw Price Data'!F282</f>
        <v>1.9161703612802991E-2</v>
      </c>
    </row>
    <row r="284" spans="1:6" ht="15" customHeight="1" x14ac:dyDescent="0.3">
      <c r="A284" s="19">
        <v>43860</v>
      </c>
      <c r="B284" s="26">
        <f>('Raw Price Data'!B284-'Raw Price Data'!B283)/'Raw Price Data'!B283</f>
        <v>-8.8591574760441497E-3</v>
      </c>
      <c r="C284" s="26">
        <f>('Raw Price Data'!C284-'Raw Price Data'!C283)/'Raw Price Data'!C283</f>
        <v>-2.8301354401805794E-2</v>
      </c>
      <c r="D284" s="26">
        <f>('Raw Price Data'!D284-'Raw Price Data'!D283)/'Raw Price Data'!D283</f>
        <v>-1.0999480339511486E-2</v>
      </c>
      <c r="E284" s="26">
        <f>('Raw Price Data'!E284-'Raw Price Data'!E283)/'Raw Price Data'!E283</f>
        <v>-1.0646981580712182E-4</v>
      </c>
      <c r="F284" s="26">
        <f>('Raw Price Data'!F284-'Raw Price Data'!F283)/'Raw Price Data'!F283</f>
        <v>1.996906931786796E-2</v>
      </c>
    </row>
    <row r="285" spans="1:6" ht="15" customHeight="1" x14ac:dyDescent="0.3">
      <c r="A285" s="21">
        <v>43861</v>
      </c>
      <c r="B285" s="25">
        <f>('Raw Price Data'!B285-'Raw Price Data'!B284)/'Raw Price Data'!B284</f>
        <v>-6.8861729295877005E-3</v>
      </c>
      <c r="C285" s="25">
        <f>('Raw Price Data'!C285-'Raw Price Data'!C284)/'Raw Price Data'!C284</f>
        <v>1.8323315039056834E-2</v>
      </c>
      <c r="D285" s="25">
        <f>('Raw Price Data'!D285-'Raw Price Data'!D284)/'Raw Price Data'!D284</f>
        <v>6.4804273579123313E-3</v>
      </c>
      <c r="E285" s="25">
        <f>('Raw Price Data'!E285-'Raw Price Data'!E284)/'Raw Price Data'!E284</f>
        <v>-5.8209696883651111E-3</v>
      </c>
      <c r="F285" s="25">
        <f>('Raw Price Data'!F285-'Raw Price Data'!F284)/'Raw Price Data'!F284</f>
        <v>2.0997111532533991E-2</v>
      </c>
    </row>
    <row r="286" spans="1:6" ht="15" customHeight="1" x14ac:dyDescent="0.3">
      <c r="A286" s="19">
        <v>43864</v>
      </c>
      <c r="B286" s="26">
        <f>('Raw Price Data'!B286-'Raw Price Data'!B285)/'Raw Price Data'!B285</f>
        <v>-7.8064012490242779E-3</v>
      </c>
      <c r="C286" s="26">
        <f>('Raw Price Data'!C286-'Raw Price Data'!C285)/'Raw Price Data'!C285</f>
        <v>3.8211474848864348E-3</v>
      </c>
      <c r="D286" s="26">
        <f>('Raw Price Data'!D286-'Raw Price Data'!D285)/'Raw Price Data'!D285</f>
        <v>7.6568345949708117E-3</v>
      </c>
      <c r="E286" s="26">
        <f>('Raw Price Data'!E286-'Raw Price Data'!E285)/'Raw Price Data'!E285</f>
        <v>2.7133166726169101E-2</v>
      </c>
      <c r="F286" s="26">
        <f>('Raw Price Data'!F286-'Raw Price Data'!F285)/'Raw Price Data'!F285</f>
        <v>1.6142750369094639E-3</v>
      </c>
    </row>
    <row r="287" spans="1:6" ht="15" customHeight="1" x14ac:dyDescent="0.3">
      <c r="A287" s="21">
        <v>43865</v>
      </c>
      <c r="B287" s="25">
        <f>('Raw Price Data'!B287-'Raw Price Data'!B286)/'Raw Price Data'!B286</f>
        <v>-2.9712593141111621E-2</v>
      </c>
      <c r="C287" s="25">
        <f>('Raw Price Data'!C287-'Raw Price Data'!C286)/'Raw Price Data'!C286</f>
        <v>2.805238338730754E-2</v>
      </c>
      <c r="D287" s="25">
        <f>('Raw Price Data'!D287-'Raw Price Data'!D286)/'Raw Price Data'!D286</f>
        <v>2.0464554010879928E-2</v>
      </c>
      <c r="E287" s="25">
        <f>('Raw Price Data'!E287-'Raw Price Data'!E286)/'Raw Price Data'!E286</f>
        <v>-9.0719499478624042E-3</v>
      </c>
      <c r="F287" s="25">
        <f>('Raw Price Data'!F287-'Raw Price Data'!F286)/'Raw Price Data'!F286</f>
        <v>5.5780546388826211E-3</v>
      </c>
    </row>
    <row r="288" spans="1:6" ht="15" customHeight="1" x14ac:dyDescent="0.3">
      <c r="A288" s="19">
        <v>43866</v>
      </c>
      <c r="B288" s="26">
        <f>('Raw Price Data'!B288-'Raw Price Data'!B287)/'Raw Price Data'!B287</f>
        <v>2.5280228953016987E-3</v>
      </c>
      <c r="C288" s="26">
        <f>('Raw Price Data'!C288-'Raw Price Data'!C287)/'Raw Price Data'!C287</f>
        <v>2.149794829992133E-2</v>
      </c>
      <c r="D288" s="26">
        <f>('Raw Price Data'!D288-'Raw Price Data'!D287)/'Raw Price Data'!D287</f>
        <v>1.0915552546962193E-2</v>
      </c>
      <c r="E288" s="26">
        <f>('Raw Price Data'!E288-'Raw Price Data'!E287)/'Raw Price Data'!E287</f>
        <v>7.4713248447860411E-3</v>
      </c>
      <c r="F288" s="26">
        <f>('Raw Price Data'!F288-'Raw Price Data'!F287)/'Raw Price Data'!F287</f>
        <v>-8.5602678453886184E-3</v>
      </c>
    </row>
    <row r="289" spans="1:6" ht="15" customHeight="1" x14ac:dyDescent="0.3">
      <c r="A289" s="21">
        <v>43867</v>
      </c>
      <c r="B289" s="25">
        <f>('Raw Price Data'!B289-'Raw Price Data'!B288)/'Raw Price Data'!B288</f>
        <v>3.7586830335902179E-3</v>
      </c>
      <c r="C289" s="25">
        <f>('Raw Price Data'!C289-'Raw Price Data'!C288)/'Raw Price Data'!C288</f>
        <v>1.7988773923039523E-3</v>
      </c>
      <c r="D289" s="25">
        <f>('Raw Price Data'!D289-'Raw Price Data'!D288)/'Raw Price Data'!D288</f>
        <v>2.8459027370888374E-3</v>
      </c>
      <c r="E289" s="25">
        <f>('Raw Price Data'!E289-'Raw Price Data'!E288)/'Raw Price Data'!E288</f>
        <v>-5.4661931620362432E-3</v>
      </c>
      <c r="F289" s="25">
        <f>('Raw Price Data'!F289-'Raw Price Data'!F288)/'Raw Price Data'!F288</f>
        <v>-1.4717195591554931E-2</v>
      </c>
    </row>
    <row r="290" spans="1:6" ht="15" customHeight="1" x14ac:dyDescent="0.3">
      <c r="A290" s="19">
        <v>43868</v>
      </c>
      <c r="B290" s="26">
        <f>('Raw Price Data'!B290-'Raw Price Data'!B289)/'Raw Price Data'!B289</f>
        <v>-4.6926103237427555E-3</v>
      </c>
      <c r="C290" s="26">
        <f>('Raw Price Data'!C290-'Raw Price Data'!C289)/'Raw Price Data'!C289</f>
        <v>-1.6511853972025578E-2</v>
      </c>
      <c r="D290" s="26">
        <f>('Raw Price Data'!D290-'Raw Price Data'!D289)/'Raw Price Data'!D289</f>
        <v>1.0182789416576236E-2</v>
      </c>
      <c r="E290" s="26">
        <f>('Raw Price Data'!E290-'Raw Price Data'!E289)/'Raw Price Data'!E289</f>
        <v>-1.6943812357780415E-2</v>
      </c>
      <c r="F290" s="26">
        <f>('Raw Price Data'!F290-'Raw Price Data'!F289)/'Raw Price Data'!F289</f>
        <v>8.7497787111143165E-3</v>
      </c>
    </row>
    <row r="291" spans="1:6" ht="15" customHeight="1" x14ac:dyDescent="0.3">
      <c r="A291" s="21">
        <v>43871</v>
      </c>
      <c r="B291" s="25">
        <f>('Raw Price Data'!B291-'Raw Price Data'!B290)/'Raw Price Data'!B290</f>
        <v>-9.5723402228783273E-3</v>
      </c>
      <c r="C291" s="25">
        <f>('Raw Price Data'!C291-'Raw Price Data'!C290)/'Raw Price Data'!C290</f>
        <v>1.8093211613700252E-2</v>
      </c>
      <c r="D291" s="25">
        <f>('Raw Price Data'!D291-'Raw Price Data'!D290)/'Raw Price Data'!D290</f>
        <v>-1.5781211269933045E-2</v>
      </c>
      <c r="E291" s="25">
        <f>('Raw Price Data'!E291-'Raw Price Data'!E290)/'Raw Price Data'!E290</f>
        <v>2.0084754816423869E-2</v>
      </c>
      <c r="F291" s="25">
        <f>('Raw Price Data'!F291-'Raw Price Data'!F290)/'Raw Price Data'!F290</f>
        <v>-1.5815335062922861E-2</v>
      </c>
    </row>
    <row r="292" spans="1:6" ht="15" customHeight="1" x14ac:dyDescent="0.3">
      <c r="A292" s="19">
        <v>43872</v>
      </c>
      <c r="B292" s="26">
        <f>('Raw Price Data'!B292-'Raw Price Data'!B291)/'Raw Price Data'!B291</f>
        <v>5.4334759821127827E-3</v>
      </c>
      <c r="C292" s="26">
        <f>('Raw Price Data'!C292-'Raw Price Data'!C291)/'Raw Price Data'!C291</f>
        <v>-1.1609562719954713E-2</v>
      </c>
      <c r="D292" s="26">
        <f>('Raw Price Data'!D292-'Raw Price Data'!D291)/'Raw Price Data'!D291</f>
        <v>1.9476158495634596E-2</v>
      </c>
      <c r="E292" s="26">
        <f>('Raw Price Data'!E292-'Raw Price Data'!E291)/'Raw Price Data'!E291</f>
        <v>-7.2962122534472856E-3</v>
      </c>
      <c r="F292" s="26">
        <f>('Raw Price Data'!F292-'Raw Price Data'!F291)/'Raw Price Data'!F291</f>
        <v>1.1592039779383778E-2</v>
      </c>
    </row>
    <row r="293" spans="1:6" ht="15" customHeight="1" x14ac:dyDescent="0.3">
      <c r="A293" s="21">
        <v>43873</v>
      </c>
      <c r="B293" s="25">
        <f>('Raw Price Data'!B293-'Raw Price Data'!B292)/'Raw Price Data'!B292</f>
        <v>2.4151123864179874E-2</v>
      </c>
      <c r="C293" s="25">
        <f>('Raw Price Data'!C293-'Raw Price Data'!C292)/'Raw Price Data'!C292</f>
        <v>-2.0558784207797789E-2</v>
      </c>
      <c r="D293" s="25">
        <f>('Raw Price Data'!D293-'Raw Price Data'!D292)/'Raw Price Data'!D292</f>
        <v>8.7285902503293992E-3</v>
      </c>
      <c r="E293" s="25">
        <f>('Raw Price Data'!E293-'Raw Price Data'!E292)/'Raw Price Data'!E292</f>
        <v>9.2488394992263166E-3</v>
      </c>
      <c r="F293" s="25">
        <f>('Raw Price Data'!F293-'Raw Price Data'!F292)/'Raw Price Data'!F292</f>
        <v>-9.4366886051642437E-3</v>
      </c>
    </row>
    <row r="294" spans="1:6" ht="15" customHeight="1" x14ac:dyDescent="0.3">
      <c r="A294" s="19">
        <v>43874</v>
      </c>
      <c r="B294" s="26">
        <f>('Raw Price Data'!B294-'Raw Price Data'!B293)/'Raw Price Data'!B293</f>
        <v>8.4053233714689152E-4</v>
      </c>
      <c r="C294" s="26">
        <f>('Raw Price Data'!C294-'Raw Price Data'!C293)/'Raw Price Data'!C293</f>
        <v>-1.9694964830420082E-2</v>
      </c>
      <c r="D294" s="26">
        <f>('Raw Price Data'!D294-'Raw Price Data'!D293)/'Raw Price Data'!D293</f>
        <v>8.1632653061224497E-3</v>
      </c>
      <c r="E294" s="26">
        <f>('Raw Price Data'!E294-'Raw Price Data'!E293)/'Raw Price Data'!E293</f>
        <v>-6.0977734415833306E-3</v>
      </c>
      <c r="F294" s="26">
        <f>('Raw Price Data'!F294-'Raw Price Data'!F293)/'Raw Price Data'!F293</f>
        <v>-2.001034330136845E-3</v>
      </c>
    </row>
    <row r="295" spans="1:6" ht="15" customHeight="1" x14ac:dyDescent="0.3">
      <c r="A295" s="21">
        <v>43875</v>
      </c>
      <c r="B295" s="25">
        <f>('Raw Price Data'!B295-'Raw Price Data'!B294)/'Raw Price Data'!B294</f>
        <v>-6.7186114869594834E-3</v>
      </c>
      <c r="C295" s="25">
        <f>('Raw Price Data'!C295-'Raw Price Data'!C294)/'Raw Price Data'!C294</f>
        <v>2.7422173597988998E-3</v>
      </c>
      <c r="D295" s="25">
        <f>('Raw Price Data'!D295-'Raw Price Data'!D294)/'Raw Price Data'!D294</f>
        <v>9.7975708502023792E-3</v>
      </c>
      <c r="E295" s="25">
        <f>('Raw Price Data'!E295-'Raw Price Data'!E294)/'Raw Price Data'!E294</f>
        <v>-2.0684335997757392E-3</v>
      </c>
      <c r="F295" s="25">
        <f>('Raw Price Data'!F295-'Raw Price Data'!F294)/'Raw Price Data'!F294</f>
        <v>2.0037433905353608E-2</v>
      </c>
    </row>
    <row r="296" spans="1:6" ht="15" customHeight="1" x14ac:dyDescent="0.3">
      <c r="A296" s="19">
        <v>43878</v>
      </c>
      <c r="B296" s="26">
        <f>('Raw Price Data'!B296-'Raw Price Data'!B295)/'Raw Price Data'!B295</f>
        <v>-7.8913993141997204E-3</v>
      </c>
      <c r="C296" s="26">
        <f>('Raw Price Data'!C296-'Raw Price Data'!C295)/'Raw Price Data'!C295</f>
        <v>2.2926290135177191E-2</v>
      </c>
      <c r="D296" s="26">
        <f>('Raw Price Data'!D296-'Raw Price Data'!D295)/'Raw Price Data'!D295</f>
        <v>-2.2933205035682781E-2</v>
      </c>
      <c r="E296" s="26">
        <f>('Raw Price Data'!E296-'Raw Price Data'!E295)/'Raw Price Data'!E295</f>
        <v>-2.740207272088434E-3</v>
      </c>
      <c r="F296" s="26">
        <f>('Raw Price Data'!F296-'Raw Price Data'!F295)/'Raw Price Data'!F295</f>
        <v>3.2514720091503489E-3</v>
      </c>
    </row>
    <row r="297" spans="1:6" ht="15" customHeight="1" x14ac:dyDescent="0.3">
      <c r="A297" s="21">
        <v>43879</v>
      </c>
      <c r="B297" s="25">
        <f>('Raw Price Data'!B297-'Raw Price Data'!B296)/'Raw Price Data'!B296</f>
        <v>-6.6284740305863729E-4</v>
      </c>
      <c r="C297" s="25">
        <f>('Raw Price Data'!C297-'Raw Price Data'!C296)/'Raw Price Data'!C296</f>
        <v>1.5237145390071239E-3</v>
      </c>
      <c r="D297" s="25">
        <f>('Raw Price Data'!D297-'Raw Price Data'!D296)/'Raw Price Data'!D296</f>
        <v>-1.7398440705785723E-2</v>
      </c>
      <c r="E297" s="25">
        <f>('Raw Price Data'!E297-'Raw Price Data'!E296)/'Raw Price Data'!E296</f>
        <v>-1.1906858773382165E-2</v>
      </c>
      <c r="F297" s="25">
        <f>('Raw Price Data'!F297-'Raw Price Data'!F296)/'Raw Price Data'!F296</f>
        <v>6.1393323688278224E-3</v>
      </c>
    </row>
    <row r="298" spans="1:6" ht="15" customHeight="1" x14ac:dyDescent="0.3">
      <c r="A298" s="19">
        <v>43880</v>
      </c>
      <c r="B298" s="26">
        <f>('Raw Price Data'!B298-'Raw Price Data'!B297)/'Raw Price Data'!B297</f>
        <v>-1.7198085943052048E-2</v>
      </c>
      <c r="C298" s="26">
        <f>('Raw Price Data'!C298-'Raw Price Data'!C297)/'Raw Price Data'!C297</f>
        <v>2.2184725180492883E-2</v>
      </c>
      <c r="D298" s="26">
        <f>('Raw Price Data'!D298-'Raw Price Data'!D297)/'Raw Price Data'!D297</f>
        <v>2.4221164286310202E-3</v>
      </c>
      <c r="E298" s="26">
        <f>('Raw Price Data'!E298-'Raw Price Data'!E297)/'Raw Price Data'!E297</f>
        <v>1.4332061749081899E-2</v>
      </c>
      <c r="F298" s="26">
        <f>('Raw Price Data'!F298-'Raw Price Data'!F297)/'Raw Price Data'!F297</f>
        <v>-2.7208252712969117E-3</v>
      </c>
    </row>
    <row r="299" spans="1:6" ht="15" customHeight="1" x14ac:dyDescent="0.3">
      <c r="A299" s="21">
        <v>43881</v>
      </c>
      <c r="B299" s="25">
        <f>('Raw Price Data'!B299-'Raw Price Data'!B298)/'Raw Price Data'!B298</f>
        <v>-1.3979946008483997E-3</v>
      </c>
      <c r="C299" s="25">
        <f>('Raw Price Data'!C299-'Raw Price Data'!C298)/'Raw Price Data'!C298</f>
        <v>2.2055042892324159E-3</v>
      </c>
      <c r="D299" s="25">
        <f>('Raw Price Data'!D299-'Raw Price Data'!D298)/'Raw Price Data'!D298</f>
        <v>2.6662222962840145E-3</v>
      </c>
      <c r="E299" s="25">
        <f>('Raw Price Data'!E299-'Raw Price Data'!E298)/'Raw Price Data'!E298</f>
        <v>-1.1598889318476823E-3</v>
      </c>
      <c r="F299" s="25">
        <f>('Raw Price Data'!F299-'Raw Price Data'!F298)/'Raw Price Data'!F298</f>
        <v>1.0063363721466991E-2</v>
      </c>
    </row>
    <row r="300" spans="1:6" ht="15" customHeight="1" x14ac:dyDescent="0.3">
      <c r="A300" s="19">
        <v>43882</v>
      </c>
      <c r="B300" s="26">
        <f>('Raw Price Data'!B300-'Raw Price Data'!B299)/'Raw Price Data'!B299</f>
        <v>1.1585807385951275E-3</v>
      </c>
      <c r="C300" s="26">
        <f>('Raw Price Data'!C300-'Raw Price Data'!C299)/'Raw Price Data'!C299</f>
        <v>-6.9259744292485504E-3</v>
      </c>
      <c r="D300" s="26">
        <f>('Raw Price Data'!D300-'Raw Price Data'!D299)/'Raw Price Data'!D299</f>
        <v>9.4731593817517085E-3</v>
      </c>
      <c r="E300" s="26">
        <f>('Raw Price Data'!E300-'Raw Price Data'!E299)/'Raw Price Data'!E299</f>
        <v>1.6785136181293483E-2</v>
      </c>
      <c r="F300" s="26">
        <f>('Raw Price Data'!F300-'Raw Price Data'!F299)/'Raw Price Data'!F299</f>
        <v>-2.619609462506783E-3</v>
      </c>
    </row>
    <row r="301" spans="1:6" ht="15" customHeight="1" x14ac:dyDescent="0.3">
      <c r="A301" s="21">
        <v>43885</v>
      </c>
      <c r="B301" s="25">
        <f>('Raw Price Data'!B301-'Raw Price Data'!B300)/'Raw Price Data'!B300</f>
        <v>2.5893244611601356E-2</v>
      </c>
      <c r="C301" s="25">
        <f>('Raw Price Data'!C301-'Raw Price Data'!C300)/'Raw Price Data'!C300</f>
        <v>4.8588830278971137E-2</v>
      </c>
      <c r="D301" s="25">
        <f>('Raw Price Data'!D301-'Raw Price Data'!D300)/'Raw Price Data'!D300</f>
        <v>2.057951926243003E-3</v>
      </c>
      <c r="E301" s="25">
        <f>('Raw Price Data'!E301-'Raw Price Data'!E300)/'Raw Price Data'!E300</f>
        <v>1.4569994808790575E-2</v>
      </c>
      <c r="F301" s="25">
        <f>('Raw Price Data'!F301-'Raw Price Data'!F300)/'Raw Price Data'!F300</f>
        <v>-1.0205099253392438E-2</v>
      </c>
    </row>
    <row r="302" spans="1:6" ht="15" customHeight="1" x14ac:dyDescent="0.3">
      <c r="A302" s="19">
        <v>43886</v>
      </c>
      <c r="B302" s="26">
        <f>('Raw Price Data'!B302-'Raw Price Data'!B301)/'Raw Price Data'!B301</f>
        <v>1.3395375070502081E-2</v>
      </c>
      <c r="C302" s="26">
        <f>('Raw Price Data'!C302-'Raw Price Data'!C301)/'Raw Price Data'!C301</f>
        <v>3.2723972513937521E-2</v>
      </c>
      <c r="D302" s="26">
        <f>('Raw Price Data'!D302-'Raw Price Data'!D301)/'Raw Price Data'!D301</f>
        <v>-2.464470549576909E-3</v>
      </c>
      <c r="E302" s="26">
        <f>('Raw Price Data'!E302-'Raw Price Data'!E301)/'Raw Price Data'!E301</f>
        <v>2.3604857415745525E-2</v>
      </c>
      <c r="F302" s="26">
        <f>('Raw Price Data'!F302-'Raw Price Data'!F301)/'Raw Price Data'!F301</f>
        <v>-1.0867545505221949E-2</v>
      </c>
    </row>
    <row r="303" spans="1:6" ht="15" customHeight="1" x14ac:dyDescent="0.3">
      <c r="A303" s="21">
        <v>43887</v>
      </c>
      <c r="B303" s="25">
        <f>('Raw Price Data'!B303-'Raw Price Data'!B302)/'Raw Price Data'!B302</f>
        <v>1.4609711979963717E-2</v>
      </c>
      <c r="C303" s="25">
        <f>('Raw Price Data'!C303-'Raw Price Data'!C302)/'Raw Price Data'!C302</f>
        <v>4.0675923368569174E-3</v>
      </c>
      <c r="D303" s="25">
        <f>('Raw Price Data'!D303-'Raw Price Data'!D302)/'Raw Price Data'!D302</f>
        <v>2.0176233220785544E-2</v>
      </c>
      <c r="E303" s="25">
        <f>('Raw Price Data'!E303-'Raw Price Data'!E302)/'Raw Price Data'!E302</f>
        <v>-8.8309784057583884E-3</v>
      </c>
      <c r="F303" s="25">
        <f>('Raw Price Data'!F303-'Raw Price Data'!F302)/'Raw Price Data'!F302</f>
        <v>-1.7386241548131422E-2</v>
      </c>
    </row>
    <row r="304" spans="1:6" ht="15" customHeight="1" x14ac:dyDescent="0.3">
      <c r="A304" s="19">
        <v>43888</v>
      </c>
      <c r="B304" s="26">
        <f>('Raw Price Data'!B304-'Raw Price Data'!B303)/'Raw Price Data'!B303</f>
        <v>-9.5538489669043866E-3</v>
      </c>
      <c r="C304" s="26">
        <f>('Raw Price Data'!C304-'Raw Price Data'!C303)/'Raw Price Data'!C303</f>
        <v>-1.4091375128160222E-2</v>
      </c>
      <c r="D304" s="26">
        <f>('Raw Price Data'!D304-'Raw Price Data'!D303)/'Raw Price Data'!D303</f>
        <v>5.8927994833710366E-3</v>
      </c>
      <c r="E304" s="26">
        <f>('Raw Price Data'!E304-'Raw Price Data'!E303)/'Raw Price Data'!E303</f>
        <v>1.3011464882493376E-2</v>
      </c>
      <c r="F304" s="26">
        <f>('Raw Price Data'!F304-'Raw Price Data'!F303)/'Raw Price Data'!F303</f>
        <v>-1.3919833613227132E-2</v>
      </c>
    </row>
    <row r="305" spans="1:6" ht="15" customHeight="1" x14ac:dyDescent="0.3">
      <c r="A305" s="21">
        <v>43889</v>
      </c>
      <c r="B305" s="25">
        <f>('Raw Price Data'!B305-'Raw Price Data'!B304)/'Raw Price Data'!B304</f>
        <v>9.5998523099645201E-3</v>
      </c>
      <c r="C305" s="25">
        <f>('Raw Price Data'!C305-'Raw Price Data'!C304)/'Raw Price Data'!C304</f>
        <v>-2.7786584824542451E-2</v>
      </c>
      <c r="D305" s="25">
        <f>('Raw Price Data'!D305-'Raw Price Data'!D304)/'Raw Price Data'!D304</f>
        <v>1.2198057940775187E-2</v>
      </c>
      <c r="E305" s="25">
        <f>('Raw Price Data'!E305-'Raw Price Data'!E304)/'Raw Price Data'!E304</f>
        <v>-2.8211085297046887E-3</v>
      </c>
      <c r="F305" s="25">
        <f>('Raw Price Data'!F305-'Raw Price Data'!F304)/'Raw Price Data'!F304</f>
        <v>7.9615998271922121E-3</v>
      </c>
    </row>
    <row r="306" spans="1:6" ht="15" customHeight="1" x14ac:dyDescent="0.3">
      <c r="A306" s="19">
        <v>43892</v>
      </c>
      <c r="B306" s="26">
        <f>('Raw Price Data'!B306-'Raw Price Data'!B305)/'Raw Price Data'!B305</f>
        <v>-1.545142857142855E-2</v>
      </c>
      <c r="C306" s="26">
        <f>('Raw Price Data'!C306-'Raw Price Data'!C305)/'Raw Price Data'!C305</f>
        <v>7.6832768066788237E-3</v>
      </c>
      <c r="D306" s="26">
        <f>('Raw Price Data'!D306-'Raw Price Data'!D305)/'Raw Price Data'!D305</f>
        <v>1.9186553555855197E-2</v>
      </c>
      <c r="E306" s="26">
        <f>('Raw Price Data'!E306-'Raw Price Data'!E305)/'Raw Price Data'!E305</f>
        <v>6.6566816442132311E-5</v>
      </c>
      <c r="F306" s="26">
        <f>('Raw Price Data'!F306-'Raw Price Data'!F305)/'Raw Price Data'!F305</f>
        <v>-5.9504387734978751E-4</v>
      </c>
    </row>
    <row r="307" spans="1:6" ht="15" customHeight="1" x14ac:dyDescent="0.3">
      <c r="A307" s="21">
        <v>43893</v>
      </c>
      <c r="B307" s="25">
        <f>('Raw Price Data'!B307-'Raw Price Data'!B306)/'Raw Price Data'!B306</f>
        <v>4.6431722152574639E-3</v>
      </c>
      <c r="C307" s="25">
        <f>('Raw Price Data'!C307-'Raw Price Data'!C306)/'Raw Price Data'!C306</f>
        <v>-3.9094357208507317E-3</v>
      </c>
      <c r="D307" s="25">
        <f>('Raw Price Data'!D307-'Raw Price Data'!D306)/'Raw Price Data'!D306</f>
        <v>2.0303383897316101E-2</v>
      </c>
      <c r="E307" s="25">
        <f>('Raw Price Data'!E307-'Raw Price Data'!E306)/'Raw Price Data'!E306</f>
        <v>-1.3012946383998485E-2</v>
      </c>
      <c r="F307" s="25">
        <f>('Raw Price Data'!F307-'Raw Price Data'!F306)/'Raw Price Data'!F306</f>
        <v>-1.0482742680777046E-2</v>
      </c>
    </row>
    <row r="308" spans="1:6" ht="15" customHeight="1" x14ac:dyDescent="0.3">
      <c r="A308" s="19">
        <v>43894</v>
      </c>
      <c r="B308" s="26">
        <f>('Raw Price Data'!B308-'Raw Price Data'!B307)/'Raw Price Data'!B307</f>
        <v>6.1006609049313355E-3</v>
      </c>
      <c r="C308" s="26">
        <f>('Raw Price Data'!C308-'Raw Price Data'!C307)/'Raw Price Data'!C307</f>
        <v>8.8242556564907832E-3</v>
      </c>
      <c r="D308" s="26">
        <f>('Raw Price Data'!D308-'Raw Price Data'!D307)/'Raw Price Data'!D307</f>
        <v>5.4132357426045132E-3</v>
      </c>
      <c r="E308" s="26">
        <f>('Raw Price Data'!E308-'Raw Price Data'!E307)/'Raw Price Data'!E307</f>
        <v>-8.4974372808200079E-3</v>
      </c>
      <c r="F308" s="26">
        <f>('Raw Price Data'!F308-'Raw Price Data'!F307)/'Raw Price Data'!F307</f>
        <v>9.2518355909138959E-3</v>
      </c>
    </row>
    <row r="309" spans="1:6" ht="15" customHeight="1" x14ac:dyDescent="0.3">
      <c r="A309" s="21">
        <v>43895</v>
      </c>
      <c r="B309" s="25">
        <f>('Raw Price Data'!B309-'Raw Price Data'!B308)/'Raw Price Data'!B308</f>
        <v>-1.0289861729983045E-2</v>
      </c>
      <c r="C309" s="25">
        <f>('Raw Price Data'!C309-'Raw Price Data'!C308)/'Raw Price Data'!C308</f>
        <v>6.2994357560610965E-3</v>
      </c>
      <c r="D309" s="25">
        <f>('Raw Price Data'!D309-'Raw Price Data'!D308)/'Raw Price Data'!D308</f>
        <v>1.1829832410707532E-2</v>
      </c>
      <c r="E309" s="25">
        <f>('Raw Price Data'!E309-'Raw Price Data'!E308)/'Raw Price Data'!E308</f>
        <v>1.2379268126785425E-2</v>
      </c>
      <c r="F309" s="25">
        <f>('Raw Price Data'!F309-'Raw Price Data'!F308)/'Raw Price Data'!F308</f>
        <v>2.4118189026058421E-3</v>
      </c>
    </row>
    <row r="310" spans="1:6" ht="15" customHeight="1" x14ac:dyDescent="0.3">
      <c r="A310" s="19">
        <v>43896</v>
      </c>
      <c r="B310" s="26">
        <f>('Raw Price Data'!B310-'Raw Price Data'!B309)/'Raw Price Data'!B309</f>
        <v>2.8034346716175544E-2</v>
      </c>
      <c r="C310" s="26">
        <f>('Raw Price Data'!C310-'Raw Price Data'!C309)/'Raw Price Data'!C309</f>
        <v>8.2826601805031392E-3</v>
      </c>
      <c r="D310" s="26">
        <f>('Raw Price Data'!D310-'Raw Price Data'!D309)/'Raw Price Data'!D309</f>
        <v>4.5716855279920943E-3</v>
      </c>
      <c r="E310" s="26">
        <f>('Raw Price Data'!E310-'Raw Price Data'!E309)/'Raw Price Data'!E309</f>
        <v>-5.9795753829616684E-3</v>
      </c>
      <c r="F310" s="26">
        <f>('Raw Price Data'!F310-'Raw Price Data'!F309)/'Raw Price Data'!F309</f>
        <v>5.3920831691904054E-3</v>
      </c>
    </row>
    <row r="311" spans="1:6" ht="15" customHeight="1" x14ac:dyDescent="0.3">
      <c r="A311" s="21">
        <v>43899</v>
      </c>
      <c r="B311" s="25">
        <f>('Raw Price Data'!B311-'Raw Price Data'!B310)/'Raw Price Data'!B310</f>
        <v>8.1719264978102942E-3</v>
      </c>
      <c r="C311" s="25">
        <f>('Raw Price Data'!C311-'Raw Price Data'!C310)/'Raw Price Data'!C310</f>
        <v>2.0746045047103975E-2</v>
      </c>
      <c r="D311" s="25">
        <f>('Raw Price Data'!D311-'Raw Price Data'!D310)/'Raw Price Data'!D310</f>
        <v>1.7308266189197417E-2</v>
      </c>
      <c r="E311" s="25">
        <f>('Raw Price Data'!E311-'Raw Price Data'!E310)/'Raw Price Data'!E310</f>
        <v>-1.3315309226089889E-2</v>
      </c>
      <c r="F311" s="25">
        <f>('Raw Price Data'!F311-'Raw Price Data'!F310)/'Raw Price Data'!F310</f>
        <v>-1.0903798768146483E-2</v>
      </c>
    </row>
    <row r="312" spans="1:6" ht="15" customHeight="1" x14ac:dyDescent="0.3">
      <c r="A312" s="19">
        <v>43900</v>
      </c>
      <c r="B312" s="26">
        <f>('Raw Price Data'!B312-'Raw Price Data'!B311)/'Raw Price Data'!B311</f>
        <v>-2.6063591580833056E-2</v>
      </c>
      <c r="C312" s="26">
        <f>('Raw Price Data'!C312-'Raw Price Data'!C311)/'Raw Price Data'!C311</f>
        <v>6.1321458779043112E-3</v>
      </c>
      <c r="D312" s="26">
        <f>('Raw Price Data'!D312-'Raw Price Data'!D311)/'Raw Price Data'!D311</f>
        <v>3.6300968025813937E-2</v>
      </c>
      <c r="E312" s="26">
        <f>('Raw Price Data'!E312-'Raw Price Data'!E311)/'Raw Price Data'!E311</f>
        <v>1.6509110837100952E-2</v>
      </c>
      <c r="F312" s="26">
        <f>('Raw Price Data'!F312-'Raw Price Data'!F311)/'Raw Price Data'!F311</f>
        <v>-4.9001205664038578E-3</v>
      </c>
    </row>
    <row r="313" spans="1:6" ht="15" customHeight="1" x14ac:dyDescent="0.3">
      <c r="A313" s="21">
        <v>43901</v>
      </c>
      <c r="B313" s="25">
        <f>('Raw Price Data'!B313-'Raw Price Data'!B312)/'Raw Price Data'!B312</f>
        <v>8.0007356998345099E-3</v>
      </c>
      <c r="C313" s="25">
        <f>('Raw Price Data'!C313-'Raw Price Data'!C312)/'Raw Price Data'!C312</f>
        <v>-1.2164818454919745E-2</v>
      </c>
      <c r="D313" s="25">
        <f>('Raw Price Data'!D313-'Raw Price Data'!D312)/'Raw Price Data'!D312</f>
        <v>-1.6063972825702429E-2</v>
      </c>
      <c r="E313" s="25">
        <f>('Raw Price Data'!E313-'Raw Price Data'!E312)/'Raw Price Data'!E312</f>
        <v>7.2107284857471643E-3</v>
      </c>
      <c r="F313" s="25">
        <f>('Raw Price Data'!F313-'Raw Price Data'!F312)/'Raw Price Data'!F312</f>
        <v>4.3163425306782044E-3</v>
      </c>
    </row>
    <row r="314" spans="1:6" ht="15" customHeight="1" x14ac:dyDescent="0.3">
      <c r="A314" s="19">
        <v>43902</v>
      </c>
      <c r="B314" s="26">
        <f>('Raw Price Data'!B314-'Raw Price Data'!B313)/'Raw Price Data'!B313</f>
        <v>-5.3371042788066215E-3</v>
      </c>
      <c r="C314" s="26">
        <f>('Raw Price Data'!C314-'Raw Price Data'!C313)/'Raw Price Data'!C313</f>
        <v>-1.2990426131030594E-2</v>
      </c>
      <c r="D314" s="26">
        <f>('Raw Price Data'!D314-'Raw Price Data'!D313)/'Raw Price Data'!D313</f>
        <v>-1.1435558112773327E-2</v>
      </c>
      <c r="E314" s="26">
        <f>('Raw Price Data'!E314-'Raw Price Data'!E313)/'Raw Price Data'!E313</f>
        <v>-2.2547838886658667E-2</v>
      </c>
      <c r="F314" s="26">
        <f>('Raw Price Data'!F314-'Raw Price Data'!F313)/'Raw Price Data'!F313</f>
        <v>-2.7241578209564184E-3</v>
      </c>
    </row>
    <row r="315" spans="1:6" ht="15" customHeight="1" x14ac:dyDescent="0.3">
      <c r="A315" s="21">
        <v>43903</v>
      </c>
      <c r="B315" s="25">
        <f>('Raw Price Data'!B315-'Raw Price Data'!B314)/'Raw Price Data'!B314</f>
        <v>3.2102728731939087E-4</v>
      </c>
      <c r="C315" s="25">
        <f>('Raw Price Data'!C315-'Raw Price Data'!C314)/'Raw Price Data'!C314</f>
        <v>1.0879074898246468E-2</v>
      </c>
      <c r="D315" s="25">
        <f>('Raw Price Data'!D315-'Raw Price Data'!D314)/'Raw Price Data'!D314</f>
        <v>2.5318297562750225E-2</v>
      </c>
      <c r="E315" s="25">
        <f>('Raw Price Data'!E315-'Raw Price Data'!E314)/'Raw Price Data'!E314</f>
        <v>2.4642343760694452E-3</v>
      </c>
      <c r="F315" s="25">
        <f>('Raw Price Data'!F315-'Raw Price Data'!F314)/'Raw Price Data'!F314</f>
        <v>1.1763413754894734E-2</v>
      </c>
    </row>
    <row r="316" spans="1:6" ht="15" customHeight="1" x14ac:dyDescent="0.3">
      <c r="A316" s="19">
        <v>43906</v>
      </c>
      <c r="B316" s="26">
        <f>('Raw Price Data'!B316-'Raw Price Data'!B315)/'Raw Price Data'!B315</f>
        <v>6.7852558224829902E-3</v>
      </c>
      <c r="C316" s="26">
        <f>('Raw Price Data'!C316-'Raw Price Data'!C315)/'Raw Price Data'!C315</f>
        <v>-1.8312950768265942E-2</v>
      </c>
      <c r="D316" s="26">
        <f>('Raw Price Data'!D316-'Raw Price Data'!D315)/'Raw Price Data'!D315</f>
        <v>3.3349890016320075E-3</v>
      </c>
      <c r="E316" s="26">
        <f>('Raw Price Data'!E316-'Raw Price Data'!E315)/'Raw Price Data'!E315</f>
        <v>2.1816319562990932E-2</v>
      </c>
      <c r="F316" s="26">
        <f>('Raw Price Data'!F316-'Raw Price Data'!F315)/'Raw Price Data'!F315</f>
        <v>9.1261851193654413E-3</v>
      </c>
    </row>
    <row r="317" spans="1:6" ht="15" customHeight="1" x14ac:dyDescent="0.3">
      <c r="A317" s="21">
        <v>43907</v>
      </c>
      <c r="B317" s="25">
        <f>('Raw Price Data'!B317-'Raw Price Data'!B316)/'Raw Price Data'!B316</f>
        <v>5.7377049180328751E-3</v>
      </c>
      <c r="C317" s="25">
        <f>('Raw Price Data'!C317-'Raw Price Data'!C316)/'Raw Price Data'!C316</f>
        <v>1.3275410464447693E-2</v>
      </c>
      <c r="D317" s="25">
        <f>('Raw Price Data'!D317-'Raw Price Data'!D316)/'Raw Price Data'!D316</f>
        <v>-6.3649222065064051E-3</v>
      </c>
      <c r="E317" s="25">
        <f>('Raw Price Data'!E317-'Raw Price Data'!E316)/'Raw Price Data'!E316</f>
        <v>2.1183467539844212E-2</v>
      </c>
      <c r="F317" s="25">
        <f>('Raw Price Data'!F317-'Raw Price Data'!F316)/'Raw Price Data'!F316</f>
        <v>1.7337333455653307E-2</v>
      </c>
    </row>
    <row r="318" spans="1:6" ht="15" customHeight="1" x14ac:dyDescent="0.3">
      <c r="A318" s="19">
        <v>43908</v>
      </c>
      <c r="B318" s="26">
        <f>('Raw Price Data'!B318-'Raw Price Data'!B317)/'Raw Price Data'!B317</f>
        <v>-2.793624920764292E-2</v>
      </c>
      <c r="C318" s="26">
        <f>('Raw Price Data'!C318-'Raw Price Data'!C317)/'Raw Price Data'!C317</f>
        <v>1.3189750832240539E-2</v>
      </c>
      <c r="D318" s="26">
        <f>('Raw Price Data'!D318-'Raw Price Data'!D317)/'Raw Price Data'!D317</f>
        <v>-1.0533807829181422E-2</v>
      </c>
      <c r="E318" s="26">
        <f>('Raw Price Data'!E318-'Raw Price Data'!E317)/'Raw Price Data'!E317</f>
        <v>-9.6849131302554712E-3</v>
      </c>
      <c r="F318" s="26">
        <f>('Raw Price Data'!F318-'Raw Price Data'!F317)/'Raw Price Data'!F317</f>
        <v>3.8245083620082948E-3</v>
      </c>
    </row>
    <row r="319" spans="1:6" ht="15" customHeight="1" x14ac:dyDescent="0.3">
      <c r="A319" s="21">
        <v>43909</v>
      </c>
      <c r="B319" s="25">
        <f>('Raw Price Data'!B319-'Raw Price Data'!B318)/'Raw Price Data'!B318</f>
        <v>-1.5743630350738252E-2</v>
      </c>
      <c r="C319" s="25">
        <f>('Raw Price Data'!C319-'Raw Price Data'!C318)/'Raw Price Data'!C318</f>
        <v>-1.866832607342592E-4</v>
      </c>
      <c r="D319" s="25">
        <f>('Raw Price Data'!D319-'Raw Price Data'!D318)/'Raw Price Data'!D318</f>
        <v>1.5177672277370055E-2</v>
      </c>
      <c r="E319" s="25">
        <f>('Raw Price Data'!E319-'Raw Price Data'!E318)/'Raw Price Data'!E318</f>
        <v>-2.0517395182872555E-2</v>
      </c>
      <c r="F319" s="25">
        <f>('Raw Price Data'!F319-'Raw Price Data'!F318)/'Raw Price Data'!F318</f>
        <v>-6.9137406001904735E-3</v>
      </c>
    </row>
    <row r="320" spans="1:6" ht="15" customHeight="1" x14ac:dyDescent="0.3">
      <c r="A320" s="19">
        <v>43910</v>
      </c>
      <c r="B320" s="26">
        <f>('Raw Price Data'!B320-'Raw Price Data'!B319)/'Raw Price Data'!B319</f>
        <v>1.1026454024892263E-2</v>
      </c>
      <c r="C320" s="26">
        <f>('Raw Price Data'!C320-'Raw Price Data'!C319)/'Raw Price Data'!C319</f>
        <v>-1.3182299122424886E-2</v>
      </c>
      <c r="D320" s="26">
        <f>('Raw Price Data'!D320-'Raw Price Data'!D319)/'Raw Price Data'!D319</f>
        <v>9.2113654077801421E-3</v>
      </c>
      <c r="E320" s="26">
        <f>('Raw Price Data'!E320-'Raw Price Data'!E319)/'Raw Price Data'!E319</f>
        <v>-6.4089590501247296E-3</v>
      </c>
      <c r="F320" s="26">
        <f>('Raw Price Data'!F320-'Raw Price Data'!F319)/'Raw Price Data'!F319</f>
        <v>8.7828023875893228E-4</v>
      </c>
    </row>
    <row r="321" spans="1:6" ht="15" customHeight="1" x14ac:dyDescent="0.3">
      <c r="A321" s="21">
        <v>43913</v>
      </c>
      <c r="B321" s="25">
        <f>('Raw Price Data'!B321-'Raw Price Data'!B320)/'Raw Price Data'!B320</f>
        <v>1.8348623853211087E-2</v>
      </c>
      <c r="C321" s="25">
        <f>('Raw Price Data'!C321-'Raw Price Data'!C320)/'Raw Price Data'!C320</f>
        <v>-3.0740703365457395E-2</v>
      </c>
      <c r="D321" s="25">
        <f>('Raw Price Data'!D321-'Raw Price Data'!D320)/'Raw Price Data'!D320</f>
        <v>3.2015727023801177E-2</v>
      </c>
      <c r="E321" s="25">
        <f>('Raw Price Data'!E321-'Raw Price Data'!E320)/'Raw Price Data'!E320</f>
        <v>2.5869092884302024E-2</v>
      </c>
      <c r="F321" s="25">
        <f>('Raw Price Data'!F321-'Raw Price Data'!F320)/'Raw Price Data'!F320</f>
        <v>2.6741285958501289E-2</v>
      </c>
    </row>
    <row r="322" spans="1:6" ht="15" customHeight="1" x14ac:dyDescent="0.3">
      <c r="A322" s="19">
        <v>43914</v>
      </c>
      <c r="B322" s="26">
        <f>('Raw Price Data'!B322-'Raw Price Data'!B321)/'Raw Price Data'!B321</f>
        <v>2.665931237359814E-2</v>
      </c>
      <c r="C322" s="26">
        <f>('Raw Price Data'!C322-'Raw Price Data'!C321)/'Raw Price Data'!C321</f>
        <v>-1.922200965655459E-2</v>
      </c>
      <c r="D322" s="26">
        <f>('Raw Price Data'!D322-'Raw Price Data'!D321)/'Raw Price Data'!D321</f>
        <v>-1.0885094224096644E-3</v>
      </c>
      <c r="E322" s="26">
        <f>('Raw Price Data'!E322-'Raw Price Data'!E321)/'Raw Price Data'!E321</f>
        <v>1.4527764908332736E-2</v>
      </c>
      <c r="F322" s="26">
        <f>('Raw Price Data'!F322-'Raw Price Data'!F321)/'Raw Price Data'!F321</f>
        <v>1.2669786459035588E-2</v>
      </c>
    </row>
    <row r="323" spans="1:6" ht="15" customHeight="1" x14ac:dyDescent="0.3">
      <c r="A323" s="21">
        <v>43915</v>
      </c>
      <c r="B323" s="25">
        <f>('Raw Price Data'!B323-'Raw Price Data'!B322)/'Raw Price Data'!B322</f>
        <v>2.5340257879656145E-2</v>
      </c>
      <c r="C323" s="25">
        <f>('Raw Price Data'!C323-'Raw Price Data'!C322)/'Raw Price Data'!C322</f>
        <v>-2.8091080385340039E-2</v>
      </c>
      <c r="D323" s="25">
        <f>('Raw Price Data'!D323-'Raw Price Data'!D322)/'Raw Price Data'!D322</f>
        <v>1.4642784172171743E-2</v>
      </c>
      <c r="E323" s="25">
        <f>('Raw Price Data'!E323-'Raw Price Data'!E322)/'Raw Price Data'!E322</f>
        <v>-4.2861336725706974E-2</v>
      </c>
      <c r="F323" s="25">
        <f>('Raw Price Data'!F323-'Raw Price Data'!F322)/'Raw Price Data'!F322</f>
        <v>-1.3848212575713992E-3</v>
      </c>
    </row>
    <row r="324" spans="1:6" ht="15" customHeight="1" x14ac:dyDescent="0.3">
      <c r="A324" s="19">
        <v>43916</v>
      </c>
      <c r="B324" s="26">
        <f>('Raw Price Data'!B324-'Raw Price Data'!B323)/'Raw Price Data'!B323</f>
        <v>-2.8163479172124778E-2</v>
      </c>
      <c r="C324" s="26">
        <f>('Raw Price Data'!C324-'Raw Price Data'!C323)/'Raw Price Data'!C323</f>
        <v>1.0649191071062498E-3</v>
      </c>
      <c r="D324" s="26">
        <f>('Raw Price Data'!D324-'Raw Price Data'!D323)/'Raw Price Data'!D323</f>
        <v>2.6446502886293449E-2</v>
      </c>
      <c r="E324" s="26">
        <f>('Raw Price Data'!E324-'Raw Price Data'!E323)/'Raw Price Data'!E323</f>
        <v>1.6699042361040035E-2</v>
      </c>
      <c r="F324" s="26">
        <f>('Raw Price Data'!F324-'Raw Price Data'!F323)/'Raw Price Data'!F323</f>
        <v>8.4311587410715507E-3</v>
      </c>
    </row>
    <row r="325" spans="1:6" ht="15" customHeight="1" x14ac:dyDescent="0.3">
      <c r="A325" s="21">
        <v>43917</v>
      </c>
      <c r="B325" s="25">
        <f>('Raw Price Data'!B325-'Raw Price Data'!B324)/'Raw Price Data'!B324</f>
        <v>1.0962843150469505E-2</v>
      </c>
      <c r="C325" s="25">
        <f>('Raw Price Data'!C325-'Raw Price Data'!C324)/'Raw Price Data'!C324</f>
        <v>-7.2010146884333324E-3</v>
      </c>
      <c r="D325" s="25">
        <f>('Raw Price Data'!D325-'Raw Price Data'!D324)/'Raw Price Data'!D324</f>
        <v>-2.2233847763536343E-2</v>
      </c>
      <c r="E325" s="25">
        <f>('Raw Price Data'!E325-'Raw Price Data'!E324)/'Raw Price Data'!E324</f>
        <v>-4.143063050983796E-2</v>
      </c>
      <c r="F325" s="25">
        <f>('Raw Price Data'!F325-'Raw Price Data'!F324)/'Raw Price Data'!F324</f>
        <v>-1.9669160596788209E-3</v>
      </c>
    </row>
    <row r="326" spans="1:6" ht="15" customHeight="1" x14ac:dyDescent="0.3">
      <c r="A326" s="19">
        <v>43920</v>
      </c>
      <c r="B326" s="26">
        <f>('Raw Price Data'!B326-'Raw Price Data'!B325)/'Raw Price Data'!B325</f>
        <v>-2.6221056841918038E-2</v>
      </c>
      <c r="C326" s="26">
        <f>('Raw Price Data'!C326-'Raw Price Data'!C325)/'Raw Price Data'!C325</f>
        <v>-1.5646679030153307E-2</v>
      </c>
      <c r="D326" s="26">
        <f>('Raw Price Data'!D326-'Raw Price Data'!D325)/'Raw Price Data'!D325</f>
        <v>-1.6185125735687637E-2</v>
      </c>
      <c r="E326" s="26">
        <f>('Raw Price Data'!E326-'Raw Price Data'!E325)/'Raw Price Data'!E325</f>
        <v>3.6996887785431982E-2</v>
      </c>
      <c r="F326" s="26">
        <f>('Raw Price Data'!F326-'Raw Price Data'!F325)/'Raw Price Data'!F325</f>
        <v>-3.2834273100840979E-3</v>
      </c>
    </row>
    <row r="327" spans="1:6" ht="15" customHeight="1" x14ac:dyDescent="0.3">
      <c r="A327" s="21">
        <v>43921</v>
      </c>
      <c r="B327" s="25">
        <f>('Raw Price Data'!B327-'Raw Price Data'!B326)/'Raw Price Data'!B326</f>
        <v>2.2637031627949337E-2</v>
      </c>
      <c r="C327" s="25">
        <f>('Raw Price Data'!C327-'Raw Price Data'!C326)/'Raw Price Data'!C326</f>
        <v>1.5993078039522213E-2</v>
      </c>
      <c r="D327" s="25">
        <f>('Raw Price Data'!D327-'Raw Price Data'!D326)/'Raw Price Data'!D326</f>
        <v>4.6906866077498144E-3</v>
      </c>
      <c r="E327" s="25">
        <f>('Raw Price Data'!E327-'Raw Price Data'!E326)/'Raw Price Data'!E326</f>
        <v>1.645590962738154E-2</v>
      </c>
      <c r="F327" s="25">
        <f>('Raw Price Data'!F327-'Raw Price Data'!F326)/'Raw Price Data'!F326</f>
        <v>1.3182923759766194E-2</v>
      </c>
    </row>
    <row r="328" spans="1:6" ht="15" customHeight="1" x14ac:dyDescent="0.3">
      <c r="A328" s="19">
        <v>43922</v>
      </c>
      <c r="B328" s="26">
        <f>('Raw Price Data'!B328-'Raw Price Data'!B327)/'Raw Price Data'!B327</f>
        <v>3.8380863123131776E-3</v>
      </c>
      <c r="C328" s="26">
        <f>('Raw Price Data'!C328-'Raw Price Data'!C327)/'Raw Price Data'!C327</f>
        <v>2.8708002527403531E-3</v>
      </c>
      <c r="D328" s="26">
        <f>('Raw Price Data'!D328-'Raw Price Data'!D327)/'Raw Price Data'!D327</f>
        <v>-8.5932742404762289E-3</v>
      </c>
      <c r="E328" s="26">
        <f>('Raw Price Data'!E328-'Raw Price Data'!E327)/'Raw Price Data'!E327</f>
        <v>-6.999966824801823E-3</v>
      </c>
      <c r="F328" s="26">
        <f>('Raw Price Data'!F328-'Raw Price Data'!F327)/'Raw Price Data'!F327</f>
        <v>5.1992941269843147E-3</v>
      </c>
    </row>
    <row r="329" spans="1:6" ht="15" customHeight="1" x14ac:dyDescent="0.3">
      <c r="A329" s="21">
        <v>43923</v>
      </c>
      <c r="B329" s="25">
        <f>('Raw Price Data'!B329-'Raw Price Data'!B328)/'Raw Price Data'!B328</f>
        <v>-1.5471480016005059E-2</v>
      </c>
      <c r="C329" s="25">
        <f>('Raw Price Data'!C329-'Raw Price Data'!C328)/'Raw Price Data'!C328</f>
        <v>1.4381394584377072E-3</v>
      </c>
      <c r="D329" s="25">
        <f>('Raw Price Data'!D329-'Raw Price Data'!D328)/'Raw Price Data'!D328</f>
        <v>-6.2790062790063876E-3</v>
      </c>
      <c r="E329" s="25">
        <f>('Raw Price Data'!E329-'Raw Price Data'!E328)/'Raw Price Data'!E328</f>
        <v>2.5056795402913271E-3</v>
      </c>
      <c r="F329" s="25">
        <f>('Raw Price Data'!F329-'Raw Price Data'!F328)/'Raw Price Data'!F328</f>
        <v>1.0957111769791082E-2</v>
      </c>
    </row>
    <row r="330" spans="1:6" ht="15" customHeight="1" x14ac:dyDescent="0.3">
      <c r="A330" s="19">
        <v>43924</v>
      </c>
      <c r="B330" s="26">
        <f>('Raw Price Data'!B330-'Raw Price Data'!B329)/'Raw Price Data'!B329</f>
        <v>2.8177918265974305E-2</v>
      </c>
      <c r="C330" s="26">
        <f>('Raw Price Data'!C330-'Raw Price Data'!C329)/'Raw Price Data'!C329</f>
        <v>1.0435472400021878E-2</v>
      </c>
      <c r="D330" s="26">
        <f>('Raw Price Data'!D330-'Raw Price Data'!D329)/'Raw Price Data'!D329</f>
        <v>-1.0027472527472582E-2</v>
      </c>
      <c r="E330" s="26">
        <f>('Raw Price Data'!E330-'Raw Price Data'!E329)/'Raw Price Data'!E329</f>
        <v>1.2963641816909342E-2</v>
      </c>
      <c r="F330" s="26">
        <f>('Raw Price Data'!F330-'Raw Price Data'!F329)/'Raw Price Data'!F329</f>
        <v>2.0173086930777157E-2</v>
      </c>
    </row>
    <row r="331" spans="1:6" ht="15" customHeight="1" x14ac:dyDescent="0.3">
      <c r="A331" s="21">
        <v>43927</v>
      </c>
      <c r="B331" s="25">
        <f>('Raw Price Data'!B331-'Raw Price Data'!B330)/'Raw Price Data'!B330</f>
        <v>9.2230664499977789E-3</v>
      </c>
      <c r="C331" s="25">
        <f>('Raw Price Data'!C331-'Raw Price Data'!C330)/'Raw Price Data'!C330</f>
        <v>1.888222634307455E-2</v>
      </c>
      <c r="D331" s="25">
        <f>('Raw Price Data'!D331-'Raw Price Data'!D330)/'Raw Price Data'!D330</f>
        <v>-1.8731788538919234E-3</v>
      </c>
      <c r="E331" s="25">
        <f>('Raw Price Data'!E331-'Raw Price Data'!E330)/'Raw Price Data'!E330</f>
        <v>-8.8498486642979279E-3</v>
      </c>
      <c r="F331" s="25">
        <f>('Raw Price Data'!F331-'Raw Price Data'!F330)/'Raw Price Data'!F330</f>
        <v>-5.2579209114797815E-3</v>
      </c>
    </row>
    <row r="332" spans="1:6" ht="15" customHeight="1" x14ac:dyDescent="0.3">
      <c r="A332" s="19">
        <v>43928</v>
      </c>
      <c r="B332" s="26">
        <f>('Raw Price Data'!B332-'Raw Price Data'!B331)/'Raw Price Data'!B331</f>
        <v>-2.5893206841028717E-2</v>
      </c>
      <c r="C332" s="26">
        <f>('Raw Price Data'!C332-'Raw Price Data'!C331)/'Raw Price Data'!C331</f>
        <v>-2.7672237425937298E-2</v>
      </c>
      <c r="D332" s="26">
        <f>('Raw Price Data'!D332-'Raw Price Data'!D331)/'Raw Price Data'!D331</f>
        <v>-1.3901438798915687E-2</v>
      </c>
      <c r="E332" s="26">
        <f>('Raw Price Data'!E332-'Raw Price Data'!E331)/'Raw Price Data'!E331</f>
        <v>9.2276031466791576E-3</v>
      </c>
      <c r="F332" s="26">
        <f>('Raw Price Data'!F332-'Raw Price Data'!F331)/'Raw Price Data'!F331</f>
        <v>3.8780479281411411E-3</v>
      </c>
    </row>
    <row r="333" spans="1:6" ht="15" customHeight="1" x14ac:dyDescent="0.3">
      <c r="A333" s="21">
        <v>43929</v>
      </c>
      <c r="B333" s="25">
        <f>('Raw Price Data'!B333-'Raw Price Data'!B332)/'Raw Price Data'!B332</f>
        <v>4.3781272337383385E-3</v>
      </c>
      <c r="C333" s="25">
        <f>('Raw Price Data'!C333-'Raw Price Data'!C332)/'Raw Price Data'!C332</f>
        <v>1.3048052356164103E-2</v>
      </c>
      <c r="D333" s="25">
        <f>('Raw Price Data'!D333-'Raw Price Data'!D332)/'Raw Price Data'!D332</f>
        <v>-1.9736378374568347E-2</v>
      </c>
      <c r="E333" s="25">
        <f>('Raw Price Data'!E333-'Raw Price Data'!E332)/'Raw Price Data'!E332</f>
        <v>-1.9733596447953387E-3</v>
      </c>
      <c r="F333" s="25">
        <f>('Raw Price Data'!F333-'Raw Price Data'!F332)/'Raw Price Data'!F332</f>
        <v>1.1149170935766542E-2</v>
      </c>
    </row>
    <row r="334" spans="1:6" ht="15" customHeight="1" x14ac:dyDescent="0.3">
      <c r="A334" s="19">
        <v>43930</v>
      </c>
      <c r="B334" s="26">
        <f>('Raw Price Data'!B334-'Raw Price Data'!B333)/'Raw Price Data'!B333</f>
        <v>-9.8300862912551364E-3</v>
      </c>
      <c r="C334" s="26">
        <f>('Raw Price Data'!C334-'Raw Price Data'!C333)/'Raw Price Data'!C333</f>
        <v>-3.1303104685350573E-2</v>
      </c>
      <c r="D334" s="26">
        <f>('Raw Price Data'!D334-'Raw Price Data'!D333)/'Raw Price Data'!D333</f>
        <v>6.4715610843460543E-3</v>
      </c>
      <c r="E334" s="26">
        <f>('Raw Price Data'!E334-'Raw Price Data'!E333)/'Raw Price Data'!E333</f>
        <v>-4.2511122095895987E-3</v>
      </c>
      <c r="F334" s="26">
        <f>('Raw Price Data'!F334-'Raw Price Data'!F333)/'Raw Price Data'!F333</f>
        <v>9.3704354714925064E-3</v>
      </c>
    </row>
    <row r="335" spans="1:6" ht="15" customHeight="1" x14ac:dyDescent="0.3">
      <c r="A335" s="21">
        <v>43931</v>
      </c>
      <c r="B335" s="25">
        <f>('Raw Price Data'!B335-'Raw Price Data'!B334)/'Raw Price Data'!B334</f>
        <v>1.8867076950720429E-3</v>
      </c>
      <c r="C335" s="25">
        <f>('Raw Price Data'!C335-'Raw Price Data'!C334)/'Raw Price Data'!C334</f>
        <v>-1.3421510616080733E-2</v>
      </c>
      <c r="D335" s="25">
        <f>('Raw Price Data'!D335-'Raw Price Data'!D334)/'Raw Price Data'!D334</f>
        <v>2.3576480674431127E-3</v>
      </c>
      <c r="E335" s="25">
        <f>('Raw Price Data'!E335-'Raw Price Data'!E334)/'Raw Price Data'!E334</f>
        <v>2.9289118347895039E-2</v>
      </c>
      <c r="F335" s="25">
        <f>('Raw Price Data'!F335-'Raw Price Data'!F334)/'Raw Price Data'!F334</f>
        <v>-3.883112284316139E-3</v>
      </c>
    </row>
    <row r="336" spans="1:6" ht="15" customHeight="1" x14ac:dyDescent="0.3">
      <c r="A336" s="19">
        <v>43934</v>
      </c>
      <c r="B336" s="26">
        <f>('Raw Price Data'!B336-'Raw Price Data'!B335)/'Raw Price Data'!B335</f>
        <v>-6.1426713894991913E-3</v>
      </c>
      <c r="C336" s="26">
        <f>('Raw Price Data'!C336-'Raw Price Data'!C335)/'Raw Price Data'!C335</f>
        <v>1.8444560477554561E-2</v>
      </c>
      <c r="D336" s="26">
        <f>('Raw Price Data'!D336-'Raw Price Data'!D335)/'Raw Price Data'!D335</f>
        <v>1.5823235923022087E-2</v>
      </c>
      <c r="E336" s="26">
        <f>('Raw Price Data'!E336-'Raw Price Data'!E335)/'Raw Price Data'!E335</f>
        <v>-3.8037362142696325E-2</v>
      </c>
      <c r="F336" s="26">
        <f>('Raw Price Data'!F336-'Raw Price Data'!F335)/'Raw Price Data'!F335</f>
        <v>9.4027358344836443E-4</v>
      </c>
    </row>
    <row r="337" spans="1:6" ht="15" customHeight="1" x14ac:dyDescent="0.3">
      <c r="A337" s="21">
        <v>43935</v>
      </c>
      <c r="B337" s="25">
        <f>('Raw Price Data'!B337-'Raw Price Data'!B336)/'Raw Price Data'!B336</f>
        <v>1.9353965532797942E-2</v>
      </c>
      <c r="C337" s="25">
        <f>('Raw Price Data'!C337-'Raw Price Data'!C336)/'Raw Price Data'!C336</f>
        <v>1.2789602039685205E-2</v>
      </c>
      <c r="D337" s="25">
        <f>('Raw Price Data'!D337-'Raw Price Data'!D336)/'Raw Price Data'!D336</f>
        <v>8.6303676676956903E-3</v>
      </c>
      <c r="E337" s="25">
        <f>('Raw Price Data'!E337-'Raw Price Data'!E336)/'Raw Price Data'!E336</f>
        <v>1.3704124607258779E-3</v>
      </c>
      <c r="F337" s="25">
        <f>('Raw Price Data'!F337-'Raw Price Data'!F336)/'Raw Price Data'!F336</f>
        <v>2.2180027386071551E-2</v>
      </c>
    </row>
    <row r="338" spans="1:6" ht="15" customHeight="1" x14ac:dyDescent="0.3">
      <c r="A338" s="19">
        <v>43936</v>
      </c>
      <c r="B338" s="26">
        <f>('Raw Price Data'!B338-'Raw Price Data'!B337)/'Raw Price Data'!B337</f>
        <v>-1.9384819650365107E-2</v>
      </c>
      <c r="C338" s="26">
        <f>('Raw Price Data'!C338-'Raw Price Data'!C337)/'Raw Price Data'!C337</f>
        <v>1.232709909564788E-2</v>
      </c>
      <c r="D338" s="26">
        <f>('Raw Price Data'!D338-'Raw Price Data'!D337)/'Raw Price Data'!D337</f>
        <v>7.0260869565216761E-3</v>
      </c>
      <c r="E338" s="26">
        <f>('Raw Price Data'!E338-'Raw Price Data'!E337)/'Raw Price Data'!E337</f>
        <v>-2.5868687205847993E-2</v>
      </c>
      <c r="F338" s="26">
        <f>('Raw Price Data'!F338-'Raw Price Data'!F337)/'Raw Price Data'!F337</f>
        <v>-5.9686552532852259E-3</v>
      </c>
    </row>
    <row r="339" spans="1:6" ht="15" customHeight="1" x14ac:dyDescent="0.3">
      <c r="A339" s="21">
        <v>43937</v>
      </c>
      <c r="B339" s="25">
        <f>('Raw Price Data'!B339-'Raw Price Data'!B338)/'Raw Price Data'!B338</f>
        <v>4.6937762332446651E-3</v>
      </c>
      <c r="C339" s="25">
        <f>('Raw Price Data'!C339-'Raw Price Data'!C338)/'Raw Price Data'!C338</f>
        <v>3.7977078603093025E-3</v>
      </c>
      <c r="D339" s="25">
        <f>('Raw Price Data'!D339-'Raw Price Data'!D338)/'Raw Price Data'!D338</f>
        <v>1.2296214423874007E-2</v>
      </c>
      <c r="E339" s="25">
        <f>('Raw Price Data'!E339-'Raw Price Data'!E338)/'Raw Price Data'!E338</f>
        <v>-2.9468201754384487E-3</v>
      </c>
      <c r="F339" s="25">
        <f>('Raw Price Data'!F339-'Raw Price Data'!F338)/'Raw Price Data'!F338</f>
        <v>5.6271562159545237E-3</v>
      </c>
    </row>
    <row r="340" spans="1:6" ht="15" customHeight="1" x14ac:dyDescent="0.3">
      <c r="A340" s="19">
        <v>43938</v>
      </c>
      <c r="B340" s="26">
        <f>('Raw Price Data'!B340-'Raw Price Data'!B339)/'Raw Price Data'!B339</f>
        <v>2.5470553883473281E-2</v>
      </c>
      <c r="C340" s="26">
        <f>('Raw Price Data'!C340-'Raw Price Data'!C339)/'Raw Price Data'!C339</f>
        <v>2.5527446043649826E-2</v>
      </c>
      <c r="D340" s="26">
        <f>('Raw Price Data'!D340-'Raw Price Data'!D339)/'Raw Price Data'!D339</f>
        <v>-1.4057595195850979E-2</v>
      </c>
      <c r="E340" s="26">
        <f>('Raw Price Data'!E340-'Raw Price Data'!E339)/'Raw Price Data'!E339</f>
        <v>-1.2921850298989589E-2</v>
      </c>
      <c r="F340" s="26">
        <f>('Raw Price Data'!F340-'Raw Price Data'!F339)/'Raw Price Data'!F339</f>
        <v>5.9641238483889719E-3</v>
      </c>
    </row>
    <row r="341" spans="1:6" ht="15" customHeight="1" x14ac:dyDescent="0.3">
      <c r="A341" s="21">
        <v>43941</v>
      </c>
      <c r="B341" s="25">
        <f>('Raw Price Data'!B341-'Raw Price Data'!B340)/'Raw Price Data'!B340</f>
        <v>-1.1126686525319748E-2</v>
      </c>
      <c r="C341" s="25">
        <f>('Raw Price Data'!C341-'Raw Price Data'!C340)/'Raw Price Data'!C340</f>
        <v>-2.6585618821305255E-2</v>
      </c>
      <c r="D341" s="25">
        <f>('Raw Price Data'!D341-'Raw Price Data'!D340)/'Raw Price Data'!D340</f>
        <v>-7.4058693244739293E-3</v>
      </c>
      <c r="E341" s="25">
        <f>('Raw Price Data'!E341-'Raw Price Data'!E340)/'Raw Price Data'!E340</f>
        <v>4.8603857670078611E-2</v>
      </c>
      <c r="F341" s="25">
        <f>('Raw Price Data'!F341-'Raw Price Data'!F340)/'Raw Price Data'!F340</f>
        <v>-1.5882206995941464E-2</v>
      </c>
    </row>
    <row r="342" spans="1:6" ht="15" customHeight="1" x14ac:dyDescent="0.3">
      <c r="A342" s="19">
        <v>43942</v>
      </c>
      <c r="B342" s="26">
        <f>('Raw Price Data'!B342-'Raw Price Data'!B341)/'Raw Price Data'!B341</f>
        <v>3.2338088065916085E-3</v>
      </c>
      <c r="C342" s="26">
        <f>('Raw Price Data'!C342-'Raw Price Data'!C341)/'Raw Price Data'!C341</f>
        <v>-4.7879801467415675E-3</v>
      </c>
      <c r="D342" s="26">
        <f>('Raw Price Data'!D342-'Raw Price Data'!D341)/'Raw Price Data'!D341</f>
        <v>4.741649815215165E-3</v>
      </c>
      <c r="E342" s="26">
        <f>('Raw Price Data'!E342-'Raw Price Data'!E341)/'Raw Price Data'!E341</f>
        <v>-9.2303605817120309E-3</v>
      </c>
      <c r="F342" s="26">
        <f>('Raw Price Data'!F342-'Raw Price Data'!F341)/'Raw Price Data'!F341</f>
        <v>7.7263370478697435E-3</v>
      </c>
    </row>
    <row r="343" spans="1:6" ht="15" customHeight="1" x14ac:dyDescent="0.3">
      <c r="A343" s="21">
        <v>43943</v>
      </c>
      <c r="B343" s="25">
        <f>('Raw Price Data'!B343-'Raw Price Data'!B342)/'Raw Price Data'!B342</f>
        <v>3.0909171192651948E-3</v>
      </c>
      <c r="C343" s="25">
        <f>('Raw Price Data'!C343-'Raw Price Data'!C342)/'Raw Price Data'!C342</f>
        <v>1.4365284798548011E-3</v>
      </c>
      <c r="D343" s="25">
        <f>('Raw Price Data'!D343-'Raw Price Data'!D342)/'Raw Price Data'!D342</f>
        <v>1.5060031924491551E-2</v>
      </c>
      <c r="E343" s="25">
        <f>('Raw Price Data'!E343-'Raw Price Data'!E342)/'Raw Price Data'!E342</f>
        <v>-2.111260053619288E-3</v>
      </c>
      <c r="F343" s="25">
        <f>('Raw Price Data'!F343-'Raw Price Data'!F342)/'Raw Price Data'!F342</f>
        <v>-1.487720256105376E-2</v>
      </c>
    </row>
    <row r="344" spans="1:6" ht="15" customHeight="1" x14ac:dyDescent="0.3">
      <c r="A344" s="19">
        <v>43944</v>
      </c>
      <c r="B344" s="26">
        <f>('Raw Price Data'!B344-'Raw Price Data'!B343)/'Raw Price Data'!B343</f>
        <v>-9.244178368622593E-3</v>
      </c>
      <c r="C344" s="26">
        <f>('Raw Price Data'!C344-'Raw Price Data'!C343)/'Raw Price Data'!C343</f>
        <v>3.6484200554841223E-2</v>
      </c>
      <c r="D344" s="26">
        <f>('Raw Price Data'!D344-'Raw Price Data'!D343)/'Raw Price Data'!D343</f>
        <v>1.0597565978394717E-2</v>
      </c>
      <c r="E344" s="26">
        <f>('Raw Price Data'!E344-'Raw Price Data'!E343)/'Raw Price Data'!E343</f>
        <v>-1.1216710884239431E-2</v>
      </c>
      <c r="F344" s="26">
        <f>('Raw Price Data'!F344-'Raw Price Data'!F343)/'Raw Price Data'!F343</f>
        <v>2.7916041743735946E-3</v>
      </c>
    </row>
    <row r="345" spans="1:6" ht="15" customHeight="1" x14ac:dyDescent="0.3">
      <c r="A345" s="21">
        <v>43945</v>
      </c>
      <c r="B345" s="25">
        <f>('Raw Price Data'!B345-'Raw Price Data'!B344)/'Raw Price Data'!B344</f>
        <v>9.2859999111387717E-3</v>
      </c>
      <c r="C345" s="25">
        <f>('Raw Price Data'!C345-'Raw Price Data'!C344)/'Raw Price Data'!C344</f>
        <v>1.8709770077424293E-2</v>
      </c>
      <c r="D345" s="25">
        <f>('Raw Price Data'!D345-'Raw Price Data'!D344)/'Raw Price Data'!D344</f>
        <v>-2.9091401123063853E-3</v>
      </c>
      <c r="E345" s="25">
        <f>('Raw Price Data'!E345-'Raw Price Data'!E344)/'Raw Price Data'!E344</f>
        <v>1.7287640525761556E-2</v>
      </c>
      <c r="F345" s="25">
        <f>('Raw Price Data'!F345-'Raw Price Data'!F344)/'Raw Price Data'!F344</f>
        <v>1.4357531387061345E-2</v>
      </c>
    </row>
    <row r="346" spans="1:6" ht="15" customHeight="1" x14ac:dyDescent="0.3">
      <c r="A346" s="19">
        <v>43948</v>
      </c>
      <c r="B346" s="26">
        <f>('Raw Price Data'!B346-'Raw Price Data'!B345)/'Raw Price Data'!B345</f>
        <v>1.6728297235428574E-3</v>
      </c>
      <c r="C346" s="26">
        <f>('Raw Price Data'!C346-'Raw Price Data'!C345)/'Raw Price Data'!C345</f>
        <v>1.8904439659591921E-2</v>
      </c>
      <c r="D346" s="26">
        <f>('Raw Price Data'!D346-'Raw Price Data'!D345)/'Raw Price Data'!D345</f>
        <v>-2.5783688424480624E-3</v>
      </c>
      <c r="E346" s="26">
        <f>('Raw Price Data'!E346-'Raw Price Data'!E345)/'Raw Price Data'!E345</f>
        <v>-9.1813568376068379E-3</v>
      </c>
      <c r="F346" s="26">
        <f>('Raw Price Data'!F346-'Raw Price Data'!F345)/'Raw Price Data'!F345</f>
        <v>-5.2723075446885247E-3</v>
      </c>
    </row>
    <row r="347" spans="1:6" ht="15" customHeight="1" x14ac:dyDescent="0.3">
      <c r="A347" s="21">
        <v>43949</v>
      </c>
      <c r="B347" s="25">
        <f>('Raw Price Data'!B347-'Raw Price Data'!B346)/'Raw Price Data'!B346</f>
        <v>-1.2745011866045555E-2</v>
      </c>
      <c r="C347" s="25">
        <f>('Raw Price Data'!C347-'Raw Price Data'!C346)/'Raw Price Data'!C346</f>
        <v>-1.2830350067296501E-2</v>
      </c>
      <c r="D347" s="25">
        <f>('Raw Price Data'!D347-'Raw Price Data'!D346)/'Raw Price Data'!D346</f>
        <v>4.3537414965985465E-3</v>
      </c>
      <c r="E347" s="25">
        <f>('Raw Price Data'!E347-'Raw Price Data'!E346)/'Raw Price Data'!E346</f>
        <v>-1.1894733295144297E-2</v>
      </c>
      <c r="F347" s="25">
        <f>('Raw Price Data'!F347-'Raw Price Data'!F346)/'Raw Price Data'!F346</f>
        <v>-1.6871986891886261E-2</v>
      </c>
    </row>
    <row r="348" spans="1:6" ht="15" customHeight="1" x14ac:dyDescent="0.3">
      <c r="A348" s="19">
        <v>43950</v>
      </c>
      <c r="B348" s="26">
        <f>('Raw Price Data'!B348-'Raw Price Data'!B347)/'Raw Price Data'!B347</f>
        <v>2.4750712250712261E-2</v>
      </c>
      <c r="C348" s="26">
        <f>('Raw Price Data'!C348-'Raw Price Data'!C347)/'Raw Price Data'!C347</f>
        <v>4.0278291007785544E-2</v>
      </c>
      <c r="D348" s="26">
        <f>('Raw Price Data'!D348-'Raw Price Data'!D347)/'Raw Price Data'!D347</f>
        <v>-1.7813600650230261E-2</v>
      </c>
      <c r="E348" s="26">
        <f>('Raw Price Data'!E348-'Raw Price Data'!E347)/'Raw Price Data'!E347</f>
        <v>3.5806847633337878E-2</v>
      </c>
      <c r="F348" s="26">
        <f>('Raw Price Data'!F348-'Raw Price Data'!F347)/'Raw Price Data'!F347</f>
        <v>8.9266767771530524E-5</v>
      </c>
    </row>
    <row r="349" spans="1:6" ht="15" customHeight="1" x14ac:dyDescent="0.3">
      <c r="A349" s="21">
        <v>43951</v>
      </c>
      <c r="B349" s="25">
        <f>('Raw Price Data'!B349-'Raw Price Data'!B348)/'Raw Price Data'!B348</f>
        <v>1.1251086012163352E-2</v>
      </c>
      <c r="C349" s="25">
        <f>('Raw Price Data'!C349-'Raw Price Data'!C348)/'Raw Price Data'!C348</f>
        <v>8.9171974522292662E-3</v>
      </c>
      <c r="D349" s="25">
        <f>('Raw Price Data'!D349-'Raw Price Data'!D348)/'Raw Price Data'!D348</f>
        <v>1.3723191504034268E-2</v>
      </c>
      <c r="E349" s="25">
        <f>('Raw Price Data'!E349-'Raw Price Data'!E348)/'Raw Price Data'!E348</f>
        <v>1.5243300190952774E-2</v>
      </c>
      <c r="F349" s="25">
        <f>('Raw Price Data'!F349-'Raw Price Data'!F348)/'Raw Price Data'!F348</f>
        <v>1.3658135333651021E-4</v>
      </c>
    </row>
    <row r="350" spans="1:6" ht="15" customHeight="1" x14ac:dyDescent="0.3">
      <c r="A350" s="19">
        <v>43952</v>
      </c>
      <c r="B350" s="26">
        <f>('Raw Price Data'!B350-'Raw Price Data'!B349)/'Raw Price Data'!B349</f>
        <v>-1.9760298981914151E-3</v>
      </c>
      <c r="C350" s="26">
        <f>('Raw Price Data'!C350-'Raw Price Data'!C349)/'Raw Price Data'!C349</f>
        <v>-1.7154720279720276E-2</v>
      </c>
      <c r="D350" s="26">
        <f>('Raw Price Data'!D350-'Raw Price Data'!D349)/'Raw Price Data'!D349</f>
        <v>1.2585034013605403E-2</v>
      </c>
      <c r="E350" s="26">
        <f>('Raw Price Data'!E350-'Raw Price Data'!E349)/'Raw Price Data'!E349</f>
        <v>5.5777150825306303E-3</v>
      </c>
      <c r="F350" s="26">
        <f>('Raw Price Data'!F350-'Raw Price Data'!F349)/'Raw Price Data'!F349</f>
        <v>1.725498583691036E-3</v>
      </c>
    </row>
    <row r="351" spans="1:6" ht="15" customHeight="1" x14ac:dyDescent="0.3">
      <c r="A351" s="21">
        <v>43955</v>
      </c>
      <c r="B351" s="25">
        <f>('Raw Price Data'!B351-'Raw Price Data'!B350)/'Raw Price Data'!B350</f>
        <v>-8.5223604355873887E-3</v>
      </c>
      <c r="C351" s="25">
        <f>('Raw Price Data'!C351-'Raw Price Data'!C350)/'Raw Price Data'!C350</f>
        <v>4.1961583595824879E-2</v>
      </c>
      <c r="D351" s="25">
        <f>('Raw Price Data'!D351-'Raw Price Data'!D350)/'Raw Price Data'!D350</f>
        <v>1.5048706751763582E-2</v>
      </c>
      <c r="E351" s="25">
        <f>('Raw Price Data'!E351-'Raw Price Data'!E350)/'Raw Price Data'!E350</f>
        <v>4.6051146441355835E-2</v>
      </c>
      <c r="F351" s="25">
        <f>('Raw Price Data'!F351-'Raw Price Data'!F350)/'Raw Price Data'!F350</f>
        <v>2.9310405741267008E-3</v>
      </c>
    </row>
    <row r="352" spans="1:6" ht="15" customHeight="1" x14ac:dyDescent="0.3">
      <c r="A352" s="19">
        <v>43956</v>
      </c>
      <c r="B352" s="26">
        <f>('Raw Price Data'!B352-'Raw Price Data'!B351)/'Raw Price Data'!B351</f>
        <v>-1.0549164315172593E-2</v>
      </c>
      <c r="C352" s="26">
        <f>('Raw Price Data'!C352-'Raw Price Data'!C351)/'Raw Price Data'!C351</f>
        <v>-2.456373292867985E-2</v>
      </c>
      <c r="D352" s="26">
        <f>('Raw Price Data'!D352-'Raw Price Data'!D351)/'Raw Price Data'!D351</f>
        <v>1.6016943543583212E-2</v>
      </c>
      <c r="E352" s="26">
        <f>('Raw Price Data'!E352-'Raw Price Data'!E351)/'Raw Price Data'!E351</f>
        <v>-1.1499213860714673E-2</v>
      </c>
      <c r="F352" s="26">
        <f>('Raw Price Data'!F352-'Raw Price Data'!F351)/'Raw Price Data'!F351</f>
        <v>3.5779973361734102E-3</v>
      </c>
    </row>
    <row r="353" spans="1:6" ht="15" customHeight="1" x14ac:dyDescent="0.3">
      <c r="A353" s="21">
        <v>43957</v>
      </c>
      <c r="B353" s="25">
        <f>('Raw Price Data'!B353-'Raw Price Data'!B352)/'Raw Price Data'!B352</f>
        <v>1.7374517374517409E-2</v>
      </c>
      <c r="C353" s="25">
        <f>('Raw Price Data'!C353-'Raw Price Data'!C352)/'Raw Price Data'!C352</f>
        <v>-1.4730189596499764E-2</v>
      </c>
      <c r="D353" s="25">
        <f>('Raw Price Data'!D353-'Raw Price Data'!D352)/'Raw Price Data'!D352</f>
        <v>1.6155299329034058E-2</v>
      </c>
      <c r="E353" s="25">
        <f>('Raw Price Data'!E353-'Raw Price Data'!E352)/'Raw Price Data'!E352</f>
        <v>-1.4876497005987968E-2</v>
      </c>
      <c r="F353" s="25">
        <f>('Raw Price Data'!F353-'Raw Price Data'!F352)/'Raw Price Data'!F352</f>
        <v>-1.6238833941688652E-2</v>
      </c>
    </row>
    <row r="354" spans="1:6" ht="15" customHeight="1" x14ac:dyDescent="0.3">
      <c r="A354" s="19">
        <v>43958</v>
      </c>
      <c r="B354" s="26">
        <f>('Raw Price Data'!B354-'Raw Price Data'!B353)/'Raw Price Data'!B353</f>
        <v>-1.6819044333275244E-3</v>
      </c>
      <c r="C354" s="26">
        <f>('Raw Price Data'!C354-'Raw Price Data'!C353)/'Raw Price Data'!C353</f>
        <v>-3.5279025016034687E-3</v>
      </c>
      <c r="D354" s="26">
        <f>('Raw Price Data'!D354-'Raw Price Data'!D353)/'Raw Price Data'!D353</f>
        <v>-2.9296749791653448E-2</v>
      </c>
      <c r="E354" s="26">
        <f>('Raw Price Data'!E354-'Raw Price Data'!E353)/'Raw Price Data'!E353</f>
        <v>-1.4499635926172108E-2</v>
      </c>
      <c r="F354" s="26">
        <f>('Raw Price Data'!F354-'Raw Price Data'!F353)/'Raw Price Data'!F353</f>
        <v>1.2536848845367333E-2</v>
      </c>
    </row>
    <row r="355" spans="1:6" ht="15" customHeight="1" x14ac:dyDescent="0.3">
      <c r="A355" s="21">
        <v>43959</v>
      </c>
      <c r="B355" s="25">
        <f>('Raw Price Data'!B355-'Raw Price Data'!B354)/'Raw Price Data'!B354</f>
        <v>6.6525551859691213E-3</v>
      </c>
      <c r="C355" s="25">
        <f>('Raw Price Data'!C355-'Raw Price Data'!C354)/'Raw Price Data'!C354</f>
        <v>-1.6699264687677958E-2</v>
      </c>
      <c r="D355" s="25">
        <f>('Raw Price Data'!D355-'Raw Price Data'!D354)/'Raw Price Data'!D354</f>
        <v>3.9624884427421929E-3</v>
      </c>
      <c r="E355" s="25">
        <f>('Raw Price Data'!E355-'Raw Price Data'!E354)/'Raw Price Data'!E354</f>
        <v>2.3193806418452152E-2</v>
      </c>
      <c r="F355" s="25">
        <f>('Raw Price Data'!F355-'Raw Price Data'!F354)/'Raw Price Data'!F354</f>
        <v>-2.421589538236793E-2</v>
      </c>
    </row>
    <row r="356" spans="1:6" ht="15" customHeight="1" x14ac:dyDescent="0.3">
      <c r="A356" s="19">
        <v>43962</v>
      </c>
      <c r="B356" s="26">
        <f>('Raw Price Data'!B356-'Raw Price Data'!B355)/'Raw Price Data'!B355</f>
        <v>-2.2314723426168745E-3</v>
      </c>
      <c r="C356" s="26">
        <f>('Raw Price Data'!C356-'Raw Price Data'!C355)/'Raw Price Data'!C355</f>
        <v>9.8951317462515741E-3</v>
      </c>
      <c r="D356" s="26">
        <f>('Raw Price Data'!D356-'Raw Price Data'!D355)/'Raw Price Data'!D355</f>
        <v>-2.2168135771609029E-2</v>
      </c>
      <c r="E356" s="26">
        <f>('Raw Price Data'!E356-'Raw Price Data'!E355)/'Raw Price Data'!E355</f>
        <v>-1.1208439295469509E-2</v>
      </c>
      <c r="F356" s="26">
        <f>('Raw Price Data'!F356-'Raw Price Data'!F355)/'Raw Price Data'!F355</f>
        <v>-3.6704000031403212E-3</v>
      </c>
    </row>
    <row r="357" spans="1:6" ht="15" customHeight="1" x14ac:dyDescent="0.3">
      <c r="A357" s="21">
        <v>43963</v>
      </c>
      <c r="B357" s="25">
        <f>('Raw Price Data'!B357-'Raw Price Data'!B356)/'Raw Price Data'!B356</f>
        <v>8.8598339856350364E-3</v>
      </c>
      <c r="C357" s="25">
        <f>('Raw Price Data'!C357-'Raw Price Data'!C356)/'Raw Price Data'!C356</f>
        <v>5.4725189792941649E-3</v>
      </c>
      <c r="D357" s="25">
        <f>('Raw Price Data'!D357-'Raw Price Data'!D356)/'Raw Price Data'!D356</f>
        <v>-1.4598049108644573E-2</v>
      </c>
      <c r="E357" s="25">
        <f>('Raw Price Data'!E357-'Raw Price Data'!E356)/'Raw Price Data'!E356</f>
        <v>2.2956753667365271E-2</v>
      </c>
      <c r="F357" s="25">
        <f>('Raw Price Data'!F357-'Raw Price Data'!F356)/'Raw Price Data'!F356</f>
        <v>9.4945536035099636E-3</v>
      </c>
    </row>
    <row r="358" spans="1:6" ht="15" customHeight="1" x14ac:dyDescent="0.3">
      <c r="A358" s="19">
        <v>43964</v>
      </c>
      <c r="B358" s="26">
        <f>('Raw Price Data'!B358-'Raw Price Data'!B357)/'Raw Price Data'!B357</f>
        <v>-1.2789359253100694E-3</v>
      </c>
      <c r="C358" s="26">
        <f>('Raw Price Data'!C358-'Raw Price Data'!C357)/'Raw Price Data'!C357</f>
        <v>2.6035855091868245E-3</v>
      </c>
      <c r="D358" s="26">
        <f>('Raw Price Data'!D358-'Raw Price Data'!D357)/'Raw Price Data'!D357</f>
        <v>-1.7067176406335338E-3</v>
      </c>
      <c r="E358" s="26">
        <f>('Raw Price Data'!E358-'Raw Price Data'!E357)/'Raw Price Data'!E357</f>
        <v>-1.1422540894558793E-2</v>
      </c>
      <c r="F358" s="26">
        <f>('Raw Price Data'!F358-'Raw Price Data'!F357)/'Raw Price Data'!F357</f>
        <v>-8.3060433026537865E-3</v>
      </c>
    </row>
    <row r="359" spans="1:6" ht="15" customHeight="1" x14ac:dyDescent="0.3">
      <c r="A359" s="21">
        <v>43965</v>
      </c>
      <c r="B359" s="25">
        <f>('Raw Price Data'!B359-'Raw Price Data'!B358)/'Raw Price Data'!B358</f>
        <v>1.0884876424638165E-2</v>
      </c>
      <c r="C359" s="25">
        <f>('Raw Price Data'!C359-'Raw Price Data'!C358)/'Raw Price Data'!C358</f>
        <v>3.3993668694662922E-2</v>
      </c>
      <c r="D359" s="25">
        <f>('Raw Price Data'!D359-'Raw Price Data'!D358)/'Raw Price Data'!D358</f>
        <v>1.9079532243725779E-2</v>
      </c>
      <c r="E359" s="25">
        <f>('Raw Price Data'!E359-'Raw Price Data'!E358)/'Raw Price Data'!E358</f>
        <v>-3.381581839304211E-2</v>
      </c>
      <c r="F359" s="25">
        <f>('Raw Price Data'!F359-'Raw Price Data'!F358)/'Raw Price Data'!F358</f>
        <v>-1.6101677739370036E-2</v>
      </c>
    </row>
    <row r="360" spans="1:6" ht="15" customHeight="1" x14ac:dyDescent="0.3">
      <c r="A360" s="19">
        <v>43966</v>
      </c>
      <c r="B360" s="26">
        <f>('Raw Price Data'!B360-'Raw Price Data'!B359)/'Raw Price Data'!B359</f>
        <v>-2.195760493201511E-3</v>
      </c>
      <c r="C360" s="26">
        <f>('Raw Price Data'!C360-'Raw Price Data'!C359)/'Raw Price Data'!C359</f>
        <v>-2.8223925756724003E-2</v>
      </c>
      <c r="D360" s="26">
        <f>('Raw Price Data'!D360-'Raw Price Data'!D359)/'Raw Price Data'!D359</f>
        <v>5.5697221849415118E-3</v>
      </c>
      <c r="E360" s="26">
        <f>('Raw Price Data'!E360-'Raw Price Data'!E359)/'Raw Price Data'!E359</f>
        <v>-1.465618094371522E-2</v>
      </c>
      <c r="F360" s="26">
        <f>('Raw Price Data'!F360-'Raw Price Data'!F359)/'Raw Price Data'!F359</f>
        <v>-8.1770925413203535E-3</v>
      </c>
    </row>
    <row r="361" spans="1:6" ht="15" customHeight="1" x14ac:dyDescent="0.3">
      <c r="A361" s="21">
        <v>43969</v>
      </c>
      <c r="B361" s="25">
        <f>('Raw Price Data'!B361-'Raw Price Data'!B360)/'Raw Price Data'!B360</f>
        <v>1.1807024968260652E-2</v>
      </c>
      <c r="C361" s="25">
        <f>('Raw Price Data'!C361-'Raw Price Data'!C360)/'Raw Price Data'!C360</f>
        <v>2.4699410512325014E-2</v>
      </c>
      <c r="D361" s="25">
        <f>('Raw Price Data'!D361-'Raw Price Data'!D360)/'Raw Price Data'!D360</f>
        <v>4.0707374040708285E-3</v>
      </c>
      <c r="E361" s="25">
        <f>('Raw Price Data'!E361-'Raw Price Data'!E360)/'Raw Price Data'!E360</f>
        <v>5.9034992249596668E-3</v>
      </c>
      <c r="F361" s="25">
        <f>('Raw Price Data'!F361-'Raw Price Data'!F360)/'Raw Price Data'!F360</f>
        <v>-5.1632276403469953E-3</v>
      </c>
    </row>
    <row r="362" spans="1:6" ht="15" customHeight="1" x14ac:dyDescent="0.3">
      <c r="A362" s="19">
        <v>43970</v>
      </c>
      <c r="B362" s="26">
        <f>('Raw Price Data'!B362-'Raw Price Data'!B361)/'Raw Price Data'!B361</f>
        <v>9.6198084403362038E-3</v>
      </c>
      <c r="C362" s="26">
        <f>('Raw Price Data'!C362-'Raw Price Data'!C361)/'Raw Price Data'!C361</f>
        <v>-1.3955611068408922E-2</v>
      </c>
      <c r="D362" s="26">
        <f>('Raw Price Data'!D362-'Raw Price Data'!D361)/'Raw Price Data'!D361</f>
        <v>2.851256147813367E-2</v>
      </c>
      <c r="E362" s="26">
        <f>('Raw Price Data'!E362-'Raw Price Data'!E361)/'Raw Price Data'!E361</f>
        <v>2.3016393442622893E-2</v>
      </c>
      <c r="F362" s="26">
        <f>('Raw Price Data'!F362-'Raw Price Data'!F361)/'Raw Price Data'!F361</f>
        <v>2.309202332126329E-2</v>
      </c>
    </row>
    <row r="363" spans="1:6" ht="15" customHeight="1" x14ac:dyDescent="0.3">
      <c r="A363" s="21">
        <v>43971</v>
      </c>
      <c r="B363" s="25">
        <f>('Raw Price Data'!B363-'Raw Price Data'!B362)/'Raw Price Data'!B362</f>
        <v>-1.2842288412940629E-3</v>
      </c>
      <c r="C363" s="25">
        <f>('Raw Price Data'!C363-'Raw Price Data'!C362)/'Raw Price Data'!C362</f>
        <v>2.6381817738910098E-2</v>
      </c>
      <c r="D363" s="25">
        <f>('Raw Price Data'!D363-'Raw Price Data'!D362)/'Raw Price Data'!D362</f>
        <v>4.2003231017770969E-3</v>
      </c>
      <c r="E363" s="25">
        <f>('Raw Price Data'!E363-'Raw Price Data'!E362)/'Raw Price Data'!E362</f>
        <v>2.5062495993846527E-2</v>
      </c>
      <c r="F363" s="25">
        <f>('Raw Price Data'!F363-'Raw Price Data'!F362)/'Raw Price Data'!F362</f>
        <v>-1.6586615801810832E-2</v>
      </c>
    </row>
    <row r="364" spans="1:6" ht="15" customHeight="1" x14ac:dyDescent="0.3">
      <c r="A364" s="19">
        <v>43972</v>
      </c>
      <c r="B364" s="26">
        <f>('Raw Price Data'!B364-'Raw Price Data'!B363)/'Raw Price Data'!B363</f>
        <v>-1.1614401858304344E-2</v>
      </c>
      <c r="C364" s="26">
        <f>('Raw Price Data'!C364-'Raw Price Data'!C363)/'Raw Price Data'!C363</f>
        <v>3.4200408221388964E-2</v>
      </c>
      <c r="D364" s="26">
        <f>('Raw Price Data'!D364-'Raw Price Data'!D363)/'Raw Price Data'!D363</f>
        <v>-1.4543114543114667E-2</v>
      </c>
      <c r="E364" s="26">
        <f>('Raw Price Data'!E364-'Raw Price Data'!E363)/'Raw Price Data'!E363</f>
        <v>7.4099549774887591E-3</v>
      </c>
      <c r="F364" s="26">
        <f>('Raw Price Data'!F364-'Raw Price Data'!F363)/'Raw Price Data'!F363</f>
        <v>5.1292320294059161E-3</v>
      </c>
    </row>
    <row r="365" spans="1:6" ht="15" customHeight="1" x14ac:dyDescent="0.3">
      <c r="A365" s="21">
        <v>43973</v>
      </c>
      <c r="B365" s="25">
        <f>('Raw Price Data'!B365-'Raw Price Data'!B364)/'Raw Price Data'!B364</f>
        <v>-1.2716132281349678E-2</v>
      </c>
      <c r="C365" s="25">
        <f>('Raw Price Data'!C365-'Raw Price Data'!C364)/'Raw Price Data'!C364</f>
        <v>4.1193344807802616E-2</v>
      </c>
      <c r="D365" s="25">
        <f>('Raw Price Data'!D365-'Raw Price Data'!D364)/'Raw Price Data'!D364</f>
        <v>-2.1614209220321107E-2</v>
      </c>
      <c r="E365" s="25">
        <f>('Raw Price Data'!E365-'Raw Price Data'!E364)/'Raw Price Data'!E364</f>
        <v>1.3376369448496329E-2</v>
      </c>
      <c r="F365" s="25">
        <f>('Raw Price Data'!F365-'Raw Price Data'!F364)/'Raw Price Data'!F364</f>
        <v>-1.9166779239510913E-3</v>
      </c>
    </row>
    <row r="366" spans="1:6" ht="15" customHeight="1" x14ac:dyDescent="0.3">
      <c r="A366" s="19">
        <v>43976</v>
      </c>
      <c r="B366" s="26">
        <f>('Raw Price Data'!B366-'Raw Price Data'!B365)/'Raw Price Data'!B365</f>
        <v>-9.946865037194488E-3</v>
      </c>
      <c r="C366" s="26">
        <f>('Raw Price Data'!C366-'Raw Price Data'!C365)/'Raw Price Data'!C365</f>
        <v>-2.7661450297553352E-3</v>
      </c>
      <c r="D366" s="26">
        <f>('Raw Price Data'!D366-'Raw Price Data'!D365)/'Raw Price Data'!D365</f>
        <v>-1.3348461589801774E-2</v>
      </c>
      <c r="E366" s="26">
        <f>('Raw Price Data'!E366-'Raw Price Data'!E365)/'Raw Price Data'!E365</f>
        <v>-4.949160847727542E-2</v>
      </c>
      <c r="F366" s="26">
        <f>('Raw Price Data'!F366-'Raw Price Data'!F365)/'Raw Price Data'!F365</f>
        <v>-8.8953389484194272E-3</v>
      </c>
    </row>
    <row r="367" spans="1:6" ht="15" customHeight="1" x14ac:dyDescent="0.3">
      <c r="A367" s="21">
        <v>43977</v>
      </c>
      <c r="B367" s="25">
        <f>('Raw Price Data'!B367-'Raw Price Data'!B366)/'Raw Price Data'!B366</f>
        <v>-1.330986217852387E-2</v>
      </c>
      <c r="C367" s="25">
        <f>('Raw Price Data'!C367-'Raw Price Data'!C366)/'Raw Price Data'!C366</f>
        <v>-1.9925073765872065E-2</v>
      </c>
      <c r="D367" s="25">
        <f>('Raw Price Data'!D367-'Raw Price Data'!D366)/'Raw Price Data'!D366</f>
        <v>2.1646485828315846E-3</v>
      </c>
      <c r="E367" s="25">
        <f>('Raw Price Data'!E367-'Raw Price Data'!E366)/'Raw Price Data'!E366</f>
        <v>5.4452893414099679E-3</v>
      </c>
      <c r="F367" s="25">
        <f>('Raw Price Data'!F367-'Raw Price Data'!F366)/'Raw Price Data'!F366</f>
        <v>-1.5311917612433222E-2</v>
      </c>
    </row>
    <row r="368" spans="1:6" ht="15" customHeight="1" x14ac:dyDescent="0.3">
      <c r="A368" s="19">
        <v>43978</v>
      </c>
      <c r="B368" s="26">
        <f>('Raw Price Data'!B368-'Raw Price Data'!B367)/'Raw Price Data'!B367</f>
        <v>1.2314520691005543E-2</v>
      </c>
      <c r="C368" s="26">
        <f>('Raw Price Data'!C368-'Raw Price Data'!C367)/'Raw Price Data'!C367</f>
        <v>6.3820670680828631E-3</v>
      </c>
      <c r="D368" s="26">
        <f>('Raw Price Data'!D368-'Raw Price Data'!D367)/'Raw Price Data'!D367</f>
        <v>-2.3827202159973006E-2</v>
      </c>
      <c r="E368" s="26">
        <f>('Raw Price Data'!E368-'Raw Price Data'!E367)/'Raw Price Data'!E367</f>
        <v>1.2177535651337781E-3</v>
      </c>
      <c r="F368" s="26">
        <f>('Raw Price Data'!F368-'Raw Price Data'!F367)/'Raw Price Data'!F367</f>
        <v>-1.3115415242606404E-2</v>
      </c>
    </row>
    <row r="369" spans="1:6" ht="15" customHeight="1" x14ac:dyDescent="0.3">
      <c r="A369" s="21">
        <v>43979</v>
      </c>
      <c r="B369" s="25">
        <f>('Raw Price Data'!B369-'Raw Price Data'!B368)/'Raw Price Data'!B368</f>
        <v>-3.4387895460790958E-4</v>
      </c>
      <c r="C369" s="25">
        <f>('Raw Price Data'!C369-'Raw Price Data'!C368)/'Raw Price Data'!C368</f>
        <v>-3.4733115224302584E-4</v>
      </c>
      <c r="D369" s="25">
        <f>('Raw Price Data'!D369-'Raw Price Data'!D368)/'Raw Price Data'!D368</f>
        <v>7.2604065827685171E-3</v>
      </c>
      <c r="E369" s="25">
        <f>('Raw Price Data'!E369-'Raw Price Data'!E368)/'Raw Price Data'!E368</f>
        <v>-5.3772044938066345E-3</v>
      </c>
      <c r="F369" s="25">
        <f>('Raw Price Data'!F369-'Raw Price Data'!F368)/'Raw Price Data'!F368</f>
        <v>4.2479551477318028E-3</v>
      </c>
    </row>
    <row r="370" spans="1:6" ht="15" customHeight="1" x14ac:dyDescent="0.3">
      <c r="A370" s="19">
        <v>43980</v>
      </c>
      <c r="B370" s="26">
        <f>('Raw Price Data'!B370-'Raw Price Data'!B369)/'Raw Price Data'!B369</f>
        <v>2.2101823185414458E-2</v>
      </c>
      <c r="C370" s="26">
        <f>('Raw Price Data'!C370-'Raw Price Data'!C369)/'Raw Price Data'!C369</f>
        <v>-3.0497304446262689E-2</v>
      </c>
      <c r="D370" s="26">
        <f>('Raw Price Data'!D370-'Raw Price Data'!D369)/'Raw Price Data'!D369</f>
        <v>5.2859202306584077E-3</v>
      </c>
      <c r="E370" s="26">
        <f>('Raw Price Data'!E370-'Raw Price Data'!E369)/'Raw Price Data'!E369</f>
        <v>-1.2099758648431186E-2</v>
      </c>
      <c r="F370" s="26">
        <f>('Raw Price Data'!F370-'Raw Price Data'!F369)/'Raw Price Data'!F369</f>
        <v>8.0084059923215632E-3</v>
      </c>
    </row>
    <row r="371" spans="1:6" ht="15" customHeight="1" x14ac:dyDescent="0.3">
      <c r="A371" s="21">
        <v>43983</v>
      </c>
      <c r="B371" s="25">
        <f>('Raw Price Data'!B371-'Raw Price Data'!B370)/'Raw Price Data'!B370</f>
        <v>3.1888935633151087E-2</v>
      </c>
      <c r="C371" s="25">
        <f>('Raw Price Data'!C371-'Raw Price Data'!C370)/'Raw Price Data'!C370</f>
        <v>1.3572254335260126E-2</v>
      </c>
      <c r="D371" s="25">
        <f>('Raw Price Data'!D371-'Raw Price Data'!D370)/'Raw Price Data'!D370</f>
        <v>-1.0925976509150467E-2</v>
      </c>
      <c r="E371" s="25">
        <f>('Raw Price Data'!E371-'Raw Price Data'!E370)/'Raw Price Data'!E370</f>
        <v>1.710153425193003E-2</v>
      </c>
      <c r="F371" s="25">
        <f>('Raw Price Data'!F371-'Raw Price Data'!F370)/'Raw Price Data'!F370</f>
        <v>1.5267746306643803E-2</v>
      </c>
    </row>
    <row r="372" spans="1:6" ht="15" customHeight="1" x14ac:dyDescent="0.3">
      <c r="A372" s="19">
        <v>43984</v>
      </c>
      <c r="B372" s="26">
        <f>('Raw Price Data'!B372-'Raw Price Data'!B371)/'Raw Price Data'!B371</f>
        <v>6.5231572080885758E-4</v>
      </c>
      <c r="C372" s="26">
        <f>('Raw Price Data'!C372-'Raw Price Data'!C371)/'Raw Price Data'!C371</f>
        <v>-1.5683098752195635E-2</v>
      </c>
      <c r="D372" s="26">
        <f>('Raw Price Data'!D372-'Raw Price Data'!D371)/'Raw Price Data'!D371</f>
        <v>2.0022093344379457E-3</v>
      </c>
      <c r="E372" s="26">
        <f>('Raw Price Data'!E372-'Raw Price Data'!E371)/'Raw Price Data'!E371</f>
        <v>2.2002305918524225E-2</v>
      </c>
      <c r="F372" s="26">
        <f>('Raw Price Data'!F372-'Raw Price Data'!F371)/'Raw Price Data'!F371</f>
        <v>-1.0481077905342449E-2</v>
      </c>
    </row>
    <row r="373" spans="1:6" ht="15" customHeight="1" x14ac:dyDescent="0.3">
      <c r="A373" s="21">
        <v>43985</v>
      </c>
      <c r="B373" s="25">
        <f>('Raw Price Data'!B373-'Raw Price Data'!B372)/'Raw Price Data'!B372</f>
        <v>-2.1145697522816156E-2</v>
      </c>
      <c r="C373" s="25">
        <f>('Raw Price Data'!C373-'Raw Price Data'!C372)/'Raw Price Data'!C372</f>
        <v>2.6037381661432955E-2</v>
      </c>
      <c r="D373" s="25">
        <f>('Raw Price Data'!D373-'Raw Price Data'!D372)/'Raw Price Data'!D372</f>
        <v>8.5440639426721497E-3</v>
      </c>
      <c r="E373" s="25">
        <f>('Raw Price Data'!E373-'Raw Price Data'!E372)/'Raw Price Data'!E372</f>
        <v>3.7604587759706681E-2</v>
      </c>
      <c r="F373" s="25">
        <f>('Raw Price Data'!F373-'Raw Price Data'!F372)/'Raw Price Data'!F372</f>
        <v>-2.3704280793832973E-2</v>
      </c>
    </row>
    <row r="374" spans="1:6" ht="15" customHeight="1" x14ac:dyDescent="0.3">
      <c r="A374" s="19">
        <v>43986</v>
      </c>
      <c r="B374" s="26">
        <f>('Raw Price Data'!B374-'Raw Price Data'!B373)/'Raw Price Data'!B373</f>
        <v>-4.9531737773152867E-3</v>
      </c>
      <c r="C374" s="26">
        <f>('Raw Price Data'!C374-'Raw Price Data'!C373)/'Raw Price Data'!C373</f>
        <v>1.7617961285659327E-2</v>
      </c>
      <c r="D374" s="26">
        <f>('Raw Price Data'!D374-'Raw Price Data'!D373)/'Raw Price Data'!D373</f>
        <v>-9.5648015303682835E-3</v>
      </c>
      <c r="E374" s="26">
        <f>('Raw Price Data'!E374-'Raw Price Data'!E373)/'Raw Price Data'!E373</f>
        <v>-3.2013530246745863E-3</v>
      </c>
      <c r="F374" s="26">
        <f>('Raw Price Data'!F374-'Raw Price Data'!F373)/'Raw Price Data'!F373</f>
        <v>6.8864211945451319E-3</v>
      </c>
    </row>
    <row r="375" spans="1:6" ht="15" customHeight="1" x14ac:dyDescent="0.3">
      <c r="A375" s="21">
        <v>43987</v>
      </c>
      <c r="B375" s="25">
        <f>('Raw Price Data'!B375-'Raw Price Data'!B374)/'Raw Price Data'!B374</f>
        <v>-7.1111854764500926E-4</v>
      </c>
      <c r="C375" s="25">
        <f>('Raw Price Data'!C375-'Raw Price Data'!C374)/'Raw Price Data'!C374</f>
        <v>-4.372627793931526E-3</v>
      </c>
      <c r="D375" s="25">
        <f>('Raw Price Data'!D375-'Raw Price Data'!D374)/'Raw Price Data'!D374</f>
        <v>1.193350348347927E-2</v>
      </c>
      <c r="E375" s="25">
        <f>('Raw Price Data'!E375-'Raw Price Data'!E374)/'Raw Price Data'!E374</f>
        <v>-1.4573549462202703E-2</v>
      </c>
      <c r="F375" s="25">
        <f>('Raw Price Data'!F375-'Raw Price Data'!F374)/'Raw Price Data'!F374</f>
        <v>6.3281410819656788E-3</v>
      </c>
    </row>
    <row r="376" spans="1:6" ht="15" customHeight="1" x14ac:dyDescent="0.3">
      <c r="A376" s="19">
        <v>43990</v>
      </c>
      <c r="B376" s="26">
        <f>('Raw Price Data'!B376-'Raw Price Data'!B375)/'Raw Price Data'!B375</f>
        <v>-2.0344091422830529E-2</v>
      </c>
      <c r="C376" s="26">
        <f>('Raw Price Data'!C376-'Raw Price Data'!C375)/'Raw Price Data'!C375</f>
        <v>1.2372926698769548E-3</v>
      </c>
      <c r="D376" s="26">
        <f>('Raw Price Data'!D376-'Raw Price Data'!D375)/'Raw Price Data'!D375</f>
        <v>-1.0906612133605961E-2</v>
      </c>
      <c r="E376" s="26">
        <f>('Raw Price Data'!E376-'Raw Price Data'!E375)/'Raw Price Data'!E375</f>
        <v>3.609642110441523E-2</v>
      </c>
      <c r="F376" s="26">
        <f>('Raw Price Data'!F376-'Raw Price Data'!F375)/'Raw Price Data'!F375</f>
        <v>1.3793660876476471E-2</v>
      </c>
    </row>
    <row r="377" spans="1:6" ht="15" customHeight="1" x14ac:dyDescent="0.3">
      <c r="A377" s="21">
        <v>43991</v>
      </c>
      <c r="B377" s="25">
        <f>('Raw Price Data'!B377-'Raw Price Data'!B376)/'Raw Price Data'!B376</f>
        <v>-3.1192582147587479E-3</v>
      </c>
      <c r="C377" s="25">
        <f>('Raw Price Data'!C377-'Raw Price Data'!C376)/'Raw Price Data'!C376</f>
        <v>-3.6850249935985874E-3</v>
      </c>
      <c r="D377" s="25">
        <f>('Raw Price Data'!D377-'Raw Price Data'!D376)/'Raw Price Data'!D376</f>
        <v>9.6485182632667522E-3</v>
      </c>
      <c r="E377" s="25">
        <f>('Raw Price Data'!E377-'Raw Price Data'!E376)/'Raw Price Data'!E376</f>
        <v>-5.5789661107483986E-3</v>
      </c>
      <c r="F377" s="25">
        <f>('Raw Price Data'!F377-'Raw Price Data'!F376)/'Raw Price Data'!F376</f>
        <v>-2.1114870562636012E-2</v>
      </c>
    </row>
    <row r="378" spans="1:6" ht="15" customHeight="1" x14ac:dyDescent="0.3">
      <c r="A378" s="19">
        <v>43992</v>
      </c>
      <c r="B378" s="26">
        <f>('Raw Price Data'!B378-'Raw Price Data'!B377)/'Raw Price Data'!B377</f>
        <v>4.2863266180882984E-3</v>
      </c>
      <c r="C378" s="26">
        <f>('Raw Price Data'!C378-'Raw Price Data'!C377)/'Raw Price Data'!C377</f>
        <v>-7.4755285388637431E-3</v>
      </c>
      <c r="D378" s="26">
        <f>('Raw Price Data'!D378-'Raw Price Data'!D377)/'Raw Price Data'!D377</f>
        <v>2.3412969283276498E-2</v>
      </c>
      <c r="E378" s="26">
        <f>('Raw Price Data'!E378-'Raw Price Data'!E377)/'Raw Price Data'!E377</f>
        <v>-9.3703372127724345E-3</v>
      </c>
      <c r="F378" s="26">
        <f>('Raw Price Data'!F378-'Raw Price Data'!F377)/'Raw Price Data'!F377</f>
        <v>1.7327766528331921E-2</v>
      </c>
    </row>
    <row r="379" spans="1:6" ht="15" customHeight="1" x14ac:dyDescent="0.3">
      <c r="A379" s="21">
        <v>43993</v>
      </c>
      <c r="B379" s="25">
        <f>('Raw Price Data'!B379-'Raw Price Data'!B378)/'Raw Price Data'!B378</f>
        <v>-6.0606060606061283E-3</v>
      </c>
      <c r="C379" s="25">
        <f>('Raw Price Data'!C379-'Raw Price Data'!C378)/'Raw Price Data'!C378</f>
        <v>5.5244700133974235E-2</v>
      </c>
      <c r="D379" s="25">
        <f>('Raw Price Data'!D379-'Raw Price Data'!D378)/'Raw Price Data'!D378</f>
        <v>5.469218968852085E-3</v>
      </c>
      <c r="E379" s="25">
        <f>('Raw Price Data'!E379-'Raw Price Data'!E378)/'Raw Price Data'!E378</f>
        <v>-2.5725991083262935E-2</v>
      </c>
      <c r="F379" s="25">
        <f>('Raw Price Data'!F379-'Raw Price Data'!F378)/'Raw Price Data'!F378</f>
        <v>1.8407605603040619E-3</v>
      </c>
    </row>
    <row r="380" spans="1:6" ht="15" customHeight="1" x14ac:dyDescent="0.3">
      <c r="A380" s="19">
        <v>43994</v>
      </c>
      <c r="B380" s="26">
        <f>('Raw Price Data'!B380-'Raw Price Data'!B379)/'Raw Price Data'!B379</f>
        <v>-1.0348677430436262E-2</v>
      </c>
      <c r="C380" s="26">
        <f>('Raw Price Data'!C380-'Raw Price Data'!C379)/'Raw Price Data'!C379</f>
        <v>-1.5918062520004224E-2</v>
      </c>
      <c r="D380" s="26">
        <f>('Raw Price Data'!D380-'Raw Price Data'!D379)/'Raw Price Data'!D379</f>
        <v>-1.9701492537313424E-2</v>
      </c>
      <c r="E380" s="26">
        <f>('Raw Price Data'!E380-'Raw Price Data'!E379)/'Raw Price Data'!E379</f>
        <v>8.4101168758888446E-3</v>
      </c>
      <c r="F380" s="26">
        <f>('Raw Price Data'!F380-'Raw Price Data'!F379)/'Raw Price Data'!F379</f>
        <v>2.3237191472777429E-2</v>
      </c>
    </row>
    <row r="381" spans="1:6" ht="15" customHeight="1" x14ac:dyDescent="0.3">
      <c r="A381" s="21">
        <v>43997</v>
      </c>
      <c r="B381" s="25">
        <f>('Raw Price Data'!B381-'Raw Price Data'!B380)/'Raw Price Data'!B380</f>
        <v>-1.0196554866143074E-2</v>
      </c>
      <c r="C381" s="25">
        <f>('Raw Price Data'!C381-'Raw Price Data'!C380)/'Raw Price Data'!C380</f>
        <v>1.5720202085908687E-3</v>
      </c>
      <c r="D381" s="25">
        <f>('Raw Price Data'!D381-'Raw Price Data'!D380)/'Raw Price Data'!D380</f>
        <v>1.8270401948843567E-3</v>
      </c>
      <c r="E381" s="25">
        <f>('Raw Price Data'!E381-'Raw Price Data'!E380)/'Raw Price Data'!E380</f>
        <v>1.1927393144048526E-2</v>
      </c>
      <c r="F381" s="25">
        <f>('Raw Price Data'!F381-'Raw Price Data'!F380)/'Raw Price Data'!F380</f>
        <v>-2.0165295346482046E-3</v>
      </c>
    </row>
    <row r="382" spans="1:6" ht="15" customHeight="1" x14ac:dyDescent="0.3">
      <c r="A382" s="19">
        <v>43998</v>
      </c>
      <c r="B382" s="26">
        <f>('Raw Price Data'!B382-'Raw Price Data'!B381)/'Raw Price Data'!B381</f>
        <v>2.5118358758548086E-2</v>
      </c>
      <c r="C382" s="26">
        <f>('Raw Price Data'!C382-'Raw Price Data'!C381)/'Raw Price Data'!C381</f>
        <v>1.8087743415996366E-2</v>
      </c>
      <c r="D382" s="26">
        <f>('Raw Price Data'!D382-'Raw Price Data'!D381)/'Raw Price Data'!D381</f>
        <v>1.6210739614993628E-3</v>
      </c>
      <c r="E382" s="26">
        <f>('Raw Price Data'!E382-'Raw Price Data'!E381)/'Raw Price Data'!E381</f>
        <v>1.6422749447020019E-2</v>
      </c>
      <c r="F382" s="26">
        <f>('Raw Price Data'!F382-'Raw Price Data'!F381)/'Raw Price Data'!F381</f>
        <v>1.612731050164349E-2</v>
      </c>
    </row>
    <row r="383" spans="1:6" ht="15" customHeight="1" x14ac:dyDescent="0.3">
      <c r="A383" s="21">
        <v>43999</v>
      </c>
      <c r="B383" s="25">
        <f>('Raw Price Data'!B383-'Raw Price Data'!B382)/'Raw Price Data'!B382</f>
        <v>-1.9243104554200925E-3</v>
      </c>
      <c r="C383" s="25">
        <f>('Raw Price Data'!C383-'Raw Price Data'!C382)/'Raw Price Data'!C382</f>
        <v>-6.1879345907669388E-3</v>
      </c>
      <c r="D383" s="25">
        <f>('Raw Price Data'!D383-'Raw Price Data'!D382)/'Raw Price Data'!D382</f>
        <v>-1.3149908962168647E-2</v>
      </c>
      <c r="E383" s="25">
        <f>('Raw Price Data'!E383-'Raw Price Data'!E382)/'Raw Price Data'!E382</f>
        <v>4.6802802205991745E-3</v>
      </c>
      <c r="F383" s="25">
        <f>('Raw Price Data'!F383-'Raw Price Data'!F382)/'Raw Price Data'!F382</f>
        <v>-6.2134295781363542E-3</v>
      </c>
    </row>
    <row r="384" spans="1:6" ht="15" customHeight="1" x14ac:dyDescent="0.3">
      <c r="A384" s="19">
        <v>44000</v>
      </c>
      <c r="B384" s="26">
        <f>('Raw Price Data'!B384-'Raw Price Data'!B383)/'Raw Price Data'!B383</f>
        <v>-1.1182519280205713E-2</v>
      </c>
      <c r="C384" s="26">
        <f>('Raw Price Data'!C384-'Raw Price Data'!C383)/'Raw Price Data'!C383</f>
        <v>-1.0495121533721391E-2</v>
      </c>
      <c r="D384" s="26">
        <f>('Raw Price Data'!D384-'Raw Price Data'!D383)/'Raw Price Data'!D383</f>
        <v>-1.9406860735274041E-2</v>
      </c>
      <c r="E384" s="26">
        <f>('Raw Price Data'!E384-'Raw Price Data'!E383)/'Raw Price Data'!E383</f>
        <v>1.0770874132098972E-2</v>
      </c>
      <c r="F384" s="26">
        <f>('Raw Price Data'!F384-'Raw Price Data'!F383)/'Raw Price Data'!F383</f>
        <v>2.4742646196790962E-2</v>
      </c>
    </row>
    <row r="385" spans="1:6" ht="15" customHeight="1" x14ac:dyDescent="0.3">
      <c r="A385" s="21">
        <v>44001</v>
      </c>
      <c r="B385" s="25">
        <f>('Raw Price Data'!B385-'Raw Price Data'!B384)/'Raw Price Data'!B384</f>
        <v>-4.8528965726418157E-3</v>
      </c>
      <c r="C385" s="25">
        <f>('Raw Price Data'!C385-'Raw Price Data'!C384)/'Raw Price Data'!C384</f>
        <v>-2.2845466045344948E-2</v>
      </c>
      <c r="D385" s="25">
        <f>('Raw Price Data'!D385-'Raw Price Data'!D384)/'Raw Price Data'!D384</f>
        <v>-5.6445993031359045E-3</v>
      </c>
      <c r="E385" s="25">
        <f>('Raw Price Data'!E385-'Raw Price Data'!E384)/'Raw Price Data'!E384</f>
        <v>1.0949655071187491E-2</v>
      </c>
      <c r="F385" s="25">
        <f>('Raw Price Data'!F385-'Raw Price Data'!F384)/'Raw Price Data'!F384</f>
        <v>-5.4643272313719014E-3</v>
      </c>
    </row>
    <row r="386" spans="1:6" ht="15" customHeight="1" x14ac:dyDescent="0.3">
      <c r="A386" s="19">
        <v>44004</v>
      </c>
      <c r="B386" s="26">
        <f>('Raw Price Data'!B386-'Raw Price Data'!B385)/'Raw Price Data'!B385</f>
        <v>1.3541167762441825E-2</v>
      </c>
      <c r="C386" s="26">
        <f>('Raw Price Data'!C386-'Raw Price Data'!C385)/'Raw Price Data'!C385</f>
        <v>2.1620305826639312E-2</v>
      </c>
      <c r="D386" s="26">
        <f>('Raw Price Data'!D386-'Raw Price Data'!D385)/'Raw Price Data'!D385</f>
        <v>1.4086481182984029E-2</v>
      </c>
      <c r="E386" s="26">
        <f>('Raw Price Data'!E386-'Raw Price Data'!E385)/'Raw Price Data'!E385</f>
        <v>1.0192229513909027E-2</v>
      </c>
      <c r="F386" s="26">
        <f>('Raw Price Data'!F386-'Raw Price Data'!F385)/'Raw Price Data'!F385</f>
        <v>-1.683770707392716E-2</v>
      </c>
    </row>
    <row r="387" spans="1:6" ht="15" customHeight="1" x14ac:dyDescent="0.3">
      <c r="A387" s="21">
        <v>44005</v>
      </c>
      <c r="B387" s="25">
        <f>('Raw Price Data'!B387-'Raw Price Data'!B386)/'Raw Price Data'!B386</f>
        <v>-9.1502706418076958E-3</v>
      </c>
      <c r="C387" s="25">
        <f>('Raw Price Data'!C387-'Raw Price Data'!C386)/'Raw Price Data'!C386</f>
        <v>1.3159034787505932E-2</v>
      </c>
      <c r="D387" s="25">
        <f>('Raw Price Data'!D387-'Raw Price Data'!D386)/'Raw Price Data'!D386</f>
        <v>1.3268832066344272E-2</v>
      </c>
      <c r="E387" s="25">
        <f>('Raw Price Data'!E387-'Raw Price Data'!E386)/'Raw Price Data'!E386</f>
        <v>2.2737072063008495E-2</v>
      </c>
      <c r="F387" s="25">
        <f>('Raw Price Data'!F387-'Raw Price Data'!F386)/'Raw Price Data'!F386</f>
        <v>3.0589706073082925E-3</v>
      </c>
    </row>
    <row r="388" spans="1:6" ht="15" customHeight="1" x14ac:dyDescent="0.3">
      <c r="A388" s="19">
        <v>44006</v>
      </c>
      <c r="B388" s="26">
        <f>('Raw Price Data'!B388-'Raw Price Data'!B387)/'Raw Price Data'!B387</f>
        <v>6.980273141122849E-3</v>
      </c>
      <c r="C388" s="26">
        <f>('Raw Price Data'!C388-'Raw Price Data'!C387)/'Raw Price Data'!C387</f>
        <v>8.8832351652110113E-3</v>
      </c>
      <c r="D388" s="26">
        <f>('Raw Price Data'!D388-'Raw Price Data'!D387)/'Raw Price Data'!D387</f>
        <v>1.9301595962351547E-2</v>
      </c>
      <c r="E388" s="26">
        <f>('Raw Price Data'!E388-'Raw Price Data'!E387)/'Raw Price Data'!E387</f>
        <v>1.661045531197293E-2</v>
      </c>
      <c r="F388" s="26">
        <f>('Raw Price Data'!F388-'Raw Price Data'!F387)/'Raw Price Data'!F387</f>
        <v>1.3303555912044561E-2</v>
      </c>
    </row>
    <row r="389" spans="1:6" ht="15" customHeight="1" x14ac:dyDescent="0.3">
      <c r="A389" s="21">
        <v>44007</v>
      </c>
      <c r="B389" s="25">
        <f>('Raw Price Data'!B389-'Raw Price Data'!B388)/'Raw Price Data'!B388</f>
        <v>1.0419357616464377E-2</v>
      </c>
      <c r="C389" s="25">
        <f>('Raw Price Data'!C389-'Raw Price Data'!C388)/'Raw Price Data'!C388</f>
        <v>-2.6023013837970656E-2</v>
      </c>
      <c r="D389" s="25">
        <f>('Raw Price Data'!D389-'Raw Price Data'!D388)/'Raw Price Data'!D388</f>
        <v>-3.345600535294945E-4</v>
      </c>
      <c r="E389" s="25">
        <f>('Raw Price Data'!E389-'Raw Price Data'!E388)/'Raw Price Data'!E388</f>
        <v>4.0363827375522838E-3</v>
      </c>
      <c r="F389" s="25">
        <f>('Raw Price Data'!F389-'Raw Price Data'!F388)/'Raw Price Data'!F388</f>
        <v>1.4726472413106928E-2</v>
      </c>
    </row>
    <row r="390" spans="1:6" ht="15" customHeight="1" x14ac:dyDescent="0.3">
      <c r="A390" s="19">
        <v>44008</v>
      </c>
      <c r="B390" s="26">
        <f>('Raw Price Data'!B390-'Raw Price Data'!B389)/'Raw Price Data'!B389</f>
        <v>1.0695415033236708E-2</v>
      </c>
      <c r="C390" s="26">
        <f>('Raw Price Data'!C390-'Raw Price Data'!C389)/'Raw Price Data'!C389</f>
        <v>9.4863036052305512E-3</v>
      </c>
      <c r="D390" s="26">
        <f>('Raw Price Data'!D390-'Raw Price Data'!D389)/'Raw Price Data'!D389</f>
        <v>3.1392235609103064E-2</v>
      </c>
      <c r="E390" s="26">
        <f>('Raw Price Data'!E390-'Raw Price Data'!E389)/'Raw Price Data'!E389</f>
        <v>-9.6924305421704389E-3</v>
      </c>
      <c r="F390" s="26">
        <f>('Raw Price Data'!F390-'Raw Price Data'!F389)/'Raw Price Data'!F389</f>
        <v>-3.3053007679492979E-4</v>
      </c>
    </row>
    <row r="391" spans="1:6" ht="15" customHeight="1" x14ac:dyDescent="0.3">
      <c r="A391" s="21">
        <v>44011</v>
      </c>
      <c r="B391" s="25">
        <f>('Raw Price Data'!B391-'Raw Price Data'!B390)/'Raw Price Data'!B390</f>
        <v>1.9731017327880632E-2</v>
      </c>
      <c r="C391" s="25">
        <f>('Raw Price Data'!C391-'Raw Price Data'!C390)/'Raw Price Data'!C390</f>
        <v>5.6253637088603935E-3</v>
      </c>
      <c r="D391" s="25">
        <f>('Raw Price Data'!D391-'Raw Price Data'!D390)/'Raw Price Data'!D390</f>
        <v>-1.297942760724252E-2</v>
      </c>
      <c r="E391" s="25">
        <f>('Raw Price Data'!E391-'Raw Price Data'!E390)/'Raw Price Data'!E390</f>
        <v>1.5654108160711791E-2</v>
      </c>
      <c r="F391" s="25">
        <f>('Raw Price Data'!F391-'Raw Price Data'!F390)/'Raw Price Data'!F390</f>
        <v>4.8799600232197525E-3</v>
      </c>
    </row>
    <row r="392" spans="1:6" ht="15" customHeight="1" x14ac:dyDescent="0.3">
      <c r="A392" s="19">
        <v>44012</v>
      </c>
      <c r="B392" s="26">
        <f>('Raw Price Data'!B392-'Raw Price Data'!B391)/'Raw Price Data'!B391</f>
        <v>-7.3179807334518964E-3</v>
      </c>
      <c r="C392" s="26">
        <f>('Raw Price Data'!C392-'Raw Price Data'!C391)/'Raw Price Data'!C391</f>
        <v>-5.3688542157829212E-3</v>
      </c>
      <c r="D392" s="26">
        <f>('Raw Price Data'!D392-'Raw Price Data'!D391)/'Raw Price Data'!D391</f>
        <v>7.3640607535012462E-3</v>
      </c>
      <c r="E392" s="26">
        <f>('Raw Price Data'!E392-'Raw Price Data'!E391)/'Raw Price Data'!E391</f>
        <v>-1.0430354796320483E-2</v>
      </c>
      <c r="F392" s="26">
        <f>('Raw Price Data'!F392-'Raw Price Data'!F391)/'Raw Price Data'!F391</f>
        <v>2.2394963315321828E-4</v>
      </c>
    </row>
    <row r="393" spans="1:6" ht="15" customHeight="1" x14ac:dyDescent="0.3">
      <c r="A393" s="21">
        <v>44013</v>
      </c>
      <c r="B393" s="25">
        <f>('Raw Price Data'!B393-'Raw Price Data'!B392)/'Raw Price Data'!B392</f>
        <v>1.5993336109954199E-2</v>
      </c>
      <c r="C393" s="25">
        <f>('Raw Price Data'!C393-'Raw Price Data'!C392)/'Raw Price Data'!C392</f>
        <v>-2.3692291116737606E-2</v>
      </c>
      <c r="D393" s="25">
        <f>('Raw Price Data'!D393-'Raw Price Data'!D392)/'Raw Price Data'!D392</f>
        <v>-3.3940343319627322E-3</v>
      </c>
      <c r="E393" s="25">
        <f>('Raw Price Data'!E393-'Raw Price Data'!E392)/'Raw Price Data'!E392</f>
        <v>-2.2961794893076627E-3</v>
      </c>
      <c r="F393" s="25">
        <f>('Raw Price Data'!F393-'Raw Price Data'!F392)/'Raw Price Data'!F392</f>
        <v>1.562282618950441E-2</v>
      </c>
    </row>
    <row r="394" spans="1:6" ht="15" customHeight="1" x14ac:dyDescent="0.3">
      <c r="A394" s="19">
        <v>44014</v>
      </c>
      <c r="B394" s="26">
        <f>('Raw Price Data'!B394-'Raw Price Data'!B393)/'Raw Price Data'!B393</f>
        <v>-1.0658358612773609E-2</v>
      </c>
      <c r="C394" s="26">
        <f>('Raw Price Data'!C394-'Raw Price Data'!C393)/'Raw Price Data'!C393</f>
        <v>-3.9728083340691891E-4</v>
      </c>
      <c r="D394" s="26">
        <f>('Raw Price Data'!D394-'Raw Price Data'!D393)/'Raw Price Data'!D393</f>
        <v>2.3839151221429135E-2</v>
      </c>
      <c r="E394" s="26">
        <f>('Raw Price Data'!E394-'Raw Price Data'!E393)/'Raw Price Data'!E393</f>
        <v>-1.3060115350487966E-2</v>
      </c>
      <c r="F394" s="26">
        <f>('Raw Price Data'!F394-'Raw Price Data'!F393)/'Raw Price Data'!F393</f>
        <v>1.223301113563329E-2</v>
      </c>
    </row>
    <row r="395" spans="1:6" ht="15" customHeight="1" x14ac:dyDescent="0.3">
      <c r="A395" s="21">
        <v>44015</v>
      </c>
      <c r="B395" s="25">
        <f>('Raw Price Data'!B395-'Raw Price Data'!B394)/'Raw Price Data'!B394</f>
        <v>-5.1794149332891355E-3</v>
      </c>
      <c r="C395" s="25">
        <f>('Raw Price Data'!C395-'Raw Price Data'!C394)/'Raw Price Data'!C394</f>
        <v>-1.4771472731287255E-2</v>
      </c>
      <c r="D395" s="25">
        <f>('Raw Price Data'!D395-'Raw Price Data'!D394)/'Raw Price Data'!D394</f>
        <v>9.5950873152931139E-4</v>
      </c>
      <c r="E395" s="25">
        <f>('Raw Price Data'!E395-'Raw Price Data'!E394)/'Raw Price Data'!E394</f>
        <v>4.0766442839884218E-2</v>
      </c>
      <c r="F395" s="25">
        <f>('Raw Price Data'!F395-'Raw Price Data'!F394)/'Raw Price Data'!F394</f>
        <v>-5.3500294111076489E-3</v>
      </c>
    </row>
    <row r="396" spans="1:6" ht="15" customHeight="1" x14ac:dyDescent="0.3">
      <c r="A396" s="19">
        <v>44018</v>
      </c>
      <c r="B396" s="26">
        <f>('Raw Price Data'!B396-'Raw Price Data'!B395)/'Raw Price Data'!B395</f>
        <v>1.6910325294681172E-2</v>
      </c>
      <c r="C396" s="26">
        <f>('Raw Price Data'!C396-'Raw Price Data'!C395)/'Raw Price Data'!C395</f>
        <v>2.0057820308824067E-3</v>
      </c>
      <c r="D396" s="26">
        <f>('Raw Price Data'!D396-'Raw Price Data'!D395)/'Raw Price Data'!D395</f>
        <v>-1.5912576687116441E-2</v>
      </c>
      <c r="E396" s="26">
        <f>('Raw Price Data'!E396-'Raw Price Data'!E395)/'Raw Price Data'!E395</f>
        <v>-1.7870640319619924E-2</v>
      </c>
      <c r="F396" s="26">
        <f>('Raw Price Data'!F396-'Raw Price Data'!F395)/'Raw Price Data'!F395</f>
        <v>1.1384182181349959E-2</v>
      </c>
    </row>
    <row r="397" spans="1:6" ht="15" customHeight="1" x14ac:dyDescent="0.3">
      <c r="A397" s="21">
        <v>44019</v>
      </c>
      <c r="B397" s="25">
        <f>('Raw Price Data'!B397-'Raw Price Data'!B396)/'Raw Price Data'!B396</f>
        <v>1.1714110178169097E-2</v>
      </c>
      <c r="C397" s="25">
        <f>('Raw Price Data'!C397-'Raw Price Data'!C396)/'Raw Price Data'!C396</f>
        <v>1.7110074814640551E-3</v>
      </c>
      <c r="D397" s="25">
        <f>('Raw Price Data'!D397-'Raw Price Data'!D396)/'Raw Price Data'!D396</f>
        <v>4.2210533151501861E-3</v>
      </c>
      <c r="E397" s="25">
        <f>('Raw Price Data'!E397-'Raw Price Data'!E396)/'Raw Price Data'!E396</f>
        <v>1.3028420647573001E-2</v>
      </c>
      <c r="F397" s="25">
        <f>('Raw Price Data'!F397-'Raw Price Data'!F396)/'Raw Price Data'!F396</f>
        <v>1.2305223576663033E-4</v>
      </c>
    </row>
    <row r="398" spans="1:6" ht="15" customHeight="1" x14ac:dyDescent="0.3">
      <c r="A398" s="19">
        <v>44020</v>
      </c>
      <c r="B398" s="26">
        <f>('Raw Price Data'!B398-'Raw Price Data'!B397)/'Raw Price Data'!B397</f>
        <v>3.2387352738760578E-4</v>
      </c>
      <c r="C398" s="26">
        <f>('Raw Price Data'!C398-'Raw Price Data'!C397)/'Raw Price Data'!C397</f>
        <v>-5.3698617902517018E-3</v>
      </c>
      <c r="D398" s="26">
        <f>('Raw Price Data'!D398-'Raw Price Data'!D397)/'Raw Price Data'!D397</f>
        <v>-1.7265907915157707E-2</v>
      </c>
      <c r="E398" s="26">
        <f>('Raw Price Data'!E398-'Raw Price Data'!E397)/'Raw Price Data'!E397</f>
        <v>1.3240720642500529E-2</v>
      </c>
      <c r="F398" s="26">
        <f>('Raw Price Data'!F398-'Raw Price Data'!F397)/'Raw Price Data'!F397</f>
        <v>1.3822523892323925E-2</v>
      </c>
    </row>
    <row r="399" spans="1:6" ht="15" customHeight="1" x14ac:dyDescent="0.3">
      <c r="A399" s="21">
        <v>44021</v>
      </c>
      <c r="B399" s="25">
        <f>('Raw Price Data'!B399-'Raw Price Data'!B398)/'Raw Price Data'!B398</f>
        <v>-1.6188433364361165E-2</v>
      </c>
      <c r="C399" s="25">
        <f>('Raw Price Data'!C399-'Raw Price Data'!C398)/'Raw Price Data'!C398</f>
        <v>1.6162885973084407E-2</v>
      </c>
      <c r="D399" s="25">
        <f>('Raw Price Data'!D399-'Raw Price Data'!D398)/'Raw Price Data'!D398</f>
        <v>-1.3357899585444503E-2</v>
      </c>
      <c r="E399" s="25">
        <f>('Raw Price Data'!E399-'Raw Price Data'!E398)/'Raw Price Data'!E398</f>
        <v>1.7057626392459311E-2</v>
      </c>
      <c r="F399" s="25">
        <f>('Raw Price Data'!F399-'Raw Price Data'!F398)/'Raw Price Data'!F398</f>
        <v>-3.9395333550016967E-3</v>
      </c>
    </row>
    <row r="400" spans="1:6" ht="15" customHeight="1" x14ac:dyDescent="0.3">
      <c r="A400" s="19">
        <v>44022</v>
      </c>
      <c r="B400" s="26">
        <f>('Raw Price Data'!B400-'Raw Price Data'!B399)/'Raw Price Data'!B399</f>
        <v>8.1039944053642628E-3</v>
      </c>
      <c r="C400" s="26">
        <f>('Raw Price Data'!C400-'Raw Price Data'!C399)/'Raw Price Data'!C399</f>
        <v>-5.743761943159903E-4</v>
      </c>
      <c r="D400" s="26">
        <f>('Raw Price Data'!D400-'Raw Price Data'!D399)/'Raw Price Data'!D399</f>
        <v>1.5006002400960384E-2</v>
      </c>
      <c r="E400" s="26">
        <f>('Raw Price Data'!E400-'Raw Price Data'!E399)/'Raw Price Data'!E399</f>
        <v>-2.8961849345729088E-4</v>
      </c>
      <c r="F400" s="26">
        <f>('Raw Price Data'!F400-'Raw Price Data'!F399)/'Raw Price Data'!F399</f>
        <v>1.3981322082316967E-3</v>
      </c>
    </row>
    <row r="401" spans="1:6" ht="15" customHeight="1" x14ac:dyDescent="0.3">
      <c r="A401" s="21">
        <v>44025</v>
      </c>
      <c r="B401" s="25">
        <f>('Raw Price Data'!B401-'Raw Price Data'!B400)/'Raw Price Data'!B400</f>
        <v>-8.4061046274381875E-3</v>
      </c>
      <c r="C401" s="25">
        <f>('Raw Price Data'!C401-'Raw Price Data'!C400)/'Raw Price Data'!C400</f>
        <v>9.9247355798455124E-3</v>
      </c>
      <c r="D401" s="25">
        <f>('Raw Price Data'!D401-'Raw Price Data'!D400)/'Raw Price Data'!D400</f>
        <v>6.5707339509763483E-5</v>
      </c>
      <c r="E401" s="25">
        <f>('Raw Price Data'!E401-'Raw Price Data'!E400)/'Raw Price Data'!E400</f>
        <v>2.0805899394259163E-3</v>
      </c>
      <c r="F401" s="25">
        <f>('Raw Price Data'!F401-'Raw Price Data'!F400)/'Raw Price Data'!F400</f>
        <v>-6.093353973844055E-3</v>
      </c>
    </row>
    <row r="402" spans="1:6" ht="15" customHeight="1" x14ac:dyDescent="0.3">
      <c r="A402" s="19">
        <v>44026</v>
      </c>
      <c r="B402" s="26">
        <f>('Raw Price Data'!B402-'Raw Price Data'!B401)/'Raw Price Data'!B401</f>
        <v>-1.2510288065843589E-2</v>
      </c>
      <c r="C402" s="26">
        <f>('Raw Price Data'!C402-'Raw Price Data'!C401)/'Raw Price Data'!C401</f>
        <v>7.9777629433459302E-3</v>
      </c>
      <c r="D402" s="26">
        <f>('Raw Price Data'!D402-'Raw Price Data'!D401)/'Raw Price Data'!D401</f>
        <v>1.3863337713534913E-2</v>
      </c>
      <c r="E402" s="26">
        <f>('Raw Price Data'!E402-'Raw Price Data'!E401)/'Raw Price Data'!E401</f>
        <v>-3.2589555573077061E-3</v>
      </c>
      <c r="F402" s="26">
        <f>('Raw Price Data'!F402-'Raw Price Data'!F401)/'Raw Price Data'!F401</f>
        <v>-1.7379673484069387E-2</v>
      </c>
    </row>
    <row r="403" spans="1:6" ht="15" customHeight="1" x14ac:dyDescent="0.3">
      <c r="A403" s="21">
        <v>44027</v>
      </c>
      <c r="B403" s="25">
        <f>('Raw Price Data'!B403-'Raw Price Data'!B402)/'Raw Price Data'!B402</f>
        <v>-8.6681113518920338E-3</v>
      </c>
      <c r="C403" s="25">
        <f>('Raw Price Data'!C403-'Raw Price Data'!C402)/'Raw Price Data'!C402</f>
        <v>1.838059669084113E-2</v>
      </c>
      <c r="D403" s="25">
        <f>('Raw Price Data'!D403-'Raw Price Data'!D402)/'Raw Price Data'!D402</f>
        <v>-1.3349750502235774E-2</v>
      </c>
      <c r="E403" s="25">
        <f>('Raw Price Data'!E403-'Raw Price Data'!E402)/'Raw Price Data'!E402</f>
        <v>-5.0889914304548478E-2</v>
      </c>
      <c r="F403" s="25">
        <f>('Raw Price Data'!F403-'Raw Price Data'!F402)/'Raw Price Data'!F402</f>
        <v>-1.3419294551745011E-2</v>
      </c>
    </row>
    <row r="404" spans="1:6" ht="15" customHeight="1" x14ac:dyDescent="0.3">
      <c r="A404" s="19">
        <v>44028</v>
      </c>
      <c r="B404" s="26">
        <f>('Raw Price Data'!B404-'Raw Price Data'!B403)/'Raw Price Data'!B403</f>
        <v>3.741382209517466E-3</v>
      </c>
      <c r="C404" s="26">
        <f>('Raw Price Data'!C404-'Raw Price Data'!C403)/'Raw Price Data'!C403</f>
        <v>-1.6407074551443999E-2</v>
      </c>
      <c r="D404" s="26">
        <f>('Raw Price Data'!D404-'Raw Price Data'!D403)/'Raw Price Data'!D403</f>
        <v>2.0821018062397289E-2</v>
      </c>
      <c r="E404" s="26">
        <f>('Raw Price Data'!E404-'Raw Price Data'!E403)/'Raw Price Data'!E403</f>
        <v>-1.3974163078205232E-2</v>
      </c>
      <c r="F404" s="26">
        <f>('Raw Price Data'!F404-'Raw Price Data'!F403)/'Raw Price Data'!F403</f>
        <v>1.3107164829822849E-2</v>
      </c>
    </row>
    <row r="405" spans="1:6" ht="15" customHeight="1" x14ac:dyDescent="0.3">
      <c r="A405" s="21">
        <v>44029</v>
      </c>
      <c r="B405" s="25">
        <f>('Raw Price Data'!B405-'Raw Price Data'!B404)/'Raw Price Data'!B404</f>
        <v>-2.906562801021903E-2</v>
      </c>
      <c r="C405" s="25">
        <f>('Raw Price Data'!C405-'Raw Price Data'!C404)/'Raw Price Data'!C404</f>
        <v>-5.4952201339663678E-3</v>
      </c>
      <c r="D405" s="25">
        <f>('Raw Price Data'!D405-'Raw Price Data'!D404)/'Raw Price Data'!D404</f>
        <v>-2.3806459915067311E-3</v>
      </c>
      <c r="E405" s="25">
        <f>('Raw Price Data'!E405-'Raw Price Data'!E404)/'Raw Price Data'!E404</f>
        <v>2.6259438746759813E-2</v>
      </c>
      <c r="F405" s="25">
        <f>('Raw Price Data'!F405-'Raw Price Data'!F404)/'Raw Price Data'!F404</f>
        <v>7.38720515749246E-3</v>
      </c>
    </row>
    <row r="406" spans="1:6" ht="15" customHeight="1" x14ac:dyDescent="0.3">
      <c r="A406" s="19">
        <v>44032</v>
      </c>
      <c r="B406" s="26">
        <f>('Raw Price Data'!B406-'Raw Price Data'!B405)/'Raw Price Data'!B405</f>
        <v>5.305611870767328E-3</v>
      </c>
      <c r="C406" s="26">
        <f>('Raw Price Data'!C406-'Raw Price Data'!C405)/'Raw Price Data'!C405</f>
        <v>1.6849218026265638E-2</v>
      </c>
      <c r="D406" s="26">
        <f>('Raw Price Data'!D406-'Raw Price Data'!D405)/'Raw Price Data'!D405</f>
        <v>-3.0377297645920721E-2</v>
      </c>
      <c r="E406" s="26">
        <f>('Raw Price Data'!E406-'Raw Price Data'!E405)/'Raw Price Data'!E405</f>
        <v>-1.4935207555457934E-2</v>
      </c>
      <c r="F406" s="26">
        <f>('Raw Price Data'!F406-'Raw Price Data'!F405)/'Raw Price Data'!F405</f>
        <v>-8.6157062350608413E-3</v>
      </c>
    </row>
    <row r="407" spans="1:6" ht="15" customHeight="1" x14ac:dyDescent="0.3">
      <c r="A407" s="21">
        <v>44033</v>
      </c>
      <c r="B407" s="25">
        <f>('Raw Price Data'!B407-'Raw Price Data'!B406)/'Raw Price Data'!B406</f>
        <v>2.7460739723675722E-3</v>
      </c>
      <c r="C407" s="25">
        <f>('Raw Price Data'!C407-'Raw Price Data'!C406)/'Raw Price Data'!C406</f>
        <v>3.3118616092003643E-3</v>
      </c>
      <c r="D407" s="25">
        <f>('Raw Price Data'!D407-'Raw Price Data'!D406)/'Raw Price Data'!D406</f>
        <v>-1.3702274843687657E-2</v>
      </c>
      <c r="E407" s="25">
        <f>('Raw Price Data'!E407-'Raw Price Data'!E406)/'Raw Price Data'!E406</f>
        <v>3.0100334448160092E-3</v>
      </c>
      <c r="F407" s="25">
        <f>('Raw Price Data'!F407-'Raw Price Data'!F406)/'Raw Price Data'!F406</f>
        <v>5.9411697143539142E-3</v>
      </c>
    </row>
    <row r="408" spans="1:6" ht="15" customHeight="1" x14ac:dyDescent="0.3">
      <c r="A408" s="19">
        <v>44034</v>
      </c>
      <c r="B408" s="26">
        <f>('Raw Price Data'!B408-'Raw Price Data'!B407)/'Raw Price Data'!B407</f>
        <v>-7.7877620881471685E-3</v>
      </c>
      <c r="C408" s="26">
        <f>('Raw Price Data'!C408-'Raw Price Data'!C407)/'Raw Price Data'!C407</f>
        <v>2.0446533490011735E-2</v>
      </c>
      <c r="D408" s="26">
        <f>('Raw Price Data'!D408-'Raw Price Data'!D407)/'Raw Price Data'!D407</f>
        <v>-2.164823307256547E-2</v>
      </c>
      <c r="E408" s="26">
        <f>('Raw Price Data'!E408-'Raw Price Data'!E407)/'Raw Price Data'!E407</f>
        <v>5.0322329665444074E-2</v>
      </c>
      <c r="F408" s="26">
        <f>('Raw Price Data'!F408-'Raw Price Data'!F407)/'Raw Price Data'!F407</f>
        <v>7.3431890522305924E-4</v>
      </c>
    </row>
    <row r="409" spans="1:6" ht="15" customHeight="1" x14ac:dyDescent="0.3">
      <c r="A409" s="21">
        <v>44035</v>
      </c>
      <c r="B409" s="25">
        <f>('Raw Price Data'!B409-'Raw Price Data'!B408)/'Raw Price Data'!B408</f>
        <v>1.4662756598240494E-2</v>
      </c>
      <c r="C409" s="25">
        <f>('Raw Price Data'!C409-'Raw Price Data'!C408)/'Raw Price Data'!C408</f>
        <v>1.374523679912901E-2</v>
      </c>
      <c r="D409" s="25">
        <f>('Raw Price Data'!D409-'Raw Price Data'!D408)/'Raw Price Data'!D408</f>
        <v>-2.2678706831184892E-2</v>
      </c>
      <c r="E409" s="25">
        <f>('Raw Price Data'!E409-'Raw Price Data'!E408)/'Raw Price Data'!E408</f>
        <v>-1.7804703828143649E-2</v>
      </c>
      <c r="F409" s="25">
        <f>('Raw Price Data'!F409-'Raw Price Data'!F408)/'Raw Price Data'!F408</f>
        <v>9.1131533248010477E-3</v>
      </c>
    </row>
    <row r="410" spans="1:6" ht="15" customHeight="1" x14ac:dyDescent="0.3">
      <c r="A410" s="19">
        <v>44036</v>
      </c>
      <c r="B410" s="26">
        <f>('Raw Price Data'!B410-'Raw Price Data'!B409)/'Raw Price Data'!B409</f>
        <v>8.7980278816728718E-3</v>
      </c>
      <c r="C410" s="26">
        <f>('Raw Price Data'!C410-'Raw Price Data'!C409)/'Raw Price Data'!C409</f>
        <v>-7.2492952074103721E-3</v>
      </c>
      <c r="D410" s="26">
        <f>('Raw Price Data'!D410-'Raw Price Data'!D409)/'Raw Price Data'!D409</f>
        <v>8.4638171815487988E-3</v>
      </c>
      <c r="E410" s="26">
        <f>('Raw Price Data'!E410-'Raw Price Data'!E409)/'Raw Price Data'!E409</f>
        <v>-9.0771965738296739E-3</v>
      </c>
      <c r="F410" s="26">
        <f>('Raw Price Data'!F410-'Raw Price Data'!F409)/'Raw Price Data'!F409</f>
        <v>-4.6636841552974134E-3</v>
      </c>
    </row>
    <row r="411" spans="1:6" ht="15" customHeight="1" x14ac:dyDescent="0.3">
      <c r="A411" s="21">
        <v>44039</v>
      </c>
      <c r="B411" s="25">
        <f>('Raw Price Data'!B411-'Raw Price Data'!B410)/'Raw Price Data'!B410</f>
        <v>-8.0893195702548461E-3</v>
      </c>
      <c r="C411" s="25">
        <f>('Raw Price Data'!C411-'Raw Price Data'!C410)/'Raw Price Data'!C410</f>
        <v>1.6123160139387319E-2</v>
      </c>
      <c r="D411" s="25">
        <f>('Raw Price Data'!D411-'Raw Price Data'!D410)/'Raw Price Data'!D410</f>
        <v>6.1547069520214289E-3</v>
      </c>
      <c r="E411" s="25">
        <f>('Raw Price Data'!E411-'Raw Price Data'!E410)/'Raw Price Data'!E410</f>
        <v>-4.267579983147118E-3</v>
      </c>
      <c r="F411" s="25">
        <f>('Raw Price Data'!F411-'Raw Price Data'!F410)/'Raw Price Data'!F410</f>
        <v>2.4853164017517521E-4</v>
      </c>
    </row>
    <row r="412" spans="1:6" ht="15" customHeight="1" x14ac:dyDescent="0.3">
      <c r="A412" s="19">
        <v>44040</v>
      </c>
      <c r="B412" s="26">
        <f>('Raw Price Data'!B412-'Raw Price Data'!B411)/'Raw Price Data'!B411</f>
        <v>-8.9623242577412127E-3</v>
      </c>
      <c r="C412" s="26">
        <f>('Raw Price Data'!C412-'Raw Price Data'!C411)/'Raw Price Data'!C411</f>
        <v>-3.9514766852638723E-3</v>
      </c>
      <c r="D412" s="26">
        <f>('Raw Price Data'!D412-'Raw Price Data'!D411)/'Raw Price Data'!D411</f>
        <v>9.7316835812593996E-3</v>
      </c>
      <c r="E412" s="26">
        <f>('Raw Price Data'!E412-'Raw Price Data'!E411)/'Raw Price Data'!E411</f>
        <v>-3.7289801266652024E-2</v>
      </c>
      <c r="F412" s="26">
        <f>('Raw Price Data'!F412-'Raw Price Data'!F411)/'Raw Price Data'!F411</f>
        <v>-1.2700541085395894E-2</v>
      </c>
    </row>
    <row r="413" spans="1:6" ht="15" customHeight="1" x14ac:dyDescent="0.3">
      <c r="A413" s="21">
        <v>44041</v>
      </c>
      <c r="B413" s="25">
        <f>('Raw Price Data'!B413-'Raw Price Data'!B412)/'Raw Price Data'!B412</f>
        <v>9.943425338590748E-3</v>
      </c>
      <c r="C413" s="25">
        <f>('Raw Price Data'!C413-'Raw Price Data'!C412)/'Raw Price Data'!C412</f>
        <v>1.7471916463684109E-2</v>
      </c>
      <c r="D413" s="25">
        <f>('Raw Price Data'!D413-'Raw Price Data'!D412)/'Raw Price Data'!D412</f>
        <v>-1.1221258433154314E-2</v>
      </c>
      <c r="E413" s="25">
        <f>('Raw Price Data'!E413-'Raw Price Data'!E412)/'Raw Price Data'!E412</f>
        <v>-1.5936029036465731E-2</v>
      </c>
      <c r="F413" s="25">
        <f>('Raw Price Data'!F413-'Raw Price Data'!F412)/'Raw Price Data'!F412</f>
        <v>1.3360861867404348E-2</v>
      </c>
    </row>
    <row r="414" spans="1:6" ht="15" customHeight="1" x14ac:dyDescent="0.3">
      <c r="A414" s="19">
        <v>44042</v>
      </c>
      <c r="B414" s="26">
        <f>('Raw Price Data'!B414-'Raw Price Data'!B413)/'Raw Price Data'!B413</f>
        <v>-2.0667119334578071E-2</v>
      </c>
      <c r="C414" s="26">
        <f>('Raw Price Data'!C414-'Raw Price Data'!C413)/'Raw Price Data'!C413</f>
        <v>3.3293265588541336E-2</v>
      </c>
      <c r="D414" s="26">
        <f>('Raw Price Data'!D414-'Raw Price Data'!D413)/'Raw Price Data'!D413</f>
        <v>8.7725405555941719E-3</v>
      </c>
      <c r="E414" s="26">
        <f>('Raw Price Data'!E414-'Raw Price Data'!E413)/'Raw Price Data'!E413</f>
        <v>-2.6538727524204806E-2</v>
      </c>
      <c r="F414" s="26">
        <f>('Raw Price Data'!F414-'Raw Price Data'!F413)/'Raw Price Data'!F413</f>
        <v>6.3014373954281338E-3</v>
      </c>
    </row>
    <row r="415" spans="1:6" ht="15" customHeight="1" x14ac:dyDescent="0.3">
      <c r="A415" s="21">
        <v>44043</v>
      </c>
      <c r="B415" s="25">
        <f>('Raw Price Data'!B415-'Raw Price Data'!B414)/'Raw Price Data'!B414</f>
        <v>-4.2899857000477061E-3</v>
      </c>
      <c r="C415" s="25">
        <f>('Raw Price Data'!C415-'Raw Price Data'!C414)/'Raw Price Data'!C414</f>
        <v>1.985434283200542E-2</v>
      </c>
      <c r="D415" s="25">
        <f>('Raw Price Data'!D415-'Raw Price Data'!D414)/'Raw Price Data'!D414</f>
        <v>-2.2775898957829964E-2</v>
      </c>
      <c r="E415" s="25">
        <f>('Raw Price Data'!E415-'Raw Price Data'!E414)/'Raw Price Data'!E414</f>
        <v>1.0774649971879475E-2</v>
      </c>
      <c r="F415" s="25">
        <f>('Raw Price Data'!F415-'Raw Price Data'!F414)/'Raw Price Data'!F414</f>
        <v>1.7004564654761268E-3</v>
      </c>
    </row>
    <row r="416" spans="1:6" ht="15" customHeight="1" x14ac:dyDescent="0.3">
      <c r="A416" s="19">
        <v>44046</v>
      </c>
      <c r="B416" s="26">
        <f>('Raw Price Data'!B416-'Raw Price Data'!B415)/'Raw Price Data'!B415</f>
        <v>-8.4428583862825209E-3</v>
      </c>
      <c r="C416" s="26">
        <f>('Raw Price Data'!C416-'Raw Price Data'!C415)/'Raw Price Data'!C415</f>
        <v>4.0977321089661255E-2</v>
      </c>
      <c r="D416" s="26">
        <f>('Raw Price Data'!D416-'Raw Price Data'!D415)/'Raw Price Data'!D415</f>
        <v>-7.2038985804082929E-3</v>
      </c>
      <c r="E416" s="26">
        <f>('Raw Price Data'!E416-'Raw Price Data'!E415)/'Raw Price Data'!E415</f>
        <v>-4.2170615280992607E-3</v>
      </c>
      <c r="F416" s="26">
        <f>('Raw Price Data'!F416-'Raw Price Data'!F415)/'Raw Price Data'!F415</f>
        <v>2.808129346503695E-2</v>
      </c>
    </row>
    <row r="417" spans="1:6" ht="15" customHeight="1" x14ac:dyDescent="0.3">
      <c r="A417" s="21">
        <v>44047</v>
      </c>
      <c r="B417" s="25">
        <f>('Raw Price Data'!B417-'Raw Price Data'!B416)/'Raw Price Data'!B416</f>
        <v>1.2728230337078301E-3</v>
      </c>
      <c r="C417" s="25">
        <f>('Raw Price Data'!C417-'Raw Price Data'!C416)/'Raw Price Data'!C416</f>
        <v>-2.6776917339619274E-2</v>
      </c>
      <c r="D417" s="25">
        <f>('Raw Price Data'!D417-'Raw Price Data'!D416)/'Raw Price Data'!D416</f>
        <v>-2.0630290958240879E-3</v>
      </c>
      <c r="E417" s="25">
        <f>('Raw Price Data'!E417-'Raw Price Data'!E416)/'Raw Price Data'!E416</f>
        <v>-3.9820015880951576E-2</v>
      </c>
      <c r="F417" s="25">
        <f>('Raw Price Data'!F417-'Raw Price Data'!F416)/'Raw Price Data'!F416</f>
        <v>1.3725414746811852E-2</v>
      </c>
    </row>
    <row r="418" spans="1:6" ht="15" customHeight="1" x14ac:dyDescent="0.3">
      <c r="A418" s="19">
        <v>44048</v>
      </c>
      <c r="B418" s="26">
        <f>('Raw Price Data'!B418-'Raw Price Data'!B417)/'Raw Price Data'!B417</f>
        <v>3.2437645202297335E-3</v>
      </c>
      <c r="C418" s="26">
        <f>('Raw Price Data'!C418-'Raw Price Data'!C417)/'Raw Price Data'!C417</f>
        <v>-9.0734485727532992E-3</v>
      </c>
      <c r="D418" s="26">
        <f>('Raw Price Data'!D418-'Raw Price Data'!D417)/'Raw Price Data'!D417</f>
        <v>-8.6256059309952095E-3</v>
      </c>
      <c r="E418" s="26">
        <f>('Raw Price Data'!E418-'Raw Price Data'!E417)/'Raw Price Data'!E417</f>
        <v>1.5804465680418905E-2</v>
      </c>
      <c r="F418" s="26">
        <f>('Raw Price Data'!F418-'Raw Price Data'!F417)/'Raw Price Data'!F417</f>
        <v>1.6569696873397242E-2</v>
      </c>
    </row>
    <row r="419" spans="1:6" ht="15" customHeight="1" x14ac:dyDescent="0.3">
      <c r="A419" s="21">
        <v>44049</v>
      </c>
      <c r="B419" s="25">
        <f>('Raw Price Data'!B419-'Raw Price Data'!B418)/'Raw Price Data'!B418</f>
        <v>8.3016559618996687E-4</v>
      </c>
      <c r="C419" s="25">
        <f>('Raw Price Data'!C419-'Raw Price Data'!C418)/'Raw Price Data'!C418</f>
        <v>-4.1056390474916975E-3</v>
      </c>
      <c r="D419" s="25">
        <f>('Raw Price Data'!D419-'Raw Price Data'!D418)/'Raw Price Data'!D418</f>
        <v>2.0133745595743236E-3</v>
      </c>
      <c r="E419" s="25">
        <f>('Raw Price Data'!E419-'Raw Price Data'!E418)/'Raw Price Data'!E418</f>
        <v>1.8845168098899443E-2</v>
      </c>
      <c r="F419" s="25">
        <f>('Raw Price Data'!F419-'Raw Price Data'!F418)/'Raw Price Data'!F418</f>
        <v>4.1304358397412731E-3</v>
      </c>
    </row>
    <row r="420" spans="1:6" ht="15" customHeight="1" x14ac:dyDescent="0.3">
      <c r="A420" s="19">
        <v>44050</v>
      </c>
      <c r="B420" s="26">
        <f>('Raw Price Data'!B420-'Raw Price Data'!B419)/'Raw Price Data'!B419</f>
        <v>1.6065659652492827E-2</v>
      </c>
      <c r="C420" s="26">
        <f>('Raw Price Data'!C420-'Raw Price Data'!C419)/'Raw Price Data'!C419</f>
        <v>-6.4618806565424234E-3</v>
      </c>
      <c r="D420" s="26">
        <f>('Raw Price Data'!D420-'Raw Price Data'!D419)/'Raw Price Data'!D419</f>
        <v>0</v>
      </c>
      <c r="E420" s="26">
        <f>('Raw Price Data'!E420-'Raw Price Data'!E419)/'Raw Price Data'!E419</f>
        <v>-6.3628292394198802E-3</v>
      </c>
      <c r="F420" s="26">
        <f>('Raw Price Data'!F420-'Raw Price Data'!F419)/'Raw Price Data'!F419</f>
        <v>-5.4616483426963612E-3</v>
      </c>
    </row>
    <row r="421" spans="1:6" ht="15" customHeight="1" x14ac:dyDescent="0.3">
      <c r="A421" s="21">
        <v>44053</v>
      </c>
      <c r="B421" s="25">
        <f>('Raw Price Data'!B421-'Raw Price Data'!B420)/'Raw Price Data'!B420</f>
        <v>3.4802784222737917E-3</v>
      </c>
      <c r="C421" s="25">
        <f>('Raw Price Data'!C421-'Raw Price Data'!C420)/'Raw Price Data'!C420</f>
        <v>7.160088777381138E-3</v>
      </c>
      <c r="D421" s="25">
        <f>('Raw Price Data'!D421-'Raw Price Data'!D420)/'Raw Price Data'!D420</f>
        <v>7.8220308575529494E-3</v>
      </c>
      <c r="E421" s="25">
        <f>('Raw Price Data'!E421-'Raw Price Data'!E420)/'Raw Price Data'!E420</f>
        <v>1.8376768428890591E-2</v>
      </c>
      <c r="F421" s="25">
        <f>('Raw Price Data'!F421-'Raw Price Data'!F420)/'Raw Price Data'!F420</f>
        <v>5.5427704774431248E-3</v>
      </c>
    </row>
    <row r="422" spans="1:6" ht="15" customHeight="1" x14ac:dyDescent="0.3">
      <c r="A422" s="19">
        <v>44054</v>
      </c>
      <c r="B422" s="26">
        <f>('Raw Price Data'!B422-'Raw Price Data'!B421)/'Raw Price Data'!B421</f>
        <v>-4.0676514664954701E-3</v>
      </c>
      <c r="C422" s="26">
        <f>('Raw Price Data'!C422-'Raw Price Data'!C421)/'Raw Price Data'!C421</f>
        <v>-5.8923849308244458E-3</v>
      </c>
      <c r="D422" s="26">
        <f>('Raw Price Data'!D422-'Raw Price Data'!D421)/'Raw Price Data'!D421</f>
        <v>5.1979493021930348E-3</v>
      </c>
      <c r="E422" s="26">
        <f>('Raw Price Data'!E422-'Raw Price Data'!E421)/'Raw Price Data'!E421</f>
        <v>1.1552409920449194E-2</v>
      </c>
      <c r="F422" s="26">
        <f>('Raw Price Data'!F422-'Raw Price Data'!F421)/'Raw Price Data'!F421</f>
        <v>9.4827712936471217E-4</v>
      </c>
    </row>
    <row r="423" spans="1:6" ht="15" customHeight="1" x14ac:dyDescent="0.3">
      <c r="A423" s="21">
        <v>44055</v>
      </c>
      <c r="B423" s="25">
        <f>('Raw Price Data'!B423-'Raw Price Data'!B422)/'Raw Price Data'!B422</f>
        <v>-1.6466036113499501E-2</v>
      </c>
      <c r="C423" s="25">
        <f>('Raw Price Data'!C423-'Raw Price Data'!C422)/'Raw Price Data'!C422</f>
        <v>2.0104667636882456E-2</v>
      </c>
      <c r="D423" s="25">
        <f>('Raw Price Data'!D423-'Raw Price Data'!D422)/'Raw Price Data'!D422</f>
        <v>1.5442374442161982E-2</v>
      </c>
      <c r="E423" s="25">
        <f>('Raw Price Data'!E423-'Raw Price Data'!E422)/'Raw Price Data'!E422</f>
        <v>-1.6798218984011341E-2</v>
      </c>
      <c r="F423" s="25">
        <f>('Raw Price Data'!F423-'Raw Price Data'!F422)/'Raw Price Data'!F422</f>
        <v>-3.4831676558017967E-3</v>
      </c>
    </row>
    <row r="424" spans="1:6" ht="15" customHeight="1" x14ac:dyDescent="0.3">
      <c r="A424" s="19">
        <v>44056</v>
      </c>
      <c r="B424" s="26">
        <f>('Raw Price Data'!B424-'Raw Price Data'!B423)/'Raw Price Data'!B423</f>
        <v>1.031603794203779E-2</v>
      </c>
      <c r="C424" s="26">
        <f>('Raw Price Data'!C424-'Raw Price Data'!C423)/'Raw Price Data'!C423</f>
        <v>1.7960564231928412E-2</v>
      </c>
      <c r="D424" s="26">
        <f>('Raw Price Data'!D424-'Raw Price Data'!D423)/'Raw Price Data'!D423</f>
        <v>-7.1852110219741971E-3</v>
      </c>
      <c r="E424" s="26">
        <f>('Raw Price Data'!E424-'Raw Price Data'!E423)/'Raw Price Data'!E423</f>
        <v>5.7930953361170689E-3</v>
      </c>
      <c r="F424" s="26">
        <f>('Raw Price Data'!F424-'Raw Price Data'!F423)/'Raw Price Data'!F423</f>
        <v>1.3846300292905503E-2</v>
      </c>
    </row>
    <row r="425" spans="1:6" ht="15" customHeight="1" x14ac:dyDescent="0.3">
      <c r="A425" s="21">
        <v>44057</v>
      </c>
      <c r="B425" s="25">
        <f>('Raw Price Data'!B425-'Raw Price Data'!B424)/'Raw Price Data'!B424</f>
        <v>7.658027949638776E-3</v>
      </c>
      <c r="C425" s="25">
        <f>('Raw Price Data'!C425-'Raw Price Data'!C424)/'Raw Price Data'!C424</f>
        <v>7.8890703890703885E-3</v>
      </c>
      <c r="D425" s="25">
        <f>('Raw Price Data'!D425-'Raw Price Data'!D424)/'Raw Price Data'!D424</f>
        <v>1.0680157391793215E-2</v>
      </c>
      <c r="E425" s="25">
        <f>('Raw Price Data'!E425-'Raw Price Data'!E424)/'Raw Price Data'!E424</f>
        <v>3.9762593924509947E-3</v>
      </c>
      <c r="F425" s="25">
        <f>('Raw Price Data'!F425-'Raw Price Data'!F424)/'Raw Price Data'!F424</f>
        <v>-3.1696973241761421E-3</v>
      </c>
    </row>
    <row r="426" spans="1:6" ht="15" customHeight="1" x14ac:dyDescent="0.3">
      <c r="A426" s="19">
        <v>44060</v>
      </c>
      <c r="B426" s="26">
        <f>('Raw Price Data'!B426-'Raw Price Data'!B425)/'Raw Price Data'!B425</f>
        <v>2.0437956204379524E-2</v>
      </c>
      <c r="C426" s="26">
        <f>('Raw Price Data'!C426-'Raw Price Data'!C425)/'Raw Price Data'!C425</f>
        <v>-1.7256938689062019E-2</v>
      </c>
      <c r="D426" s="26">
        <f>('Raw Price Data'!D426-'Raw Price Data'!D425)/'Raw Price Data'!D425</f>
        <v>4.7969966629588271E-3</v>
      </c>
      <c r="E426" s="26">
        <f>('Raw Price Data'!E426-'Raw Price Data'!E425)/'Raw Price Data'!E425</f>
        <v>-1.5317860159002857E-2</v>
      </c>
      <c r="F426" s="26">
        <f>('Raw Price Data'!F426-'Raw Price Data'!F425)/'Raw Price Data'!F425</f>
        <v>3.2432551136511952E-3</v>
      </c>
    </row>
    <row r="427" spans="1:6" ht="15" customHeight="1" x14ac:dyDescent="0.3">
      <c r="A427" s="21">
        <v>44061</v>
      </c>
      <c r="B427" s="25">
        <f>('Raw Price Data'!B427-'Raw Price Data'!B426)/'Raw Price Data'!B426</f>
        <v>-1.0056383068248702E-2</v>
      </c>
      <c r="C427" s="25">
        <f>('Raw Price Data'!C427-'Raw Price Data'!C426)/'Raw Price Data'!C426</f>
        <v>1.0251124437781161E-2</v>
      </c>
      <c r="D427" s="25">
        <f>('Raw Price Data'!D427-'Raw Price Data'!D426)/'Raw Price Data'!D426</f>
        <v>4.2205770428283759E-3</v>
      </c>
      <c r="E427" s="25">
        <f>('Raw Price Data'!E427-'Raw Price Data'!E426)/'Raw Price Data'!E426</f>
        <v>-1.8927631384378724E-2</v>
      </c>
      <c r="F427" s="25">
        <f>('Raw Price Data'!F427-'Raw Price Data'!F426)/'Raw Price Data'!F426</f>
        <v>1.8115074587659826E-3</v>
      </c>
    </row>
    <row r="428" spans="1:6" ht="15" customHeight="1" x14ac:dyDescent="0.3">
      <c r="A428" s="19">
        <v>44062</v>
      </c>
      <c r="B428" s="26">
        <f>('Raw Price Data'!B428-'Raw Price Data'!B427)/'Raw Price Data'!B427</f>
        <v>6.8006970714496785E-4</v>
      </c>
      <c r="C428" s="26">
        <f>('Raw Price Data'!C428-'Raw Price Data'!C427)/'Raw Price Data'!C427</f>
        <v>1.2484463984269027E-2</v>
      </c>
      <c r="D428" s="26">
        <f>('Raw Price Data'!D428-'Raw Price Data'!D427)/'Raw Price Data'!D427</f>
        <v>2.4803637866888085E-3</v>
      </c>
      <c r="E428" s="26">
        <f>('Raw Price Data'!E428-'Raw Price Data'!E427)/'Raw Price Data'!E427</f>
        <v>8.199439303047569E-3</v>
      </c>
      <c r="F428" s="26">
        <f>('Raw Price Data'!F428-'Raw Price Data'!F427)/'Raw Price Data'!F427</f>
        <v>-1.663648394927526E-2</v>
      </c>
    </row>
    <row r="429" spans="1:6" ht="15" customHeight="1" x14ac:dyDescent="0.3">
      <c r="A429" s="21">
        <v>44063</v>
      </c>
      <c r="B429" s="25">
        <f>('Raw Price Data'!B429-'Raw Price Data'!B428)/'Raw Price Data'!B428</f>
        <v>-5.0970564499003756E-4</v>
      </c>
      <c r="C429" s="25">
        <f>('Raw Price Data'!C429-'Raw Price Data'!C428)/'Raw Price Data'!C428</f>
        <v>6.8431659948699416E-3</v>
      </c>
      <c r="D429" s="25">
        <f>('Raw Price Data'!D429-'Raw Price Data'!D428)/'Raw Price Data'!D428</f>
        <v>-3.3539518900343609E-2</v>
      </c>
      <c r="E429" s="25">
        <f>('Raw Price Data'!E429-'Raw Price Data'!E428)/'Raw Price Data'!E428</f>
        <v>4.4072357602033214E-2</v>
      </c>
      <c r="F429" s="25">
        <f>('Raw Price Data'!F429-'Raw Price Data'!F428)/'Raw Price Data'!F428</f>
        <v>6.4415234893935103E-3</v>
      </c>
    </row>
    <row r="430" spans="1:6" ht="15" customHeight="1" x14ac:dyDescent="0.3">
      <c r="A430" s="19">
        <v>44064</v>
      </c>
      <c r="B430" s="26">
        <f>('Raw Price Data'!B430-'Raw Price Data'!B429)/'Raw Price Data'!B429</f>
        <v>-8.9243976031621252E-4</v>
      </c>
      <c r="C430" s="26">
        <f>('Raw Price Data'!C430-'Raw Price Data'!C429)/'Raw Price Data'!C429</f>
        <v>1.1191279900279493E-3</v>
      </c>
      <c r="D430" s="26">
        <f>('Raw Price Data'!D430-'Raw Price Data'!D429)/'Raw Price Data'!D429</f>
        <v>3.0578865026311925E-2</v>
      </c>
      <c r="E430" s="26">
        <f>('Raw Price Data'!E430-'Raw Price Data'!E429)/'Raw Price Data'!E429</f>
        <v>-2.2910163521287576E-4</v>
      </c>
      <c r="F430" s="26">
        <f>('Raw Price Data'!F430-'Raw Price Data'!F429)/'Raw Price Data'!F429</f>
        <v>9.1304425066020527E-3</v>
      </c>
    </row>
    <row r="431" spans="1:6" ht="15" customHeight="1" x14ac:dyDescent="0.3">
      <c r="A431" s="21">
        <v>44067</v>
      </c>
      <c r="B431" s="25">
        <f>('Raw Price Data'!B431-'Raw Price Data'!B430)/'Raw Price Data'!B430</f>
        <v>4.6788600595497082E-4</v>
      </c>
      <c r="C431" s="25">
        <f>('Raw Price Data'!C431-'Raw Price Data'!C430)/'Raw Price Data'!C430</f>
        <v>2.5293101881305239E-2</v>
      </c>
      <c r="D431" s="25">
        <f>('Raw Price Data'!D431-'Raw Price Data'!D430)/'Raw Price Data'!D430</f>
        <v>-1.4007728401876907E-2</v>
      </c>
      <c r="E431" s="25">
        <f>('Raw Price Data'!E431-'Raw Price Data'!E430)/'Raw Price Data'!E430</f>
        <v>4.4398613617484782E-3</v>
      </c>
      <c r="F431" s="25">
        <f>('Raw Price Data'!F431-'Raw Price Data'!F430)/'Raw Price Data'!F430</f>
        <v>9.8123434186874825E-4</v>
      </c>
    </row>
    <row r="432" spans="1:6" ht="15" customHeight="1" x14ac:dyDescent="0.3">
      <c r="A432" s="19">
        <v>44068</v>
      </c>
      <c r="B432" s="26">
        <f>('Raw Price Data'!B432-'Raw Price Data'!B431)/'Raw Price Data'!B431</f>
        <v>-2.3425874750223286E-2</v>
      </c>
      <c r="C432" s="26">
        <f>('Raw Price Data'!C432-'Raw Price Data'!C431)/'Raw Price Data'!C431</f>
        <v>-9.076968079919874E-3</v>
      </c>
      <c r="D432" s="26">
        <f>('Raw Price Data'!D432-'Raw Price Data'!D431)/'Raw Price Data'!D431</f>
        <v>-1.2177199244173705E-2</v>
      </c>
      <c r="E432" s="26">
        <f>('Raw Price Data'!E432-'Raw Price Data'!E431)/'Raw Price Data'!E431</f>
        <v>-1.9449038955113355E-2</v>
      </c>
      <c r="F432" s="26">
        <f>('Raw Price Data'!F432-'Raw Price Data'!F431)/'Raw Price Data'!F431</f>
        <v>3.2937564617986823E-3</v>
      </c>
    </row>
    <row r="433" spans="1:6" ht="15" customHeight="1" x14ac:dyDescent="0.3">
      <c r="A433" s="21">
        <v>44069</v>
      </c>
      <c r="B433" s="25">
        <f>('Raw Price Data'!B433-'Raw Price Data'!B432)/'Raw Price Data'!B432</f>
        <v>1.1754462342185534E-2</v>
      </c>
      <c r="C433" s="25">
        <f>('Raw Price Data'!C433-'Raw Price Data'!C432)/'Raw Price Data'!C432</f>
        <v>-5.8681981232502059E-3</v>
      </c>
      <c r="D433" s="25">
        <f>('Raw Price Data'!D433-'Raw Price Data'!D432)/'Raw Price Data'!D432</f>
        <v>-4.6758767268862671E-3</v>
      </c>
      <c r="E433" s="25">
        <f>('Raw Price Data'!E433-'Raw Price Data'!E432)/'Raw Price Data'!E432</f>
        <v>-4.4206607724522505E-3</v>
      </c>
      <c r="F433" s="25">
        <f>('Raw Price Data'!F433-'Raw Price Data'!F432)/'Raw Price Data'!F432</f>
        <v>-3.2335884748099205E-3</v>
      </c>
    </row>
    <row r="434" spans="1:6" ht="15" customHeight="1" x14ac:dyDescent="0.3">
      <c r="A434" s="19">
        <v>44070</v>
      </c>
      <c r="B434" s="26">
        <f>('Raw Price Data'!B434-'Raw Price Data'!B433)/'Raw Price Data'!B433</f>
        <v>9.3373493975903079E-3</v>
      </c>
      <c r="C434" s="26">
        <f>('Raw Price Data'!C434-'Raw Price Data'!C433)/'Raw Price Data'!C433</f>
        <v>1.2354566150468375E-2</v>
      </c>
      <c r="D434" s="26">
        <f>('Raw Price Data'!D434-'Raw Price Data'!D433)/'Raw Price Data'!D433</f>
        <v>-2.0214961918997815E-2</v>
      </c>
      <c r="E434" s="26">
        <f>('Raw Price Data'!E434-'Raw Price Data'!E433)/'Raw Price Data'!E433</f>
        <v>-3.3594297733114549E-3</v>
      </c>
      <c r="F434" s="26">
        <f>('Raw Price Data'!F434-'Raw Price Data'!F433)/'Raw Price Data'!F433</f>
        <v>-6.6952657796672662E-3</v>
      </c>
    </row>
    <row r="435" spans="1:6" ht="15" customHeight="1" x14ac:dyDescent="0.3">
      <c r="A435" s="21">
        <v>44071</v>
      </c>
      <c r="B435" s="25">
        <f>('Raw Price Data'!B435-'Raw Price Data'!B434)/'Raw Price Data'!B434</f>
        <v>1.5986699066376776E-2</v>
      </c>
      <c r="C435" s="25">
        <f>('Raw Price Data'!C435-'Raw Price Data'!C434)/'Raw Price Data'!C434</f>
        <v>9.9639130357492365E-3</v>
      </c>
      <c r="D435" s="25">
        <f>('Raw Price Data'!D435-'Raw Price Data'!D434)/'Raw Price Data'!D434</f>
        <v>2.7896839811115171E-2</v>
      </c>
      <c r="E435" s="25">
        <f>('Raw Price Data'!E435-'Raw Price Data'!E434)/'Raw Price Data'!E434</f>
        <v>-6.653574464343402E-3</v>
      </c>
      <c r="F435" s="25">
        <f>('Raw Price Data'!F435-'Raw Price Data'!F434)/'Raw Price Data'!F434</f>
        <v>-6.7299091104735765E-3</v>
      </c>
    </row>
    <row r="436" spans="1:6" ht="15" customHeight="1" x14ac:dyDescent="0.3">
      <c r="A436" s="19">
        <v>44074</v>
      </c>
      <c r="B436" s="26">
        <f>('Raw Price Data'!B436-'Raw Price Data'!B435)/'Raw Price Data'!B435</f>
        <v>3.1512252433702669E-2</v>
      </c>
      <c r="C436" s="26">
        <f>('Raw Price Data'!C436-'Raw Price Data'!C435)/'Raw Price Data'!C435</f>
        <v>1.5630087919244539E-2</v>
      </c>
      <c r="D436" s="26">
        <f>('Raw Price Data'!D436-'Raw Price Data'!D435)/'Raw Price Data'!D435</f>
        <v>-9.3999575941763544E-3</v>
      </c>
      <c r="E436" s="26">
        <f>('Raw Price Data'!E436-'Raw Price Data'!E435)/'Raw Price Data'!E435</f>
        <v>-1.1891413396282009E-2</v>
      </c>
      <c r="F436" s="26">
        <f>('Raw Price Data'!F436-'Raw Price Data'!F435)/'Raw Price Data'!F435</f>
        <v>-2.0025404692599693E-2</v>
      </c>
    </row>
    <row r="437" spans="1:6" ht="15" customHeight="1" x14ac:dyDescent="0.3">
      <c r="A437" s="21">
        <v>44075</v>
      </c>
      <c r="B437" s="25">
        <f>('Raw Price Data'!B437-'Raw Price Data'!B436)/'Raw Price Data'!B436</f>
        <v>-4.108530285156487E-3</v>
      </c>
      <c r="C437" s="25">
        <f>('Raw Price Data'!C437-'Raw Price Data'!C436)/'Raw Price Data'!C436</f>
        <v>-4.4106305728619866E-3</v>
      </c>
      <c r="D437" s="25">
        <f>('Raw Price Data'!D437-'Raw Price Data'!D436)/'Raw Price Data'!D436</f>
        <v>-1.0345319634703115E-2</v>
      </c>
      <c r="E437" s="25">
        <f>('Raw Price Data'!E437-'Raw Price Data'!E436)/'Raw Price Data'!E436</f>
        <v>-4.4793501955976131E-4</v>
      </c>
      <c r="F437" s="25">
        <f>('Raw Price Data'!F437-'Raw Price Data'!F436)/'Raw Price Data'!F436</f>
        <v>6.4751293719087118E-3</v>
      </c>
    </row>
    <row r="438" spans="1:6" ht="15" customHeight="1" x14ac:dyDescent="0.3">
      <c r="A438" s="19">
        <v>44076</v>
      </c>
      <c r="B438" s="26">
        <f>('Raw Price Data'!B438-'Raw Price Data'!B437)/'Raw Price Data'!B437</f>
        <v>-2.0423168041819683E-4</v>
      </c>
      <c r="C438" s="26">
        <f>('Raw Price Data'!C438-'Raw Price Data'!C437)/'Raw Price Data'!C437</f>
        <v>-2.2594739499016515E-2</v>
      </c>
      <c r="D438" s="26">
        <f>('Raw Price Data'!D438-'Raw Price Data'!D437)/'Raw Price Data'!D437</f>
        <v>-1.2688342585249941E-2</v>
      </c>
      <c r="E438" s="26">
        <f>('Raw Price Data'!E438-'Raw Price Data'!E437)/'Raw Price Data'!E437</f>
        <v>-1.0157743785850961E-2</v>
      </c>
      <c r="F438" s="26">
        <f>('Raw Price Data'!F438-'Raw Price Data'!F437)/'Raw Price Data'!F437</f>
        <v>-1.4676253388288703E-2</v>
      </c>
    </row>
    <row r="439" spans="1:6" ht="15" customHeight="1" x14ac:dyDescent="0.3">
      <c r="A439" s="21">
        <v>44077</v>
      </c>
      <c r="B439" s="25">
        <f>('Raw Price Data'!B439-'Raw Price Data'!B438)/'Raw Price Data'!B438</f>
        <v>4.9025615884289793E-4</v>
      </c>
      <c r="C439" s="25">
        <f>('Raw Price Data'!C439-'Raw Price Data'!C438)/'Raw Price Data'!C438</f>
        <v>-2.1238134249942038E-2</v>
      </c>
      <c r="D439" s="25">
        <f>('Raw Price Data'!D439-'Raw Price Data'!D438)/'Raw Price Data'!D438</f>
        <v>7.3019350127783867E-3</v>
      </c>
      <c r="E439" s="25">
        <f>('Raw Price Data'!E439-'Raw Price Data'!E438)/'Raw Price Data'!E438</f>
        <v>2.3934564771218178E-2</v>
      </c>
      <c r="F439" s="25">
        <f>('Raw Price Data'!F439-'Raw Price Data'!F438)/'Raw Price Data'!F438</f>
        <v>-4.7074619397357367E-3</v>
      </c>
    </row>
    <row r="440" spans="1:6" ht="15" customHeight="1" x14ac:dyDescent="0.3">
      <c r="A440" s="19">
        <v>44078</v>
      </c>
      <c r="B440" s="26">
        <f>('Raw Price Data'!B440-'Raw Price Data'!B439)/'Raw Price Data'!B439</f>
        <v>2.7195883866225755E-2</v>
      </c>
      <c r="C440" s="26">
        <f>('Raw Price Data'!C440-'Raw Price Data'!C439)/'Raw Price Data'!C439</f>
        <v>-7.0328350604569228E-3</v>
      </c>
      <c r="D440" s="26">
        <f>('Raw Price Data'!D440-'Raw Price Data'!D439)/'Raw Price Data'!D439</f>
        <v>2.2399420079739062E-2</v>
      </c>
      <c r="E440" s="26">
        <f>('Raw Price Data'!E440-'Raw Price Data'!E439)/'Raw Price Data'!E439</f>
        <v>3.9204126750184261E-2</v>
      </c>
      <c r="F440" s="26">
        <f>('Raw Price Data'!F440-'Raw Price Data'!F439)/'Raw Price Data'!F439</f>
        <v>-2.3283295722974929E-2</v>
      </c>
    </row>
    <row r="441" spans="1:6" ht="15" customHeight="1" x14ac:dyDescent="0.3">
      <c r="A441" s="21">
        <v>44081</v>
      </c>
      <c r="B441" s="25">
        <f>('Raw Price Data'!B441-'Raw Price Data'!B440)/'Raw Price Data'!B440</f>
        <v>-2.3653349234744651E-2</v>
      </c>
      <c r="C441" s="25">
        <f>('Raw Price Data'!C441-'Raw Price Data'!C440)/'Raw Price Data'!C440</f>
        <v>1.4568444200109824E-2</v>
      </c>
      <c r="D441" s="25">
        <f>('Raw Price Data'!D441-'Raw Price Data'!D440)/'Raw Price Data'!D440</f>
        <v>4.6795235394214169E-3</v>
      </c>
      <c r="E441" s="25">
        <f>('Raw Price Data'!E441-'Raw Price Data'!E440)/'Raw Price Data'!E440</f>
        <v>-1.3898737767692623E-2</v>
      </c>
      <c r="F441" s="25">
        <f>('Raw Price Data'!F441-'Raw Price Data'!F440)/'Raw Price Data'!F440</f>
        <v>-7.1688277622087328E-3</v>
      </c>
    </row>
    <row r="442" spans="1:6" ht="15" customHeight="1" x14ac:dyDescent="0.3">
      <c r="A442" s="19">
        <v>44082</v>
      </c>
      <c r="B442" s="26">
        <f>('Raw Price Data'!B442-'Raw Price Data'!B441)/'Raw Price Data'!B441</f>
        <v>7.0439739413681521E-3</v>
      </c>
      <c r="C442" s="26">
        <f>('Raw Price Data'!C442-'Raw Price Data'!C441)/'Raw Price Data'!C441</f>
        <v>1.4575995665131491E-2</v>
      </c>
      <c r="D442" s="26">
        <f>('Raw Price Data'!D442-'Raw Price Data'!D441)/'Raw Price Data'!D441</f>
        <v>-1.1785462244177753E-2</v>
      </c>
      <c r="E442" s="26">
        <f>('Raw Price Data'!E442-'Raw Price Data'!E441)/'Raw Price Data'!E441</f>
        <v>-6.4144973392778991E-3</v>
      </c>
      <c r="F442" s="26">
        <f>('Raw Price Data'!F442-'Raw Price Data'!F441)/'Raw Price Data'!F441</f>
        <v>6.5340665362250781E-3</v>
      </c>
    </row>
    <row r="443" spans="1:6" ht="15" customHeight="1" x14ac:dyDescent="0.3">
      <c r="A443" s="21">
        <v>44083</v>
      </c>
      <c r="B443" s="25">
        <f>('Raw Price Data'!B443-'Raw Price Data'!B442)/'Raw Price Data'!B442</f>
        <v>-2.0054178627744342E-2</v>
      </c>
      <c r="C443" s="25">
        <f>('Raw Price Data'!C443-'Raw Price Data'!C442)/'Raw Price Data'!C442</f>
        <v>-3.143915117852325E-2</v>
      </c>
      <c r="D443" s="25">
        <f>('Raw Price Data'!D443-'Raw Price Data'!D442)/'Raw Price Data'!D442</f>
        <v>2.1209740769835027E-2</v>
      </c>
      <c r="E443" s="25">
        <f>('Raw Price Data'!E443-'Raw Price Data'!E442)/'Raw Price Data'!E442</f>
        <v>8.6850790342192109E-3</v>
      </c>
      <c r="F443" s="25">
        <f>('Raw Price Data'!F443-'Raw Price Data'!F442)/'Raw Price Data'!F442</f>
        <v>1.3949302259934676E-3</v>
      </c>
    </row>
    <row r="444" spans="1:6" ht="15" customHeight="1" x14ac:dyDescent="0.3">
      <c r="A444" s="19">
        <v>44084</v>
      </c>
      <c r="B444" s="26">
        <f>('Raw Price Data'!B444-'Raw Price Data'!B443)/'Raw Price Data'!B443</f>
        <v>-3.5482939307670068E-2</v>
      </c>
      <c r="C444" s="26">
        <f>('Raw Price Data'!C444-'Raw Price Data'!C443)/'Raw Price Data'!C443</f>
        <v>1.0017277506157494E-2</v>
      </c>
      <c r="D444" s="26">
        <f>('Raw Price Data'!D444-'Raw Price Data'!D443)/'Raw Price Data'!D443</f>
        <v>4.8251748251748093E-3</v>
      </c>
      <c r="E444" s="26">
        <f>('Raw Price Data'!E444-'Raw Price Data'!E443)/'Raw Price Data'!E443</f>
        <v>1.1480397221743871E-2</v>
      </c>
      <c r="F444" s="26">
        <f>('Raw Price Data'!F444-'Raw Price Data'!F443)/'Raw Price Data'!F443</f>
        <v>7.1168644793774538E-4</v>
      </c>
    </row>
    <row r="445" spans="1:6" ht="15" customHeight="1" x14ac:dyDescent="0.3">
      <c r="A445" s="21">
        <v>44085</v>
      </c>
      <c r="B445" s="25">
        <f>('Raw Price Data'!B445-'Raw Price Data'!B444)/'Raw Price Data'!B444</f>
        <v>-2.7676776318603751E-2</v>
      </c>
      <c r="C445" s="25">
        <f>('Raw Price Data'!C445-'Raw Price Data'!C444)/'Raw Price Data'!C444</f>
        <v>-9.4629761059850017E-4</v>
      </c>
      <c r="D445" s="25">
        <f>('Raw Price Data'!D445-'Raw Price Data'!D444)/'Raw Price Data'!D444</f>
        <v>-1.0926299672906906E-2</v>
      </c>
      <c r="E445" s="25">
        <f>('Raw Price Data'!E445-'Raw Price Data'!E444)/'Raw Price Data'!E444</f>
        <v>-1.3932239940979583E-2</v>
      </c>
      <c r="F445" s="25">
        <f>('Raw Price Data'!F445-'Raw Price Data'!F444)/'Raw Price Data'!F444</f>
        <v>3.0737330088634299E-3</v>
      </c>
    </row>
    <row r="446" spans="1:6" ht="15" customHeight="1" x14ac:dyDescent="0.3">
      <c r="A446" s="19">
        <v>44088</v>
      </c>
      <c r="B446" s="26">
        <f>('Raw Price Data'!B446-'Raw Price Data'!B445)/'Raw Price Data'!B445</f>
        <v>-1.8829740431148267E-2</v>
      </c>
      <c r="C446" s="26">
        <f>('Raw Price Data'!C446-'Raw Price Data'!C445)/'Raw Price Data'!C445</f>
        <v>-1.7787209238783925E-2</v>
      </c>
      <c r="D446" s="26">
        <f>('Raw Price Data'!D446-'Raw Price Data'!D445)/'Raw Price Data'!D445</f>
        <v>-7.739938080496316E-4</v>
      </c>
      <c r="E446" s="26">
        <f>('Raw Price Data'!E446-'Raw Price Data'!E445)/'Raw Price Data'!E445</f>
        <v>-1.0330637967252669E-2</v>
      </c>
      <c r="F446" s="26">
        <f>('Raw Price Data'!F446-'Raw Price Data'!F445)/'Raw Price Data'!F445</f>
        <v>-1.8808586498490421E-2</v>
      </c>
    </row>
    <row r="447" spans="1:6" ht="15" customHeight="1" x14ac:dyDescent="0.3">
      <c r="A447" s="21">
        <v>44089</v>
      </c>
      <c r="B447" s="25">
        <f>('Raw Price Data'!B447-'Raw Price Data'!B446)/'Raw Price Data'!B446</f>
        <v>1.5110752398887884E-2</v>
      </c>
      <c r="C447" s="25">
        <f>('Raw Price Data'!C447-'Raw Price Data'!C446)/'Raw Price Data'!C446</f>
        <v>3.9241504010385217E-2</v>
      </c>
      <c r="D447" s="25">
        <f>('Raw Price Data'!D447-'Raw Price Data'!D446)/'Raw Price Data'!D446</f>
        <v>2.4646151679460796E-3</v>
      </c>
      <c r="E447" s="25">
        <f>('Raw Price Data'!E447-'Raw Price Data'!E446)/'Raw Price Data'!E446</f>
        <v>1.1572458711328103E-2</v>
      </c>
      <c r="F447" s="25">
        <f>('Raw Price Data'!F447-'Raw Price Data'!F446)/'Raw Price Data'!F446</f>
        <v>1.0263296305451143E-2</v>
      </c>
    </row>
    <row r="448" spans="1:6" ht="15" customHeight="1" x14ac:dyDescent="0.3">
      <c r="A448" s="19">
        <v>44090</v>
      </c>
      <c r="B448" s="26">
        <f>('Raw Price Data'!B448-'Raw Price Data'!B447)/'Raw Price Data'!B447</f>
        <v>-1.1705464022262368E-2</v>
      </c>
      <c r="C448" s="26">
        <f>('Raw Price Data'!C448-'Raw Price Data'!C447)/'Raw Price Data'!C447</f>
        <v>5.246393104740588E-3</v>
      </c>
      <c r="D448" s="26">
        <f>('Raw Price Data'!D448-'Raw Price Data'!D447)/'Raw Price Data'!D447</f>
        <v>4.1444225906151653E-3</v>
      </c>
      <c r="E448" s="26">
        <f>('Raw Price Data'!E448-'Raw Price Data'!E447)/'Raw Price Data'!E447</f>
        <v>-3.0497269330267196E-2</v>
      </c>
      <c r="F448" s="26">
        <f>('Raw Price Data'!F448-'Raw Price Data'!F447)/'Raw Price Data'!F447</f>
        <v>-4.3943425254508416E-3</v>
      </c>
    </row>
    <row r="449" spans="1:6" ht="15" customHeight="1" x14ac:dyDescent="0.3">
      <c r="A449" s="21">
        <v>44091</v>
      </c>
      <c r="B449" s="25">
        <f>('Raw Price Data'!B449-'Raw Price Data'!B448)/'Raw Price Data'!B448</f>
        <v>-2.8157683024939459E-3</v>
      </c>
      <c r="C449" s="25">
        <f>('Raw Price Data'!C449-'Raw Price Data'!C448)/'Raw Price Data'!C448</f>
        <v>1.5186615186615097E-2</v>
      </c>
      <c r="D449" s="25">
        <f>('Raw Price Data'!D449-'Raw Price Data'!D448)/'Raw Price Data'!D448</f>
        <v>4.1972717733474834E-4</v>
      </c>
      <c r="E449" s="25">
        <f>('Raw Price Data'!E449-'Raw Price Data'!E448)/'Raw Price Data'!E448</f>
        <v>4.2337454416081034E-2</v>
      </c>
      <c r="F449" s="25">
        <f>('Raw Price Data'!F449-'Raw Price Data'!F448)/'Raw Price Data'!F448</f>
        <v>7.1434299476375528E-4</v>
      </c>
    </row>
    <row r="450" spans="1:6" ht="15" customHeight="1" x14ac:dyDescent="0.3">
      <c r="A450" s="19">
        <v>44092</v>
      </c>
      <c r="B450" s="26">
        <f>('Raw Price Data'!B450-'Raw Price Data'!B449)/'Raw Price Data'!B449</f>
        <v>-1.5821791941194929E-2</v>
      </c>
      <c r="C450" s="26">
        <f>('Raw Price Data'!C450-'Raw Price Data'!C449)/'Raw Price Data'!C449</f>
        <v>4.5883751836049536E-2</v>
      </c>
      <c r="D450" s="26">
        <f>('Raw Price Data'!D450-'Raw Price Data'!D449)/'Raw Price Data'!D449</f>
        <v>7.6917698063082057E-4</v>
      </c>
      <c r="E450" s="26">
        <f>('Raw Price Data'!E450-'Raw Price Data'!E449)/'Raw Price Data'!E449</f>
        <v>6.1723127684387633E-3</v>
      </c>
      <c r="F450" s="26">
        <f>('Raw Price Data'!F450-'Raw Price Data'!F449)/'Raw Price Data'!F449</f>
        <v>5.3085103082961211E-3</v>
      </c>
    </row>
    <row r="451" spans="1:6" ht="15" customHeight="1" x14ac:dyDescent="0.3">
      <c r="A451" s="21">
        <v>44095</v>
      </c>
      <c r="B451" s="25">
        <f>('Raw Price Data'!B451-'Raw Price Data'!B450)/'Raw Price Data'!B450</f>
        <v>8.7895072410965405E-3</v>
      </c>
      <c r="C451" s="25">
        <f>('Raw Price Data'!C451-'Raw Price Data'!C450)/'Raw Price Data'!C450</f>
        <v>-9.6552531264628792E-3</v>
      </c>
      <c r="D451" s="25">
        <f>('Raw Price Data'!D451-'Raw Price Data'!D450)/'Raw Price Data'!D450</f>
        <v>2.9765231973169305E-2</v>
      </c>
      <c r="E451" s="25">
        <f>('Raw Price Data'!E451-'Raw Price Data'!E450)/'Raw Price Data'!E450</f>
        <v>-5.2580991688811378E-3</v>
      </c>
      <c r="F451" s="25">
        <f>('Raw Price Data'!F451-'Raw Price Data'!F450)/'Raw Price Data'!F450</f>
        <v>-2.9745534184258713E-2</v>
      </c>
    </row>
    <row r="452" spans="1:6" ht="15" customHeight="1" x14ac:dyDescent="0.3">
      <c r="A452" s="19">
        <v>44096</v>
      </c>
      <c r="B452" s="26">
        <f>('Raw Price Data'!B452-'Raw Price Data'!B451)/'Raw Price Data'!B451</f>
        <v>-1.4942891968759886E-2</v>
      </c>
      <c r="C452" s="26">
        <f>('Raw Price Data'!C452-'Raw Price Data'!C451)/'Raw Price Data'!C451</f>
        <v>-6.3982982890040049E-3</v>
      </c>
      <c r="D452" s="26">
        <f>('Raw Price Data'!D452-'Raw Price Data'!D451)/'Raw Price Data'!D451</f>
        <v>4.4985751119554863E-2</v>
      </c>
      <c r="E452" s="26">
        <f>('Raw Price Data'!E452-'Raw Price Data'!E451)/'Raw Price Data'!E451</f>
        <v>-2.3587586677275892E-3</v>
      </c>
      <c r="F452" s="26">
        <f>('Raw Price Data'!F452-'Raw Price Data'!F451)/'Raw Price Data'!F451</f>
        <v>1.6494056937548147E-2</v>
      </c>
    </row>
    <row r="453" spans="1:6" ht="15" customHeight="1" x14ac:dyDescent="0.3">
      <c r="A453" s="21">
        <v>44097</v>
      </c>
      <c r="B453" s="25">
        <f>('Raw Price Data'!B453-'Raw Price Data'!B452)/'Raw Price Data'!B452</f>
        <v>1.8560953253895562E-2</v>
      </c>
      <c r="C453" s="25">
        <f>('Raw Price Data'!C453-'Raw Price Data'!C452)/'Raw Price Data'!C452</f>
        <v>2.6853904902685501E-2</v>
      </c>
      <c r="D453" s="25">
        <f>('Raw Price Data'!D453-'Raw Price Data'!D452)/'Raw Price Data'!D452</f>
        <v>3.1166807350173249E-3</v>
      </c>
      <c r="E453" s="25">
        <f>('Raw Price Data'!E453-'Raw Price Data'!E452)/'Raw Price Data'!E452</f>
        <v>-1.9826235578977457E-2</v>
      </c>
      <c r="F453" s="25">
        <f>('Raw Price Data'!F453-'Raw Price Data'!F452)/'Raw Price Data'!F452</f>
        <v>-3.4979203920025084E-3</v>
      </c>
    </row>
    <row r="454" spans="1:6" ht="15" customHeight="1" x14ac:dyDescent="0.3">
      <c r="A454" s="19">
        <v>44098</v>
      </c>
      <c r="B454" s="26">
        <f>('Raw Price Data'!B454-'Raw Price Data'!B453)/'Raw Price Data'!B453</f>
        <v>-1.345331833520814E-2</v>
      </c>
      <c r="C454" s="26">
        <f>('Raw Price Data'!C454-'Raw Price Data'!C453)/'Raw Price Data'!C453</f>
        <v>-2.2470050963002253E-2</v>
      </c>
      <c r="D454" s="26">
        <f>('Raw Price Data'!D454-'Raw Price Data'!D453)/'Raw Price Data'!D453</f>
        <v>-1.4046216583597747E-2</v>
      </c>
      <c r="E454" s="26">
        <f>('Raw Price Data'!E454-'Raw Price Data'!E453)/'Raw Price Data'!E453</f>
        <v>3.4554912958819045E-2</v>
      </c>
      <c r="F454" s="26">
        <f>('Raw Price Data'!F454-'Raw Price Data'!F453)/'Raw Price Data'!F453</f>
        <v>6.6823285981873542E-3</v>
      </c>
    </row>
    <row r="455" spans="1:6" ht="15" customHeight="1" x14ac:dyDescent="0.3">
      <c r="A455" s="21">
        <v>44099</v>
      </c>
      <c r="B455" s="25">
        <f>('Raw Price Data'!B455-'Raw Price Data'!B454)/'Raw Price Data'!B454</f>
        <v>-1.0261789656116026E-2</v>
      </c>
      <c r="C455" s="25">
        <f>('Raw Price Data'!C455-'Raw Price Data'!C454)/'Raw Price Data'!C454</f>
        <v>1.9042621618876739E-3</v>
      </c>
      <c r="D455" s="25">
        <f>('Raw Price Data'!D455-'Raw Price Data'!D454)/'Raw Price Data'!D454</f>
        <v>-1.615021008403348E-2</v>
      </c>
      <c r="E455" s="25">
        <f>('Raw Price Data'!E455-'Raw Price Data'!E454)/'Raw Price Data'!E454</f>
        <v>-1.1236586325075401E-3</v>
      </c>
      <c r="F455" s="25">
        <f>('Raw Price Data'!F455-'Raw Price Data'!F454)/'Raw Price Data'!F454</f>
        <v>-3.5453751585376226E-3</v>
      </c>
    </row>
    <row r="456" spans="1:6" ht="15" customHeight="1" x14ac:dyDescent="0.3">
      <c r="A456" s="19">
        <v>44102</v>
      </c>
      <c r="B456" s="26">
        <f>('Raw Price Data'!B456-'Raw Price Data'!B455)/'Raw Price Data'!B455</f>
        <v>2.0275563338094916E-3</v>
      </c>
      <c r="C456" s="26">
        <f>('Raw Price Data'!C456-'Raw Price Data'!C455)/'Raw Price Data'!C455</f>
        <v>1.4106993520920357E-3</v>
      </c>
      <c r="D456" s="26">
        <f>('Raw Price Data'!D456-'Raw Price Data'!D455)/'Raw Price Data'!D455</f>
        <v>1.3212331509408712E-2</v>
      </c>
      <c r="E456" s="26">
        <f>('Raw Price Data'!E456-'Raw Price Data'!E455)/'Raw Price Data'!E455</f>
        <v>-7.7338432982732444E-3</v>
      </c>
      <c r="F456" s="26">
        <f>('Raw Price Data'!F456-'Raw Price Data'!F455)/'Raw Price Data'!F455</f>
        <v>-6.6319673569640121E-3</v>
      </c>
    </row>
    <row r="457" spans="1:6" ht="15" customHeight="1" x14ac:dyDescent="0.3">
      <c r="A457" s="21">
        <v>44103</v>
      </c>
      <c r="B457" s="25">
        <f>('Raw Price Data'!B457-'Raw Price Data'!B456)/'Raw Price Data'!B456</f>
        <v>6.4382616693499557E-4</v>
      </c>
      <c r="C457" s="25">
        <f>('Raw Price Data'!C457-'Raw Price Data'!C456)/'Raw Price Data'!C456</f>
        <v>1.7705908155346364E-2</v>
      </c>
      <c r="D457" s="25">
        <f>('Raw Price Data'!D457-'Raw Price Data'!D456)/'Raw Price Data'!D456</f>
        <v>-2.515806111696518E-2</v>
      </c>
      <c r="E457" s="25">
        <f>('Raw Price Data'!E457-'Raw Price Data'!E456)/'Raw Price Data'!E456</f>
        <v>3.3670606240965892E-2</v>
      </c>
      <c r="F457" s="25">
        <f>('Raw Price Data'!F457-'Raw Price Data'!F456)/'Raw Price Data'!F456</f>
        <v>1.5313838605861937E-2</v>
      </c>
    </row>
    <row r="458" spans="1:6" ht="15" customHeight="1" x14ac:dyDescent="0.3">
      <c r="A458" s="19">
        <v>44104</v>
      </c>
      <c r="B458" s="26">
        <f>('Raw Price Data'!B458-'Raw Price Data'!B457)/'Raw Price Data'!B457</f>
        <v>2.0083643549795506E-2</v>
      </c>
      <c r="C458" s="26">
        <f>('Raw Price Data'!C458-'Raw Price Data'!C457)/'Raw Price Data'!C457</f>
        <v>7.7415932430975635E-3</v>
      </c>
      <c r="D458" s="26">
        <f>('Raw Price Data'!D458-'Raw Price Data'!D457)/'Raw Price Data'!D457</f>
        <v>-2.499662207809786E-3</v>
      </c>
      <c r="E458" s="26">
        <f>('Raw Price Data'!E458-'Raw Price Data'!E457)/'Raw Price Data'!E457</f>
        <v>1.9988484000987142E-2</v>
      </c>
      <c r="F458" s="26">
        <f>('Raw Price Data'!F458-'Raw Price Data'!F457)/'Raw Price Data'!F457</f>
        <v>-1.3289262377962298E-2</v>
      </c>
    </row>
    <row r="459" spans="1:6" ht="15" customHeight="1" x14ac:dyDescent="0.3">
      <c r="A459" s="21">
        <v>44105</v>
      </c>
      <c r="B459" s="25">
        <f>('Raw Price Data'!B459-'Raw Price Data'!B458)/'Raw Price Data'!B458</f>
        <v>1.9823391602090362E-3</v>
      </c>
      <c r="C459" s="25">
        <f>('Raw Price Data'!C459-'Raw Price Data'!C458)/'Raw Price Data'!C458</f>
        <v>-1.5504067247349429E-2</v>
      </c>
      <c r="D459" s="25">
        <f>('Raw Price Data'!D459-'Raw Price Data'!D458)/'Raw Price Data'!D458</f>
        <v>6.6373179817134425E-3</v>
      </c>
      <c r="E459" s="25">
        <f>('Raw Price Data'!E459-'Raw Price Data'!E458)/'Raw Price Data'!E458</f>
        <v>-3.1989247311827898E-3</v>
      </c>
      <c r="F459" s="25">
        <f>('Raw Price Data'!F459-'Raw Price Data'!F458)/'Raw Price Data'!F458</f>
        <v>3.6860579398137589E-3</v>
      </c>
    </row>
    <row r="460" spans="1:6" ht="15" customHeight="1" x14ac:dyDescent="0.3">
      <c r="A460" s="19">
        <v>44106</v>
      </c>
      <c r="B460" s="26">
        <f>('Raw Price Data'!B460-'Raw Price Data'!B459)/'Raw Price Data'!B459</f>
        <v>-1.6456834532374086E-2</v>
      </c>
      <c r="C460" s="26">
        <f>('Raw Price Data'!C460-'Raw Price Data'!C459)/'Raw Price Data'!C459</f>
        <v>1.7736599385108957E-2</v>
      </c>
      <c r="D460" s="26">
        <f>('Raw Price Data'!D460-'Raw Price Data'!D459)/'Raw Price Data'!D459</f>
        <v>3.2294960640517944E-3</v>
      </c>
      <c r="E460" s="26">
        <f>('Raw Price Data'!E460-'Raw Price Data'!E459)/'Raw Price Data'!E459</f>
        <v>8.7106604460505874E-3</v>
      </c>
      <c r="F460" s="26">
        <f>('Raw Price Data'!F460-'Raw Price Data'!F459)/'Raw Price Data'!F459</f>
        <v>-5.6576218329404361E-3</v>
      </c>
    </row>
    <row r="461" spans="1:6" ht="15" customHeight="1" x14ac:dyDescent="0.3">
      <c r="A461" s="21">
        <v>44109</v>
      </c>
      <c r="B461" s="25">
        <f>('Raw Price Data'!B461-'Raw Price Data'!B460)/'Raw Price Data'!B460</f>
        <v>-7.4517692237359209E-3</v>
      </c>
      <c r="C461" s="25">
        <f>('Raw Price Data'!C461-'Raw Price Data'!C460)/'Raw Price Data'!C460</f>
        <v>1.5506612269021969E-2</v>
      </c>
      <c r="D461" s="25">
        <f>('Raw Price Data'!D461-'Raw Price Data'!D460)/'Raw Price Data'!D460</f>
        <v>-5.9687479042318733E-3</v>
      </c>
      <c r="E461" s="25">
        <f>('Raw Price Data'!E461-'Raw Price Data'!E460)/'Raw Price Data'!E460</f>
        <v>-5.8015185541653719E-3</v>
      </c>
      <c r="F461" s="25">
        <f>('Raw Price Data'!F461-'Raw Price Data'!F460)/'Raw Price Data'!F460</f>
        <v>6.2099672732135684E-3</v>
      </c>
    </row>
    <row r="462" spans="1:6" ht="15" customHeight="1" x14ac:dyDescent="0.3">
      <c r="A462" s="19">
        <v>44110</v>
      </c>
      <c r="B462" s="26">
        <f>('Raw Price Data'!B462-'Raw Price Data'!B461)/'Raw Price Data'!B461</f>
        <v>-7.5998341854359797E-3</v>
      </c>
      <c r="C462" s="26">
        <f>('Raw Price Data'!C462-'Raw Price Data'!C461)/'Raw Price Data'!C461</f>
        <v>-1.7945484528082114E-2</v>
      </c>
      <c r="D462" s="26">
        <f>('Raw Price Data'!D462-'Raw Price Data'!D461)/'Raw Price Data'!D461</f>
        <v>2.9348266090945853E-2</v>
      </c>
      <c r="E462" s="26">
        <f>('Raw Price Data'!E462-'Raw Price Data'!E461)/'Raw Price Data'!E461</f>
        <v>-6.3731949337134065E-3</v>
      </c>
      <c r="F462" s="26">
        <f>('Raw Price Data'!F462-'Raw Price Data'!F461)/'Raw Price Data'!F461</f>
        <v>1.0550662324557192E-2</v>
      </c>
    </row>
    <row r="463" spans="1:6" ht="15" customHeight="1" x14ac:dyDescent="0.3">
      <c r="A463" s="21">
        <v>44111</v>
      </c>
      <c r="B463" s="25">
        <f>('Raw Price Data'!B463-'Raw Price Data'!B462)/'Raw Price Data'!B462</f>
        <v>1.0349948946440127E-2</v>
      </c>
      <c r="C463" s="25">
        <f>('Raw Price Data'!C463-'Raw Price Data'!C462)/'Raw Price Data'!C462</f>
        <v>-1.1532003160806183E-2</v>
      </c>
      <c r="D463" s="25">
        <f>('Raw Price Data'!D463-'Raw Price Data'!D462)/'Raw Price Data'!D462</f>
        <v>1.2977649603460826E-2</v>
      </c>
      <c r="E463" s="25">
        <f>('Raw Price Data'!E463-'Raw Price Data'!E462)/'Raw Price Data'!E462</f>
        <v>-3.6806495263870462E-3</v>
      </c>
      <c r="F463" s="25">
        <f>('Raw Price Data'!F463-'Raw Price Data'!F462)/'Raw Price Data'!F462</f>
        <v>8.2273697523746973E-3</v>
      </c>
    </row>
    <row r="464" spans="1:6" ht="15" customHeight="1" x14ac:dyDescent="0.3">
      <c r="A464" s="19">
        <v>44112</v>
      </c>
      <c r="B464" s="26">
        <f>('Raw Price Data'!B464-'Raw Price Data'!B463)/'Raw Price Data'!B463</f>
        <v>5.6502365749459774E-3</v>
      </c>
      <c r="C464" s="26">
        <f>('Raw Price Data'!C464-'Raw Price Data'!C463)/'Raw Price Data'!C463</f>
        <v>-8.6853697735806857E-3</v>
      </c>
      <c r="D464" s="26">
        <f>('Raw Price Data'!D464-'Raw Price Data'!D463)/'Raw Price Data'!D463</f>
        <v>-7.0527337431252239E-3</v>
      </c>
      <c r="E464" s="26">
        <f>('Raw Price Data'!E464-'Raw Price Data'!E463)/'Raw Price Data'!E463</f>
        <v>6.0846417123920499E-3</v>
      </c>
      <c r="F464" s="26">
        <f>('Raw Price Data'!F464-'Raw Price Data'!F463)/'Raw Price Data'!F463</f>
        <v>6.6772691078140012E-3</v>
      </c>
    </row>
    <row r="465" spans="1:6" ht="15" customHeight="1" x14ac:dyDescent="0.3">
      <c r="A465" s="21">
        <v>44113</v>
      </c>
      <c r="B465" s="25">
        <f>('Raw Price Data'!B465-'Raw Price Data'!B464)/'Raw Price Data'!B464</f>
        <v>-1.3246848163712408E-3</v>
      </c>
      <c r="C465" s="25">
        <f>('Raw Price Data'!C465-'Raw Price Data'!C464)/'Raw Price Data'!C464</f>
        <v>-1.9673398071301428E-2</v>
      </c>
      <c r="D465" s="25">
        <f>('Raw Price Data'!D465-'Raw Price Data'!D464)/'Raw Price Data'!D464</f>
        <v>1.2706894304704733E-2</v>
      </c>
      <c r="E465" s="25">
        <f>('Raw Price Data'!E465-'Raw Price Data'!E464)/'Raw Price Data'!E464</f>
        <v>2.1167449646309282E-2</v>
      </c>
      <c r="F465" s="25">
        <f>('Raw Price Data'!F465-'Raw Price Data'!F464)/'Raw Price Data'!F464</f>
        <v>-6.442317583991811E-3</v>
      </c>
    </row>
    <row r="466" spans="1:6" ht="15" customHeight="1" x14ac:dyDescent="0.3">
      <c r="A466" s="19">
        <v>44116</v>
      </c>
      <c r="B466" s="26">
        <f>('Raw Price Data'!B466-'Raw Price Data'!B465)/'Raw Price Data'!B465</f>
        <v>1.2349631798014989E-2</v>
      </c>
      <c r="C466" s="26">
        <f>('Raw Price Data'!C466-'Raw Price Data'!C465)/'Raw Price Data'!C465</f>
        <v>1.9374132405614409E-2</v>
      </c>
      <c r="D466" s="26">
        <f>('Raw Price Data'!D466-'Raw Price Data'!D465)/'Raw Price Data'!D465</f>
        <v>-2.4451451000578822E-3</v>
      </c>
      <c r="E466" s="26">
        <f>('Raw Price Data'!E466-'Raw Price Data'!E465)/'Raw Price Data'!E465</f>
        <v>3.786156205383108E-2</v>
      </c>
      <c r="F466" s="26">
        <f>('Raw Price Data'!F466-'Raw Price Data'!F465)/'Raw Price Data'!F465</f>
        <v>-2.4370446890920601E-3</v>
      </c>
    </row>
    <row r="467" spans="1:6" ht="15" customHeight="1" x14ac:dyDescent="0.3">
      <c r="A467" s="21">
        <v>44117</v>
      </c>
      <c r="B467" s="25">
        <f>('Raw Price Data'!B467-'Raw Price Data'!B466)/'Raw Price Data'!B466</f>
        <v>-7.0031175168301235E-3</v>
      </c>
      <c r="C467" s="25">
        <f>('Raw Price Data'!C467-'Raw Price Data'!C466)/'Raw Price Data'!C466</f>
        <v>-5.1192387549071098E-3</v>
      </c>
      <c r="D467" s="25">
        <f>('Raw Price Data'!D467-'Raw Price Data'!D466)/'Raw Price Data'!D466</f>
        <v>-7.7404373347093377E-3</v>
      </c>
      <c r="E467" s="25">
        <f>('Raw Price Data'!E467-'Raw Price Data'!E466)/'Raw Price Data'!E466</f>
        <v>-4.0581851531054175E-2</v>
      </c>
      <c r="F467" s="25">
        <f>('Raw Price Data'!F467-'Raw Price Data'!F466)/'Raw Price Data'!F466</f>
        <v>4.1273505974086418E-3</v>
      </c>
    </row>
    <row r="468" spans="1:6" ht="15" customHeight="1" x14ac:dyDescent="0.3">
      <c r="A468" s="19">
        <v>44118</v>
      </c>
      <c r="B468" s="26">
        <f>('Raw Price Data'!B468-'Raw Price Data'!B467)/'Raw Price Data'!B467</f>
        <v>-1.5470015470015624E-3</v>
      </c>
      <c r="C468" s="26">
        <f>('Raw Price Data'!C468-'Raw Price Data'!C467)/'Raw Price Data'!C467</f>
        <v>-4.3006573499838772E-3</v>
      </c>
      <c r="D468" s="26">
        <f>('Raw Price Data'!D468-'Raw Price Data'!D467)/'Raw Price Data'!D467</f>
        <v>-6.0456347916531677E-3</v>
      </c>
      <c r="E468" s="26">
        <f>('Raw Price Data'!E468-'Raw Price Data'!E467)/'Raw Price Data'!E467</f>
        <v>4.4342954249754353E-2</v>
      </c>
      <c r="F468" s="26">
        <f>('Raw Price Data'!F468-'Raw Price Data'!F467)/'Raw Price Data'!F467</f>
        <v>1.4010594556766098E-2</v>
      </c>
    </row>
    <row r="469" spans="1:6" ht="15" customHeight="1" x14ac:dyDescent="0.3">
      <c r="A469" s="21">
        <v>44119</v>
      </c>
      <c r="B469" s="25">
        <f>('Raw Price Data'!B469-'Raw Price Data'!B468)/'Raw Price Data'!B468</f>
        <v>2.825373678454268E-3</v>
      </c>
      <c r="C469" s="25">
        <f>('Raw Price Data'!C469-'Raw Price Data'!C468)/'Raw Price Data'!C468</f>
        <v>-1.7709703423989236E-2</v>
      </c>
      <c r="D469" s="25">
        <f>('Raw Price Data'!D469-'Raw Price Data'!D468)/'Raw Price Data'!D468</f>
        <v>1.9032047089601024E-2</v>
      </c>
      <c r="E469" s="25">
        <f>('Raw Price Data'!E469-'Raw Price Data'!E468)/'Raw Price Data'!E468</f>
        <v>1.9857110167552317E-2</v>
      </c>
      <c r="F469" s="25">
        <f>('Raw Price Data'!F469-'Raw Price Data'!F468)/'Raw Price Data'!F468</f>
        <v>5.6925353710018936E-3</v>
      </c>
    </row>
    <row r="470" spans="1:6" ht="15" customHeight="1" x14ac:dyDescent="0.3">
      <c r="A470" s="19">
        <v>44120</v>
      </c>
      <c r="B470" s="26">
        <f>('Raw Price Data'!B470-'Raw Price Data'!B469)/'Raw Price Data'!B469</f>
        <v>2.1494137962373851E-2</v>
      </c>
      <c r="C470" s="26">
        <f>('Raw Price Data'!C470-'Raw Price Data'!C469)/'Raw Price Data'!C469</f>
        <v>-6.3667305931338581E-3</v>
      </c>
      <c r="D470" s="26">
        <f>('Raw Price Data'!D470-'Raw Price Data'!D469)/'Raw Price Data'!D469</f>
        <v>-8.4076760156601132E-3</v>
      </c>
      <c r="E470" s="26">
        <f>('Raw Price Data'!E470-'Raw Price Data'!E469)/'Raw Price Data'!E469</f>
        <v>7.7283605903470849E-4</v>
      </c>
      <c r="F470" s="26">
        <f>('Raw Price Data'!F470-'Raw Price Data'!F469)/'Raw Price Data'!F469</f>
        <v>-1.7971097961557397E-3</v>
      </c>
    </row>
    <row r="471" spans="1:6" ht="15" customHeight="1" x14ac:dyDescent="0.3">
      <c r="A471" s="21">
        <v>44123</v>
      </c>
      <c r="B471" s="25">
        <f>('Raw Price Data'!B471-'Raw Price Data'!B470)/'Raw Price Data'!B470</f>
        <v>-1.0676631522753711E-3</v>
      </c>
      <c r="C471" s="25">
        <f>('Raw Price Data'!C471-'Raw Price Data'!C470)/'Raw Price Data'!C470</f>
        <v>2.6786412915902266E-2</v>
      </c>
      <c r="D471" s="25">
        <f>('Raw Price Data'!D471-'Raw Price Data'!D470)/'Raw Price Data'!D470</f>
        <v>-7.119741100324508E-4</v>
      </c>
      <c r="E471" s="25">
        <f>('Raw Price Data'!E471-'Raw Price Data'!E470)/'Raw Price Data'!E470</f>
        <v>-7.6476596168696736E-3</v>
      </c>
      <c r="F471" s="25">
        <f>('Raw Price Data'!F471-'Raw Price Data'!F470)/'Raw Price Data'!F470</f>
        <v>2.7596322954123349E-3</v>
      </c>
    </row>
    <row r="472" spans="1:6" ht="15" customHeight="1" x14ac:dyDescent="0.3">
      <c r="A472" s="19">
        <v>44124</v>
      </c>
      <c r="B472" s="26">
        <f>('Raw Price Data'!B472-'Raw Price Data'!B471)/'Raw Price Data'!B471</f>
        <v>-4.5424181696727241E-3</v>
      </c>
      <c r="C472" s="26">
        <f>('Raw Price Data'!C472-'Raw Price Data'!C471)/'Raw Price Data'!C471</f>
        <v>1.3793161843152499E-2</v>
      </c>
      <c r="D472" s="26">
        <f>('Raw Price Data'!D472-'Raw Price Data'!D471)/'Raw Price Data'!D471</f>
        <v>1.6451842735928628E-2</v>
      </c>
      <c r="E472" s="26">
        <f>('Raw Price Data'!E472-'Raw Price Data'!E471)/'Raw Price Data'!E471</f>
        <v>-3.481775278642435E-2</v>
      </c>
      <c r="F472" s="26">
        <f>('Raw Price Data'!F472-'Raw Price Data'!F471)/'Raw Price Data'!F471</f>
        <v>1.0730835793236238E-2</v>
      </c>
    </row>
    <row r="473" spans="1:6" ht="15" customHeight="1" x14ac:dyDescent="0.3">
      <c r="A473" s="21">
        <v>44125</v>
      </c>
      <c r="B473" s="25">
        <f>('Raw Price Data'!B473-'Raw Price Data'!B472)/'Raw Price Data'!B472</f>
        <v>-1.4181541627521976E-2</v>
      </c>
      <c r="C473" s="25">
        <f>('Raw Price Data'!C473-'Raw Price Data'!C472)/'Raw Price Data'!C472</f>
        <v>-2.792927479098985E-2</v>
      </c>
      <c r="D473" s="25">
        <f>('Raw Price Data'!D473-'Raw Price Data'!D472)/'Raw Price Data'!D472</f>
        <v>5.1615369910151167E-3</v>
      </c>
      <c r="E473" s="25">
        <f>('Raw Price Data'!E473-'Raw Price Data'!E472)/'Raw Price Data'!E472</f>
        <v>2.3043512184972335E-2</v>
      </c>
      <c r="F473" s="25">
        <f>('Raw Price Data'!F473-'Raw Price Data'!F472)/'Raw Price Data'!F472</f>
        <v>5.6670828250836103E-3</v>
      </c>
    </row>
    <row r="474" spans="1:6" ht="15" customHeight="1" x14ac:dyDescent="0.3">
      <c r="A474" s="19">
        <v>44126</v>
      </c>
      <c r="B474" s="26">
        <f>('Raw Price Data'!B474-'Raw Price Data'!B473)/'Raw Price Data'!B473</f>
        <v>9.8475222363404759E-3</v>
      </c>
      <c r="C474" s="26">
        <f>('Raw Price Data'!C474-'Raw Price Data'!C473)/'Raw Price Data'!C473</f>
        <v>-1.686614484435537E-2</v>
      </c>
      <c r="D474" s="26">
        <f>('Raw Price Data'!D474-'Raw Price Data'!D473)/'Raw Price Data'!D473</f>
        <v>4.1841004184100198E-3</v>
      </c>
      <c r="E474" s="26">
        <f>('Raw Price Data'!E474-'Raw Price Data'!E473)/'Raw Price Data'!E473</f>
        <v>-2.0211008008135363E-2</v>
      </c>
      <c r="F474" s="26">
        <f>('Raw Price Data'!F474-'Raw Price Data'!F473)/'Raw Price Data'!F473</f>
        <v>1.0559015831923143E-2</v>
      </c>
    </row>
    <row r="475" spans="1:6" ht="15" customHeight="1" x14ac:dyDescent="0.3">
      <c r="A475" s="21">
        <v>44127</v>
      </c>
      <c r="B475" s="25">
        <f>('Raw Price Data'!B475-'Raw Price Data'!B474)/'Raw Price Data'!B474</f>
        <v>-7.8641082101289714E-3</v>
      </c>
      <c r="C475" s="25">
        <f>('Raw Price Data'!C475-'Raw Price Data'!C474)/'Raw Price Data'!C474</f>
        <v>1.180696357407536E-2</v>
      </c>
      <c r="D475" s="25">
        <f>('Raw Price Data'!D475-'Raw Price Data'!D474)/'Raw Price Data'!D474</f>
        <v>-1.0037878787878809E-2</v>
      </c>
      <c r="E475" s="25">
        <f>('Raw Price Data'!E475-'Raw Price Data'!E474)/'Raw Price Data'!E474</f>
        <v>1.2791904514789848E-2</v>
      </c>
      <c r="F475" s="25">
        <f>('Raw Price Data'!F475-'Raw Price Data'!F474)/'Raw Price Data'!F474</f>
        <v>-4.1946982344574606E-3</v>
      </c>
    </row>
    <row r="476" spans="1:6" ht="15" customHeight="1" x14ac:dyDescent="0.3">
      <c r="A476" s="19">
        <v>44130</v>
      </c>
      <c r="B476" s="26">
        <f>('Raw Price Data'!B476-'Raw Price Data'!B475)/'Raw Price Data'!B475</f>
        <v>5.1182172298215216E-3</v>
      </c>
      <c r="C476" s="26">
        <f>('Raw Price Data'!C476-'Raw Price Data'!C475)/'Raw Price Data'!C475</f>
        <v>-8.1882962643057815E-3</v>
      </c>
      <c r="D476" s="26">
        <f>('Raw Price Data'!D476-'Raw Price Data'!D475)/'Raw Price Data'!D475</f>
        <v>3.7051208468847664E-2</v>
      </c>
      <c r="E476" s="26">
        <f>('Raw Price Data'!E476-'Raw Price Data'!E475)/'Raw Price Data'!E475</f>
        <v>-7.3527527989137517E-3</v>
      </c>
      <c r="F476" s="26">
        <f>('Raw Price Data'!F476-'Raw Price Data'!F475)/'Raw Price Data'!F475</f>
        <v>1.0654843654564431E-2</v>
      </c>
    </row>
    <row r="477" spans="1:6" ht="15" customHeight="1" x14ac:dyDescent="0.3">
      <c r="A477" s="21">
        <v>44131</v>
      </c>
      <c r="B477" s="25">
        <f>('Raw Price Data'!B477-'Raw Price Data'!B476)/'Raw Price Data'!B476</f>
        <v>-2.6046595466630622E-2</v>
      </c>
      <c r="C477" s="25">
        <f>('Raw Price Data'!C477-'Raw Price Data'!C476)/'Raw Price Data'!C476</f>
        <v>-9.1616083325350151E-3</v>
      </c>
      <c r="D477" s="25">
        <f>('Raw Price Data'!D477-'Raw Price Data'!D476)/'Raw Price Data'!D476</f>
        <v>1.3282499077604209E-2</v>
      </c>
      <c r="E477" s="25">
        <f>('Raw Price Data'!E477-'Raw Price Data'!E476)/'Raw Price Data'!E476</f>
        <v>-3.0248283693800577E-2</v>
      </c>
      <c r="F477" s="25">
        <f>('Raw Price Data'!F477-'Raw Price Data'!F476)/'Raw Price Data'!F476</f>
        <v>-3.693583804304755E-3</v>
      </c>
    </row>
    <row r="478" spans="1:6" ht="15" customHeight="1" x14ac:dyDescent="0.3">
      <c r="A478" s="19">
        <v>44132</v>
      </c>
      <c r="B478" s="26">
        <f>('Raw Price Data'!B478-'Raw Price Data'!B477)/'Raw Price Data'!B477</f>
        <v>1.4759635404617581E-2</v>
      </c>
      <c r="C478" s="26">
        <f>('Raw Price Data'!C478-'Raw Price Data'!C477)/'Raw Price Data'!C477</f>
        <v>-1.4581410678971583E-2</v>
      </c>
      <c r="D478" s="26">
        <f>('Raw Price Data'!D478-'Raw Price Data'!D477)/'Raw Price Data'!D477</f>
        <v>-3.6897681757494916E-2</v>
      </c>
      <c r="E478" s="26">
        <f>('Raw Price Data'!E478-'Raw Price Data'!E477)/'Raw Price Data'!E477</f>
        <v>8.3834566455527147E-3</v>
      </c>
      <c r="F478" s="26">
        <f>('Raw Price Data'!F478-'Raw Price Data'!F477)/'Raw Price Data'!F477</f>
        <v>1.4304856911477783E-3</v>
      </c>
    </row>
    <row r="479" spans="1:6" ht="15" customHeight="1" x14ac:dyDescent="0.3">
      <c r="A479" s="21">
        <v>44133</v>
      </c>
      <c r="B479" s="25">
        <f>('Raw Price Data'!B479-'Raw Price Data'!B478)/'Raw Price Data'!B478</f>
        <v>-1.8146999817618047E-2</v>
      </c>
      <c r="C479" s="25">
        <f>('Raw Price Data'!C479-'Raw Price Data'!C478)/'Raw Price Data'!C478</f>
        <v>-2.2887009882621642E-2</v>
      </c>
      <c r="D479" s="25">
        <f>('Raw Price Data'!D479-'Raw Price Data'!D478)/'Raw Price Data'!D478</f>
        <v>2.0919974795211228E-2</v>
      </c>
      <c r="E479" s="25">
        <f>('Raw Price Data'!E479-'Raw Price Data'!E478)/'Raw Price Data'!E478</f>
        <v>9.6597957190742035E-3</v>
      </c>
      <c r="F479" s="25">
        <f>('Raw Price Data'!F479-'Raw Price Data'!F478)/'Raw Price Data'!F478</f>
        <v>6.8898274611663059E-3</v>
      </c>
    </row>
    <row r="480" spans="1:6" ht="15" customHeight="1" x14ac:dyDescent="0.3">
      <c r="A480" s="19">
        <v>44134</v>
      </c>
      <c r="B480" s="26">
        <f>('Raw Price Data'!B480-'Raw Price Data'!B479)/'Raw Price Data'!B479</f>
        <v>-1.0448592922819726E-2</v>
      </c>
      <c r="C480" s="26">
        <f>('Raw Price Data'!C480-'Raw Price Data'!C479)/'Raw Price Data'!C479</f>
        <v>2.2820629849383844E-3</v>
      </c>
      <c r="D480" s="26">
        <f>('Raw Price Data'!D480-'Raw Price Data'!D479)/'Raw Price Data'!D479</f>
        <v>-1.9812368843352721E-2</v>
      </c>
      <c r="E480" s="26">
        <f>('Raw Price Data'!E480-'Raw Price Data'!E479)/'Raw Price Data'!E479</f>
        <v>-1.720036596523326E-2</v>
      </c>
      <c r="F480" s="26">
        <f>('Raw Price Data'!F480-'Raw Price Data'!F479)/'Raw Price Data'!F479</f>
        <v>-1.471710796399014E-2</v>
      </c>
    </row>
    <row r="481" spans="1:6" ht="15" customHeight="1" x14ac:dyDescent="0.3">
      <c r="A481" s="21">
        <v>44137</v>
      </c>
      <c r="B481" s="25">
        <f>('Raw Price Data'!B481-'Raw Price Data'!B480)/'Raw Price Data'!B480</f>
        <v>1.5017128912665956E-2</v>
      </c>
      <c r="C481" s="25">
        <f>('Raw Price Data'!C481-'Raw Price Data'!C480)/'Raw Price Data'!C480</f>
        <v>-6.1111111111111444E-3</v>
      </c>
      <c r="D481" s="25">
        <f>('Raw Price Data'!D481-'Raw Price Data'!D480)/'Raw Price Data'!D480</f>
        <v>-2.1220326175933533E-2</v>
      </c>
      <c r="E481" s="25">
        <f>('Raw Price Data'!E481-'Raw Price Data'!E480)/'Raw Price Data'!E480</f>
        <v>1.6703460382477251E-2</v>
      </c>
      <c r="F481" s="25">
        <f>('Raw Price Data'!F481-'Raw Price Data'!F480)/'Raw Price Data'!F480</f>
        <v>-2.5212822801064945E-3</v>
      </c>
    </row>
    <row r="482" spans="1:6" ht="15" customHeight="1" x14ac:dyDescent="0.3">
      <c r="A482" s="19">
        <v>44138</v>
      </c>
      <c r="B482" s="26">
        <f>('Raw Price Data'!B482-'Raw Price Data'!B481)/'Raw Price Data'!B481</f>
        <v>-1.8216283693189689E-2</v>
      </c>
      <c r="C482" s="26">
        <f>('Raw Price Data'!C482-'Raw Price Data'!C481)/'Raw Price Data'!C481</f>
        <v>2.0709435622062088E-2</v>
      </c>
      <c r="D482" s="26">
        <f>('Raw Price Data'!D482-'Raw Price Data'!D481)/'Raw Price Data'!D481</f>
        <v>-1.0615028306742188E-2</v>
      </c>
      <c r="E482" s="26">
        <f>('Raw Price Data'!E482-'Raw Price Data'!E481)/'Raw Price Data'!E481</f>
        <v>3.4610856769130199E-2</v>
      </c>
      <c r="F482" s="26">
        <f>('Raw Price Data'!F482-'Raw Price Data'!F481)/'Raw Price Data'!F481</f>
        <v>3.4619410849495488E-3</v>
      </c>
    </row>
    <row r="483" spans="1:6" ht="15" customHeight="1" x14ac:dyDescent="0.3">
      <c r="A483" s="21">
        <v>44139</v>
      </c>
      <c r="B483" s="25">
        <f>('Raw Price Data'!B483-'Raw Price Data'!B482)/'Raw Price Data'!B482</f>
        <v>-7.5347303979277883E-4</v>
      </c>
      <c r="C483" s="25">
        <f>('Raw Price Data'!C483-'Raw Price Data'!C482)/'Raw Price Data'!C482</f>
        <v>-5.8354056504689947E-4</v>
      </c>
      <c r="D483" s="25">
        <f>('Raw Price Data'!D483-'Raw Price Data'!D482)/'Raw Price Data'!D482</f>
        <v>2.0222381169126821E-2</v>
      </c>
      <c r="E483" s="25">
        <f>('Raw Price Data'!E483-'Raw Price Data'!E482)/'Raw Price Data'!E482</f>
        <v>9.7350055628602356E-3</v>
      </c>
      <c r="F483" s="25">
        <f>('Raw Price Data'!F483-'Raw Price Data'!F482)/'Raw Price Data'!F482</f>
        <v>2.242410966484937E-3</v>
      </c>
    </row>
    <row r="484" spans="1:6" ht="15" customHeight="1" x14ac:dyDescent="0.3">
      <c r="A484" s="19">
        <v>44140</v>
      </c>
      <c r="B484" s="26">
        <f>('Raw Price Data'!B484-'Raw Price Data'!B483)/'Raw Price Data'!B483</f>
        <v>1.3195720816249641E-3</v>
      </c>
      <c r="C484" s="26">
        <f>('Raw Price Data'!C484-'Raw Price Data'!C483)/'Raw Price Data'!C483</f>
        <v>-1.6429521037691748E-2</v>
      </c>
      <c r="D484" s="26">
        <f>('Raw Price Data'!D484-'Raw Price Data'!D483)/'Raw Price Data'!D483</f>
        <v>-3.8878266411728085E-3</v>
      </c>
      <c r="E484" s="26">
        <f>('Raw Price Data'!E484-'Raw Price Data'!E483)/'Raw Price Data'!E483</f>
        <v>8.6394711141161169E-3</v>
      </c>
      <c r="F484" s="26">
        <f>('Raw Price Data'!F484-'Raw Price Data'!F483)/'Raw Price Data'!F483</f>
        <v>9.77659351781506E-3</v>
      </c>
    </row>
    <row r="485" spans="1:6" ht="15" customHeight="1" x14ac:dyDescent="0.3">
      <c r="A485" s="21">
        <v>44141</v>
      </c>
      <c r="B485" s="25">
        <f>('Raw Price Data'!B485-'Raw Price Data'!B484)/'Raw Price Data'!B484</f>
        <v>-1.3507789334964958E-2</v>
      </c>
      <c r="C485" s="25">
        <f>('Raw Price Data'!C485-'Raw Price Data'!C484)/'Raw Price Data'!C484</f>
        <v>1.2831636147769263E-2</v>
      </c>
      <c r="D485" s="25">
        <f>('Raw Price Data'!D485-'Raw Price Data'!D484)/'Raw Price Data'!D484</f>
        <v>3.711049971207451E-3</v>
      </c>
      <c r="E485" s="25">
        <f>('Raw Price Data'!E485-'Raw Price Data'!E484)/'Raw Price Data'!E484</f>
        <v>-1.3406822583047762E-2</v>
      </c>
      <c r="F485" s="25">
        <f>('Raw Price Data'!F485-'Raw Price Data'!F484)/'Raw Price Data'!F484</f>
        <v>-2.5983797215258557E-2</v>
      </c>
    </row>
    <row r="486" spans="1:6" ht="15" customHeight="1" x14ac:dyDescent="0.3">
      <c r="A486" s="19">
        <v>44144</v>
      </c>
      <c r="B486" s="26">
        <f>('Raw Price Data'!B486-'Raw Price Data'!B485)/'Raw Price Data'!B485</f>
        <v>1.8940839694656483E-2</v>
      </c>
      <c r="C486" s="26">
        <f>('Raw Price Data'!C486-'Raw Price Data'!C485)/'Raw Price Data'!C485</f>
        <v>2.4337240757439142E-2</v>
      </c>
      <c r="D486" s="26">
        <f>('Raw Price Data'!D486-'Raw Price Data'!D485)/'Raw Price Data'!D485</f>
        <v>-2.5881302989736739E-2</v>
      </c>
      <c r="E486" s="26">
        <f>('Raw Price Data'!E486-'Raw Price Data'!E485)/'Raw Price Data'!E485</f>
        <v>-1.9150435351552704E-2</v>
      </c>
      <c r="F486" s="26">
        <f>('Raw Price Data'!F486-'Raw Price Data'!F485)/'Raw Price Data'!F485</f>
        <v>-1.8496259015320305E-2</v>
      </c>
    </row>
    <row r="487" spans="1:6" ht="15" customHeight="1" x14ac:dyDescent="0.3">
      <c r="A487" s="21">
        <v>44145</v>
      </c>
      <c r="B487" s="25">
        <f>('Raw Price Data'!B487-'Raw Price Data'!B486)/'Raw Price Data'!B486</f>
        <v>2.1070375052675939E-2</v>
      </c>
      <c r="C487" s="25">
        <f>('Raw Price Data'!C487-'Raw Price Data'!C486)/'Raw Price Data'!C486</f>
        <v>-1.2376869514696385E-2</v>
      </c>
      <c r="D487" s="25">
        <f>('Raw Price Data'!D487-'Raw Price Data'!D486)/'Raw Price Data'!D486</f>
        <v>1.7276356259407016E-2</v>
      </c>
      <c r="E487" s="25">
        <f>('Raw Price Data'!E487-'Raw Price Data'!E486)/'Raw Price Data'!E486</f>
        <v>-7.2093798907047809E-3</v>
      </c>
      <c r="F487" s="25">
        <f>('Raw Price Data'!F487-'Raw Price Data'!F486)/'Raw Price Data'!F486</f>
        <v>1.1633323451276496E-2</v>
      </c>
    </row>
    <row r="488" spans="1:6" ht="15" customHeight="1" x14ac:dyDescent="0.3">
      <c r="A488" s="19">
        <v>44146</v>
      </c>
      <c r="B488" s="26">
        <f>('Raw Price Data'!B488-'Raw Price Data'!B487)/'Raw Price Data'!B487</f>
        <v>-2.7009675792176762E-2</v>
      </c>
      <c r="C488" s="26">
        <f>('Raw Price Data'!C488-'Raw Price Data'!C487)/'Raw Price Data'!C487</f>
        <v>-2.9440339415114997E-2</v>
      </c>
      <c r="D488" s="26">
        <f>('Raw Price Data'!D488-'Raw Price Data'!D487)/'Raw Price Data'!D487</f>
        <v>-3.7954326149885818E-3</v>
      </c>
      <c r="E488" s="26">
        <f>('Raw Price Data'!E488-'Raw Price Data'!E487)/'Raw Price Data'!E487</f>
        <v>1.7831300392805399E-3</v>
      </c>
      <c r="F488" s="26">
        <f>('Raw Price Data'!F488-'Raw Price Data'!F487)/'Raw Price Data'!F487</f>
        <v>8.7476715976949043E-3</v>
      </c>
    </row>
    <row r="489" spans="1:6" ht="15" customHeight="1" x14ac:dyDescent="0.3">
      <c r="A489" s="21">
        <v>44147</v>
      </c>
      <c r="B489" s="25">
        <f>('Raw Price Data'!B489-'Raw Price Data'!B488)/'Raw Price Data'!B488</f>
        <v>-1.9747384296352144E-2</v>
      </c>
      <c r="C489" s="25">
        <f>('Raw Price Data'!C489-'Raw Price Data'!C488)/'Raw Price Data'!C488</f>
        <v>-7.8519606942787958E-3</v>
      </c>
      <c r="D489" s="25">
        <f>('Raw Price Data'!D489-'Raw Price Data'!D488)/'Raw Price Data'!D488</f>
        <v>-1.9888931938525197E-2</v>
      </c>
      <c r="E489" s="25">
        <f>('Raw Price Data'!E489-'Raw Price Data'!E488)/'Raw Price Data'!E488</f>
        <v>6.9650457887279423E-4</v>
      </c>
      <c r="F489" s="25">
        <f>('Raw Price Data'!F489-'Raw Price Data'!F488)/'Raw Price Data'!F488</f>
        <v>2.2423150313024921E-2</v>
      </c>
    </row>
    <row r="490" spans="1:6" ht="15" customHeight="1" x14ac:dyDescent="0.3">
      <c r="A490" s="19">
        <v>44148</v>
      </c>
      <c r="B490" s="26">
        <f>('Raw Price Data'!B490-'Raw Price Data'!B489)/'Raw Price Data'!B489</f>
        <v>1.1490937064281871E-2</v>
      </c>
      <c r="C490" s="26">
        <f>('Raw Price Data'!C490-'Raw Price Data'!C489)/'Raw Price Data'!C489</f>
        <v>-2.3214698940158218E-2</v>
      </c>
      <c r="D490" s="26">
        <f>('Raw Price Data'!D490-'Raw Price Data'!D489)/'Raw Price Data'!D489</f>
        <v>5.5343259981552474E-3</v>
      </c>
      <c r="E490" s="26">
        <f>('Raw Price Data'!E490-'Raw Price Data'!E489)/'Raw Price Data'!E489</f>
        <v>-3.2738709012168454E-3</v>
      </c>
      <c r="F490" s="26">
        <f>('Raw Price Data'!F490-'Raw Price Data'!F489)/'Raw Price Data'!F489</f>
        <v>-9.5728504823542899E-4</v>
      </c>
    </row>
    <row r="491" spans="1:6" ht="15" customHeight="1" x14ac:dyDescent="0.3">
      <c r="A491" s="21">
        <v>44151</v>
      </c>
      <c r="B491" s="25">
        <f>('Raw Price Data'!B491-'Raw Price Data'!B490)/'Raw Price Data'!B490</f>
        <v>-1.7729822226447332E-2</v>
      </c>
      <c r="C491" s="25">
        <f>('Raw Price Data'!C491-'Raw Price Data'!C490)/'Raw Price Data'!C490</f>
        <v>2.9546940593402696E-2</v>
      </c>
      <c r="D491" s="25">
        <f>('Raw Price Data'!D491-'Raw Price Data'!D490)/'Raw Price Data'!D490</f>
        <v>8.0592320796749432E-3</v>
      </c>
      <c r="E491" s="25">
        <f>('Raw Price Data'!E491-'Raw Price Data'!E490)/'Raw Price Data'!E490</f>
        <v>4.7562394930816099E-2</v>
      </c>
      <c r="F491" s="25">
        <f>('Raw Price Data'!F491-'Raw Price Data'!F490)/'Raw Price Data'!F490</f>
        <v>1.3934984621476342E-2</v>
      </c>
    </row>
    <row r="492" spans="1:6" ht="15" customHeight="1" x14ac:dyDescent="0.3">
      <c r="A492" s="19">
        <v>44152</v>
      </c>
      <c r="B492" s="26">
        <f>('Raw Price Data'!B492-'Raw Price Data'!B491)/'Raw Price Data'!B491</f>
        <v>-5.0810549237842312E-3</v>
      </c>
      <c r="C492" s="26">
        <f>('Raw Price Data'!C492-'Raw Price Data'!C491)/'Raw Price Data'!C491</f>
        <v>-2.3875926181600674E-2</v>
      </c>
      <c r="D492" s="26">
        <f>('Raw Price Data'!D492-'Raw Price Data'!D491)/'Raw Price Data'!D491</f>
        <v>1.7549561260969142E-3</v>
      </c>
      <c r="E492" s="26">
        <f>('Raw Price Data'!E492-'Raw Price Data'!E491)/'Raw Price Data'!E491</f>
        <v>1.1258147343472255E-2</v>
      </c>
      <c r="F492" s="26">
        <f>('Raw Price Data'!F492-'Raw Price Data'!F491)/'Raw Price Data'!F491</f>
        <v>2.560046001186923E-2</v>
      </c>
    </row>
    <row r="493" spans="1:6" ht="15" customHeight="1" x14ac:dyDescent="0.3">
      <c r="A493" s="21">
        <v>44153</v>
      </c>
      <c r="B493" s="25">
        <f>('Raw Price Data'!B493-'Raw Price Data'!B492)/'Raw Price Data'!B492</f>
        <v>2.1400778210116621E-3</v>
      </c>
      <c r="C493" s="25">
        <f>('Raw Price Data'!C493-'Raw Price Data'!C492)/'Raw Price Data'!C492</f>
        <v>-5.1861840058085263E-3</v>
      </c>
      <c r="D493" s="25">
        <f>('Raw Price Data'!D493-'Raw Price Data'!D492)/'Raw Price Data'!D492</f>
        <v>2.0763041785621519E-2</v>
      </c>
      <c r="E493" s="25">
        <f>('Raw Price Data'!E493-'Raw Price Data'!E492)/'Raw Price Data'!E492</f>
        <v>-1.7968750000000033E-2</v>
      </c>
      <c r="F493" s="25">
        <f>('Raw Price Data'!F493-'Raw Price Data'!F492)/'Raw Price Data'!F492</f>
        <v>-2.5557742569026251E-2</v>
      </c>
    </row>
    <row r="494" spans="1:6" ht="15" customHeight="1" x14ac:dyDescent="0.3">
      <c r="A494" s="19">
        <v>44154</v>
      </c>
      <c r="B494" s="26">
        <f>('Raw Price Data'!B494-'Raw Price Data'!B493)/'Raw Price Data'!B493</f>
        <v>9.90099009901E-3</v>
      </c>
      <c r="C494" s="26">
        <f>('Raw Price Data'!C494-'Raw Price Data'!C493)/'Raw Price Data'!C493</f>
        <v>2.6587425711604586E-2</v>
      </c>
      <c r="D494" s="26">
        <f>('Raw Price Data'!D494-'Raw Price Data'!D493)/'Raw Price Data'!D493</f>
        <v>9.5982710399187612E-3</v>
      </c>
      <c r="E494" s="26">
        <f>('Raw Price Data'!E494-'Raw Price Data'!E493)/'Raw Price Data'!E493</f>
        <v>-2.2200676213206063E-2</v>
      </c>
      <c r="F494" s="26">
        <f>('Raw Price Data'!F494-'Raw Price Data'!F493)/'Raw Price Data'!F493</f>
        <v>-1.8437887915281975E-2</v>
      </c>
    </row>
    <row r="495" spans="1:6" ht="15" customHeight="1" x14ac:dyDescent="0.3">
      <c r="A495" s="21">
        <v>44155</v>
      </c>
      <c r="B495" s="25">
        <f>('Raw Price Data'!B495-'Raw Price Data'!B494)/'Raw Price Data'!B494</f>
        <v>-2.7873894655902173E-3</v>
      </c>
      <c r="C495" s="25">
        <f>('Raw Price Data'!C495-'Raw Price Data'!C494)/'Raw Price Data'!C494</f>
        <v>1.5954794748213371E-2</v>
      </c>
      <c r="D495" s="25">
        <f>('Raw Price Data'!D495-'Raw Price Data'!D494)/'Raw Price Data'!D494</f>
        <v>2.4050872001511004E-2</v>
      </c>
      <c r="E495" s="25">
        <f>('Raw Price Data'!E495-'Raw Price Data'!E494)/'Raw Price Data'!E494</f>
        <v>-3.2391752053087919E-2</v>
      </c>
      <c r="F495" s="25">
        <f>('Raw Price Data'!F495-'Raw Price Data'!F494)/'Raw Price Data'!F494</f>
        <v>-5.2915922266221216E-3</v>
      </c>
    </row>
    <row r="496" spans="1:6" ht="15" customHeight="1" x14ac:dyDescent="0.3">
      <c r="A496" s="19">
        <v>44158</v>
      </c>
      <c r="B496" s="26">
        <f>('Raw Price Data'!B496-'Raw Price Data'!B495)/'Raw Price Data'!B495</f>
        <v>1.6385542168674864E-3</v>
      </c>
      <c r="C496" s="26">
        <f>('Raw Price Data'!C496-'Raw Price Data'!C495)/'Raw Price Data'!C495</f>
        <v>-8.4610211389206484E-3</v>
      </c>
      <c r="D496" s="26">
        <f>('Raw Price Data'!D496-'Raw Price Data'!D495)/'Raw Price Data'!D495</f>
        <v>-4.9185367353220104E-4</v>
      </c>
      <c r="E496" s="26">
        <f>('Raw Price Data'!E496-'Raw Price Data'!E495)/'Raw Price Data'!E495</f>
        <v>-1.8603673437212559E-2</v>
      </c>
      <c r="F496" s="26">
        <f>('Raw Price Data'!F496-'Raw Price Data'!F495)/'Raw Price Data'!F495</f>
        <v>-1.5748964754651269E-2</v>
      </c>
    </row>
    <row r="497" spans="1:6" ht="15" customHeight="1" x14ac:dyDescent="0.3">
      <c r="A497" s="21">
        <v>44159</v>
      </c>
      <c r="B497" s="25">
        <f>('Raw Price Data'!B497-'Raw Price Data'!B496)/'Raw Price Data'!B496</f>
        <v>-1.0440723633564356E-2</v>
      </c>
      <c r="C497" s="25">
        <f>('Raw Price Data'!C497-'Raw Price Data'!C496)/'Raw Price Data'!C496</f>
        <v>-1.3216868463745335E-2</v>
      </c>
      <c r="D497" s="25">
        <f>('Raw Price Data'!D497-'Raw Price Data'!D496)/'Raw Price Data'!D496</f>
        <v>2.0914067786184623E-3</v>
      </c>
      <c r="E497" s="25">
        <f>('Raw Price Data'!E497-'Raw Price Data'!E496)/'Raw Price Data'!E496</f>
        <v>1.1405927869554716E-2</v>
      </c>
      <c r="F497" s="25">
        <f>('Raw Price Data'!F497-'Raw Price Data'!F496)/'Raw Price Data'!F496</f>
        <v>1.7538145854107564E-2</v>
      </c>
    </row>
    <row r="498" spans="1:6" ht="15" customHeight="1" x14ac:dyDescent="0.3">
      <c r="A498" s="19">
        <v>44160</v>
      </c>
      <c r="B498" s="26">
        <f>('Raw Price Data'!B498-'Raw Price Data'!B497)/'Raw Price Data'!B497</f>
        <v>1.8233091846161328E-2</v>
      </c>
      <c r="C498" s="26">
        <f>('Raw Price Data'!C498-'Raw Price Data'!C497)/'Raw Price Data'!C497</f>
        <v>-2.6100444915056944E-3</v>
      </c>
      <c r="D498" s="26">
        <f>('Raw Price Data'!D498-'Raw Price Data'!D497)/'Raw Price Data'!D497</f>
        <v>1.4056841200662895E-2</v>
      </c>
      <c r="E498" s="26">
        <f>('Raw Price Data'!E498-'Raw Price Data'!E497)/'Raw Price Data'!E497</f>
        <v>-4.897418927862403E-3</v>
      </c>
      <c r="F498" s="26">
        <f>('Raw Price Data'!F498-'Raw Price Data'!F497)/'Raw Price Data'!F497</f>
        <v>-2.6562024468528653E-3</v>
      </c>
    </row>
    <row r="499" spans="1:6" ht="15" customHeight="1" x14ac:dyDescent="0.3">
      <c r="A499" s="21">
        <v>44161</v>
      </c>
      <c r="B499" s="25">
        <f>('Raw Price Data'!B499-'Raw Price Data'!B498)/'Raw Price Data'!B498</f>
        <v>-6.5418775666124356E-3</v>
      </c>
      <c r="C499" s="25">
        <f>('Raw Price Data'!C499-'Raw Price Data'!C498)/'Raw Price Data'!C498</f>
        <v>-3.6319612590797763E-3</v>
      </c>
      <c r="D499" s="25">
        <f>('Raw Price Data'!D499-'Raw Price Data'!D498)/'Raw Price Data'!D498</f>
        <v>1.8644067796610247E-2</v>
      </c>
      <c r="E499" s="25">
        <f>('Raw Price Data'!E499-'Raw Price Data'!E498)/'Raw Price Data'!E498</f>
        <v>-1.263633945198191E-2</v>
      </c>
      <c r="F499" s="25">
        <f>('Raw Price Data'!F499-'Raw Price Data'!F498)/'Raw Price Data'!F498</f>
        <v>-7.5830207919615391E-3</v>
      </c>
    </row>
    <row r="500" spans="1:6" ht="15" customHeight="1" x14ac:dyDescent="0.3">
      <c r="A500" s="19">
        <v>44162</v>
      </c>
      <c r="B500" s="26">
        <f>('Raw Price Data'!B500-'Raw Price Data'!B499)/'Raw Price Data'!B499</f>
        <v>4.9987983657774192E-3</v>
      </c>
      <c r="C500" s="26">
        <f>('Raw Price Data'!C500-'Raw Price Data'!C499)/'Raw Price Data'!C499</f>
        <v>2.6983830264510598E-2</v>
      </c>
      <c r="D500" s="26">
        <f>('Raw Price Data'!D500-'Raw Price Data'!D499)/'Raw Price Data'!D499</f>
        <v>-4.8728309959590755E-3</v>
      </c>
      <c r="E500" s="26">
        <f>('Raw Price Data'!E500-'Raw Price Data'!E499)/'Raw Price Data'!E499</f>
        <v>1.1639498854910548E-2</v>
      </c>
      <c r="F500" s="26">
        <f>('Raw Price Data'!F500-'Raw Price Data'!F499)/'Raw Price Data'!F499</f>
        <v>1.4370251111157485E-2</v>
      </c>
    </row>
    <row r="501" spans="1:6" ht="15" customHeight="1" x14ac:dyDescent="0.3">
      <c r="A501" s="21">
        <v>44165</v>
      </c>
      <c r="B501" s="25">
        <f>('Raw Price Data'!B501-'Raw Price Data'!B500)/'Raw Price Data'!B500</f>
        <v>-6.7435075804677244E-3</v>
      </c>
      <c r="C501" s="25">
        <f>('Raw Price Data'!C501-'Raw Price Data'!C500)/'Raw Price Data'!C500</f>
        <v>-2.1296540677302059E-3</v>
      </c>
      <c r="D501" s="25">
        <f>('Raw Price Data'!D501-'Raw Price Data'!D500)/'Raw Price Data'!D500</f>
        <v>3.0096739519885295E-2</v>
      </c>
      <c r="E501" s="25">
        <f>('Raw Price Data'!E501-'Raw Price Data'!E500)/'Raw Price Data'!E500</f>
        <v>1.0839747516446036E-2</v>
      </c>
      <c r="F501" s="25">
        <f>('Raw Price Data'!F501-'Raw Price Data'!F500)/'Raw Price Data'!F500</f>
        <v>7.7554026478720266E-3</v>
      </c>
    </row>
    <row r="502" spans="1:6" ht="15" customHeight="1" x14ac:dyDescent="0.3">
      <c r="A502" s="19">
        <v>44166</v>
      </c>
      <c r="B502" s="26">
        <f>('Raw Price Data'!B502-'Raw Price Data'!B501)/'Raw Price Data'!B501</f>
        <v>1.7815870570108076E-3</v>
      </c>
      <c r="C502" s="26">
        <f>('Raw Price Data'!C502-'Raw Price Data'!C501)/'Raw Price Data'!C501</f>
        <v>-2.322081665040179E-2</v>
      </c>
      <c r="D502" s="26">
        <f>('Raw Price Data'!D502-'Raw Price Data'!D501)/'Raw Price Data'!D501</f>
        <v>2.2028985507246113E-3</v>
      </c>
      <c r="E502" s="26">
        <f>('Raw Price Data'!E502-'Raw Price Data'!E501)/'Raw Price Data'!E501</f>
        <v>7.5090899509932174E-3</v>
      </c>
      <c r="F502" s="26">
        <f>('Raw Price Data'!F502-'Raw Price Data'!F501)/'Raw Price Data'!F501</f>
        <v>-6.251184558181605E-3</v>
      </c>
    </row>
    <row r="503" spans="1:6" ht="15" customHeight="1" x14ac:dyDescent="0.3">
      <c r="A503" s="21">
        <v>44167</v>
      </c>
      <c r="B503" s="25">
        <f>('Raw Price Data'!B503-'Raw Price Data'!B502)/'Raw Price Data'!B502</f>
        <v>-2.0187454938717419E-3</v>
      </c>
      <c r="C503" s="25">
        <f>('Raw Price Data'!C503-'Raw Price Data'!C502)/'Raw Price Data'!C502</f>
        <v>1.7983697022325548E-2</v>
      </c>
      <c r="D503" s="25">
        <f>('Raw Price Data'!D503-'Raw Price Data'!D502)/'Raw Price Data'!D502</f>
        <v>4.6274872744107187E-4</v>
      </c>
      <c r="E503" s="25">
        <f>('Raw Price Data'!E503-'Raw Price Data'!E502)/'Raw Price Data'!E502</f>
        <v>2.0921049190627614E-4</v>
      </c>
      <c r="F503" s="25">
        <f>('Raw Price Data'!F503-'Raw Price Data'!F502)/'Raw Price Data'!F502</f>
        <v>8.1055787181876868E-3</v>
      </c>
    </row>
    <row r="504" spans="1:6" ht="15" customHeight="1" x14ac:dyDescent="0.3">
      <c r="A504" s="19">
        <v>44168</v>
      </c>
      <c r="B504" s="26">
        <f>('Raw Price Data'!B504-'Raw Price Data'!B503)/'Raw Price Data'!B503</f>
        <v>-1.9265038770890802E-3</v>
      </c>
      <c r="C504" s="26">
        <f>('Raw Price Data'!C504-'Raw Price Data'!C503)/'Raw Price Data'!C503</f>
        <v>1.8876750777358838E-2</v>
      </c>
      <c r="D504" s="26">
        <f>('Raw Price Data'!D504-'Raw Price Data'!D503)/'Raw Price Data'!D503</f>
        <v>7.4005550416281285E-3</v>
      </c>
      <c r="E504" s="26">
        <f>('Raw Price Data'!E504-'Raw Price Data'!E503)/'Raw Price Data'!E503</f>
        <v>-2.0916673203137743E-4</v>
      </c>
      <c r="F504" s="26">
        <f>('Raw Price Data'!F504-'Raw Price Data'!F503)/'Raw Price Data'!F503</f>
        <v>-1.0091467342293884E-2</v>
      </c>
    </row>
    <row r="505" spans="1:6" ht="15" customHeight="1" x14ac:dyDescent="0.3">
      <c r="A505" s="21">
        <v>44169</v>
      </c>
      <c r="B505" s="25">
        <f>('Raw Price Data'!B505-'Raw Price Data'!B504)/'Raw Price Data'!B504</f>
        <v>-1.3752835014235364E-2</v>
      </c>
      <c r="C505" s="25">
        <f>('Raw Price Data'!C505-'Raw Price Data'!C504)/'Raw Price Data'!C504</f>
        <v>-3.4029221919139843E-3</v>
      </c>
      <c r="D505" s="25">
        <f>('Raw Price Data'!D505-'Raw Price Data'!D504)/'Raw Price Data'!D504</f>
        <v>-1.3085399449035818E-2</v>
      </c>
      <c r="E505" s="25">
        <f>('Raw Price Data'!E505-'Raw Price Data'!E504)/'Raw Price Data'!E504</f>
        <v>-2.4451476241533425E-2</v>
      </c>
      <c r="F505" s="25">
        <f>('Raw Price Data'!F505-'Raw Price Data'!F504)/'Raw Price Data'!F504</f>
        <v>-7.5568628844721588E-3</v>
      </c>
    </row>
    <row r="506" spans="1:6" ht="15" customHeight="1" x14ac:dyDescent="0.3">
      <c r="A506" s="19">
        <v>44172</v>
      </c>
      <c r="B506" s="26">
        <f>('Raw Price Data'!B506-'Raw Price Data'!B505)/'Raw Price Data'!B505</f>
        <v>1.1351404246990866E-2</v>
      </c>
      <c r="C506" s="26">
        <f>('Raw Price Data'!C506-'Raw Price Data'!C505)/'Raw Price Data'!C505</f>
        <v>1.4218223535044226E-2</v>
      </c>
      <c r="D506" s="26">
        <f>('Raw Price Data'!D506-'Raw Price Data'!D505)/'Raw Price Data'!D505</f>
        <v>-2.5529192835543234E-2</v>
      </c>
      <c r="E506" s="26">
        <f>('Raw Price Data'!E506-'Raw Price Data'!E505)/'Raw Price Data'!E505</f>
        <v>-3.4393094574308496E-2</v>
      </c>
      <c r="F506" s="26">
        <f>('Raw Price Data'!F506-'Raw Price Data'!F505)/'Raw Price Data'!F505</f>
        <v>1.3718776836314893E-2</v>
      </c>
    </row>
    <row r="507" spans="1:6" ht="15" customHeight="1" x14ac:dyDescent="0.3">
      <c r="A507" s="21">
        <v>44173</v>
      </c>
      <c r="B507" s="25">
        <f>('Raw Price Data'!B507-'Raw Price Data'!B506)/'Raw Price Data'!B506</f>
        <v>1.9932268988872785E-2</v>
      </c>
      <c r="C507" s="25">
        <f>('Raw Price Data'!C507-'Raw Price Data'!C506)/'Raw Price Data'!C506</f>
        <v>1.4962993311186295E-3</v>
      </c>
      <c r="D507" s="25">
        <f>('Raw Price Data'!D507-'Raw Price Data'!D506)/'Raw Price Data'!D506</f>
        <v>3.2762427642179445E-2</v>
      </c>
      <c r="E507" s="25">
        <f>('Raw Price Data'!E507-'Raw Price Data'!E506)/'Raw Price Data'!E506</f>
        <v>-1.4769162433025161E-2</v>
      </c>
      <c r="F507" s="25">
        <f>('Raw Price Data'!F507-'Raw Price Data'!F506)/'Raw Price Data'!F506</f>
        <v>-9.2227816334709053E-3</v>
      </c>
    </row>
    <row r="508" spans="1:6" ht="15" customHeight="1" x14ac:dyDescent="0.3">
      <c r="A508" s="19">
        <v>44174</v>
      </c>
      <c r="B508" s="26">
        <f>('Raw Price Data'!B508-'Raw Price Data'!B507)/'Raw Price Data'!B507</f>
        <v>3.6998387249786604E-3</v>
      </c>
      <c r="C508" s="26">
        <f>('Raw Price Data'!C508-'Raw Price Data'!C507)/'Raw Price Data'!C507</f>
        <v>-2.0694561785761911E-2</v>
      </c>
      <c r="D508" s="26">
        <f>('Raw Price Data'!D508-'Raw Price Data'!D507)/'Raw Price Data'!D507</f>
        <v>1.7161678030740778E-2</v>
      </c>
      <c r="E508" s="26">
        <f>('Raw Price Data'!E508-'Raw Price Data'!E507)/'Raw Price Data'!E507</f>
        <v>-1.4427005551015821E-2</v>
      </c>
      <c r="F508" s="26">
        <f>('Raw Price Data'!F508-'Raw Price Data'!F507)/'Raw Price Data'!F507</f>
        <v>-5.311403744112291E-3</v>
      </c>
    </row>
    <row r="509" spans="1:6" ht="15" customHeight="1" x14ac:dyDescent="0.3">
      <c r="A509" s="21">
        <v>44175</v>
      </c>
      <c r="B509" s="25">
        <f>('Raw Price Data'!B509-'Raw Price Data'!B508)/'Raw Price Data'!B508</f>
        <v>1.0444234404536901E-2</v>
      </c>
      <c r="C509" s="25">
        <f>('Raw Price Data'!C509-'Raw Price Data'!C508)/'Raw Price Data'!C508</f>
        <v>-8.3546740768999862E-4</v>
      </c>
      <c r="D509" s="25">
        <f>('Raw Price Data'!D509-'Raw Price Data'!D508)/'Raw Price Data'!D508</f>
        <v>-1.4145316139294491E-2</v>
      </c>
      <c r="E509" s="25">
        <f>('Raw Price Data'!E509-'Raw Price Data'!E508)/'Raw Price Data'!E508</f>
        <v>-1.4981273408239727E-2</v>
      </c>
      <c r="F509" s="25">
        <f>('Raw Price Data'!F509-'Raw Price Data'!F508)/'Raw Price Data'!F508</f>
        <v>-4.8762325002274579E-3</v>
      </c>
    </row>
    <row r="510" spans="1:6" ht="15" customHeight="1" x14ac:dyDescent="0.3">
      <c r="A510" s="19">
        <v>44176</v>
      </c>
      <c r="B510" s="26">
        <f>('Raw Price Data'!B510-'Raw Price Data'!B509)/'Raw Price Data'!B509</f>
        <v>1.1926476778448209E-2</v>
      </c>
      <c r="C510" s="26">
        <f>('Raw Price Data'!C510-'Raw Price Data'!C509)/'Raw Price Data'!C509</f>
        <v>-1.958627960663839E-2</v>
      </c>
      <c r="D510" s="26">
        <f>('Raw Price Data'!D510-'Raw Price Data'!D509)/'Raw Price Data'!D509</f>
        <v>2.5354385156159832E-3</v>
      </c>
      <c r="E510" s="26">
        <f>('Raw Price Data'!E510-'Raw Price Data'!E509)/'Raw Price Data'!E509</f>
        <v>-2.8154297158446886E-3</v>
      </c>
      <c r="F510" s="26">
        <f>('Raw Price Data'!F510-'Raw Price Data'!F509)/'Raw Price Data'!F509</f>
        <v>-6.0171387010771599E-3</v>
      </c>
    </row>
    <row r="511" spans="1:6" ht="15" customHeight="1" x14ac:dyDescent="0.3">
      <c r="A511" s="21">
        <v>44179</v>
      </c>
      <c r="B511" s="25">
        <f>('Raw Price Data'!B511-'Raw Price Data'!B510)/'Raw Price Data'!B510</f>
        <v>1.3218709558143766E-2</v>
      </c>
      <c r="C511" s="25">
        <f>('Raw Price Data'!C511-'Raw Price Data'!C510)/'Raw Price Data'!C510</f>
        <v>-1.0595989654309372E-2</v>
      </c>
      <c r="D511" s="25">
        <f>('Raw Price Data'!D511-'Raw Price Data'!D510)/'Raw Price Data'!D510</f>
        <v>1.023106104149903E-2</v>
      </c>
      <c r="E511" s="25">
        <f>('Raw Price Data'!E511-'Raw Price Data'!E510)/'Raw Price Data'!E510</f>
        <v>-8.4701362207475397E-3</v>
      </c>
      <c r="F511" s="25">
        <f>('Raw Price Data'!F511-'Raw Price Data'!F510)/'Raw Price Data'!F510</f>
        <v>-2.8505416178294562E-2</v>
      </c>
    </row>
    <row r="512" spans="1:6" ht="15" customHeight="1" x14ac:dyDescent="0.3">
      <c r="A512" s="19">
        <v>44180</v>
      </c>
      <c r="B512" s="26">
        <f>('Raw Price Data'!B512-'Raw Price Data'!B511)/'Raw Price Data'!B511</f>
        <v>4.5160113128364619E-3</v>
      </c>
      <c r="C512" s="26">
        <f>('Raw Price Data'!C512-'Raw Price Data'!C511)/'Raw Price Data'!C511</f>
        <v>-1.5965819653699091E-2</v>
      </c>
      <c r="D512" s="26">
        <f>('Raw Price Data'!D512-'Raw Price Data'!D511)/'Raw Price Data'!D511</f>
        <v>-7.2826581702321418E-3</v>
      </c>
      <c r="E512" s="26">
        <f>('Raw Price Data'!E512-'Raw Price Data'!E511)/'Raw Price Data'!E511</f>
        <v>-2.4189050344928673E-2</v>
      </c>
      <c r="F512" s="26">
        <f>('Raw Price Data'!F512-'Raw Price Data'!F511)/'Raw Price Data'!F511</f>
        <v>-1.7321955784670204E-2</v>
      </c>
    </row>
    <row r="513" spans="1:6" ht="15" customHeight="1" x14ac:dyDescent="0.3">
      <c r="A513" s="21">
        <v>44181</v>
      </c>
      <c r="B513" s="25">
        <f>('Raw Price Data'!B513-'Raw Price Data'!B512)/'Raw Price Data'!B512</f>
        <v>3.2241950865082398E-3</v>
      </c>
      <c r="C513" s="25">
        <f>('Raw Price Data'!C513-'Raw Price Data'!C512)/'Raw Price Data'!C512</f>
        <v>6.4651889092016716E-3</v>
      </c>
      <c r="D513" s="25">
        <f>('Raw Price Data'!D513-'Raw Price Data'!D512)/'Raw Price Data'!D512</f>
        <v>2.2925263640531868E-2</v>
      </c>
      <c r="E513" s="25">
        <f>('Raw Price Data'!E513-'Raw Price Data'!E512)/'Raw Price Data'!E512</f>
        <v>-1.4439998796667312E-3</v>
      </c>
      <c r="F513" s="25">
        <f>('Raw Price Data'!F513-'Raw Price Data'!F512)/'Raw Price Data'!F512</f>
        <v>2.0690160794871789E-3</v>
      </c>
    </row>
    <row r="514" spans="1:6" ht="15" customHeight="1" x14ac:dyDescent="0.3">
      <c r="A514" s="19">
        <v>44182</v>
      </c>
      <c r="B514" s="26">
        <f>('Raw Price Data'!B514-'Raw Price Data'!B513)/'Raw Price Data'!B513</f>
        <v>1.2312149194278468E-2</v>
      </c>
      <c r="C514" s="26">
        <f>('Raw Price Data'!C514-'Raw Price Data'!C513)/'Raw Price Data'!C513</f>
        <v>3.8882529351107606E-3</v>
      </c>
      <c r="D514" s="26">
        <f>('Raw Price Data'!D514-'Raw Price Data'!D513)/'Raw Price Data'!D513</f>
        <v>-7.339757956073523E-3</v>
      </c>
      <c r="E514" s="26">
        <f>('Raw Price Data'!E514-'Raw Price Data'!E513)/'Raw Price Data'!E513</f>
        <v>6.8086644774500368E-3</v>
      </c>
      <c r="F514" s="26">
        <f>('Raw Price Data'!F514-'Raw Price Data'!F513)/'Raw Price Data'!F513</f>
        <v>1.5959010400969594E-2</v>
      </c>
    </row>
    <row r="515" spans="1:6" ht="15" customHeight="1" x14ac:dyDescent="0.3">
      <c r="A515" s="21">
        <v>44183</v>
      </c>
      <c r="B515" s="25">
        <f>('Raw Price Data'!B515-'Raw Price Data'!B514)/'Raw Price Data'!B514</f>
        <v>1.2520121624038686E-3</v>
      </c>
      <c r="C515" s="25">
        <f>('Raw Price Data'!C515-'Raw Price Data'!C514)/'Raw Price Data'!C514</f>
        <v>-2.2683152081723581E-2</v>
      </c>
      <c r="D515" s="25">
        <f>('Raw Price Data'!D515-'Raw Price Data'!D514)/'Raw Price Data'!D514</f>
        <v>1.5973358920810591E-2</v>
      </c>
      <c r="E515" s="25">
        <f>('Raw Price Data'!E515-'Raw Price Data'!E514)/'Raw Price Data'!E514</f>
        <v>-8.8273138035249062E-3</v>
      </c>
      <c r="F515" s="25">
        <f>('Raw Price Data'!F515-'Raw Price Data'!F514)/'Raw Price Data'!F514</f>
        <v>8.1244894777351521E-3</v>
      </c>
    </row>
    <row r="516" spans="1:6" ht="15" customHeight="1" x14ac:dyDescent="0.3">
      <c r="A516" s="19">
        <v>44186</v>
      </c>
      <c r="B516" s="26">
        <f>('Raw Price Data'!B516-'Raw Price Data'!B515)/'Raw Price Data'!B515</f>
        <v>-1.3174347981421886E-2</v>
      </c>
      <c r="C516" s="26">
        <f>('Raw Price Data'!C516-'Raw Price Data'!C515)/'Raw Price Data'!C515</f>
        <v>-1.5630574599593012E-2</v>
      </c>
      <c r="D516" s="26">
        <f>('Raw Price Data'!D516-'Raw Price Data'!D515)/'Raw Price Data'!D515</f>
        <v>-9.5000000000000449E-3</v>
      </c>
      <c r="E516" s="26">
        <f>('Raw Price Data'!E516-'Raw Price Data'!E515)/'Raw Price Data'!E515</f>
        <v>1.5940103852191682E-2</v>
      </c>
      <c r="F516" s="26">
        <f>('Raw Price Data'!F516-'Raw Price Data'!F515)/'Raw Price Data'!F515</f>
        <v>-5.5299885070661829E-3</v>
      </c>
    </row>
    <row r="517" spans="1:6" ht="15" customHeight="1" x14ac:dyDescent="0.3">
      <c r="A517" s="21">
        <v>44187</v>
      </c>
      <c r="B517" s="25">
        <f>('Raw Price Data'!B517-'Raw Price Data'!B516)/'Raw Price Data'!B516</f>
        <v>6.7882517988869843E-4</v>
      </c>
      <c r="C517" s="25">
        <f>('Raw Price Data'!C517-'Raw Price Data'!C516)/'Raw Price Data'!C516</f>
        <v>5.4855709891654626E-4</v>
      </c>
      <c r="D517" s="25">
        <f>('Raw Price Data'!D517-'Raw Price Data'!D516)/'Raw Price Data'!D516</f>
        <v>8.3571709013405635E-3</v>
      </c>
      <c r="E517" s="25">
        <f>('Raw Price Data'!E517-'Raw Price Data'!E516)/'Raw Price Data'!E516</f>
        <v>6.4483537382622608E-3</v>
      </c>
      <c r="F517" s="25">
        <f>('Raw Price Data'!F517-'Raw Price Data'!F516)/'Raw Price Data'!F516</f>
        <v>-1.090416115624672E-3</v>
      </c>
    </row>
    <row r="518" spans="1:6" ht="15" customHeight="1" x14ac:dyDescent="0.3">
      <c r="A518" s="19">
        <v>44188</v>
      </c>
      <c r="B518" s="26">
        <f>('Raw Price Data'!B518-'Raw Price Data'!B517)/'Raw Price Data'!B517</f>
        <v>-2.5868306801736608E-2</v>
      </c>
      <c r="C518" s="26">
        <f>('Raw Price Data'!C518-'Raw Price Data'!C517)/'Raw Price Data'!C517</f>
        <v>8.7818918760158814E-3</v>
      </c>
      <c r="D518" s="26">
        <f>('Raw Price Data'!D518-'Raw Price Data'!D517)/'Raw Price Data'!D517</f>
        <v>2.4808098787406873E-2</v>
      </c>
      <c r="E518" s="26">
        <f>('Raw Price Data'!E518-'Raw Price Data'!E517)/'Raw Price Data'!E517</f>
        <v>7.8242640762938888E-3</v>
      </c>
      <c r="F518" s="26">
        <f>('Raw Price Data'!F518-'Raw Price Data'!F517)/'Raw Price Data'!F517</f>
        <v>-1.8667546619588169E-2</v>
      </c>
    </row>
    <row r="519" spans="1:6" ht="15" customHeight="1" x14ac:dyDescent="0.3">
      <c r="A519" s="21">
        <v>44189</v>
      </c>
      <c r="B519" s="25">
        <f>('Raw Price Data'!B519-'Raw Price Data'!B518)/'Raw Price Data'!B518</f>
        <v>2.3212627669444265E-4</v>
      </c>
      <c r="C519" s="25">
        <f>('Raw Price Data'!C519-'Raw Price Data'!C518)/'Raw Price Data'!C518</f>
        <v>1.8730771843669253E-3</v>
      </c>
      <c r="D519" s="25">
        <f>('Raw Price Data'!D519-'Raw Price Data'!D518)/'Raw Price Data'!D518</f>
        <v>7.8701693443334157E-3</v>
      </c>
      <c r="E519" s="25">
        <f>('Raw Price Data'!E519-'Raw Price Data'!E518)/'Raw Price Data'!E518</f>
        <v>-6.5623718286750817E-3</v>
      </c>
      <c r="F519" s="25">
        <f>('Raw Price Data'!F519-'Raw Price Data'!F518)/'Raw Price Data'!F518</f>
        <v>-2.5528195209046653E-3</v>
      </c>
    </row>
    <row r="520" spans="1:6" ht="15" customHeight="1" x14ac:dyDescent="0.3">
      <c r="A520" s="19">
        <v>44190</v>
      </c>
      <c r="B520" s="26">
        <f>('Raw Price Data'!B520-'Raw Price Data'!B519)/'Raw Price Data'!B519</f>
        <v>6.0338825713623185E-3</v>
      </c>
      <c r="C520" s="26">
        <f>('Raw Price Data'!C520-'Raw Price Data'!C519)/'Raw Price Data'!C519</f>
        <v>-3.8331137631742035E-2</v>
      </c>
      <c r="D520" s="26">
        <f>('Raw Price Data'!D520-'Raw Price Data'!D519)/'Raw Price Data'!D519</f>
        <v>-7.2701814852711207E-3</v>
      </c>
      <c r="E520" s="26">
        <f>('Raw Price Data'!E520-'Raw Price Data'!E519)/'Raw Price Data'!E519</f>
        <v>8.2866411088174646E-3</v>
      </c>
      <c r="F520" s="26">
        <f>('Raw Price Data'!F520-'Raw Price Data'!F519)/'Raw Price Data'!F519</f>
        <v>-2.3672990527447342E-3</v>
      </c>
    </row>
    <row r="521" spans="1:6" ht="15" customHeight="1" x14ac:dyDescent="0.3">
      <c r="A521" s="21">
        <v>44193</v>
      </c>
      <c r="B521" s="25">
        <f>('Raw Price Data'!B521-'Raw Price Data'!B520)/'Raw Price Data'!B520</f>
        <v>1.7439446366782012E-2</v>
      </c>
      <c r="C521" s="25">
        <f>('Raw Price Data'!C521-'Raw Price Data'!C520)/'Raw Price Data'!C520</f>
        <v>2.3298917149332656E-2</v>
      </c>
      <c r="D521" s="25">
        <f>('Raw Price Data'!D521-'Raw Price Data'!D520)/'Raw Price Data'!D520</f>
        <v>3.9058261907345061E-3</v>
      </c>
      <c r="E521" s="25">
        <f>('Raw Price Data'!E521-'Raw Price Data'!E520)/'Raw Price Data'!E520</f>
        <v>1.3366090491649829E-2</v>
      </c>
      <c r="F521" s="25">
        <f>('Raw Price Data'!F521-'Raw Price Data'!F520)/'Raw Price Data'!F520</f>
        <v>-6.3485234127382828E-3</v>
      </c>
    </row>
    <row r="522" spans="1:6" ht="15" customHeight="1" x14ac:dyDescent="0.3">
      <c r="A522" s="19">
        <v>44194</v>
      </c>
      <c r="B522" s="26">
        <f>('Raw Price Data'!B522-'Raw Price Data'!B521)/'Raw Price Data'!B521</f>
        <v>2.4486464426608265E-3</v>
      </c>
      <c r="C522" s="26">
        <f>('Raw Price Data'!C522-'Raw Price Data'!C521)/'Raw Price Data'!C521</f>
        <v>3.1854156002677492E-2</v>
      </c>
      <c r="D522" s="26">
        <f>('Raw Price Data'!D522-'Raw Price Data'!D521)/'Raw Price Data'!D521</f>
        <v>1.1779963255160526E-2</v>
      </c>
      <c r="E522" s="26">
        <f>('Raw Price Data'!E522-'Raw Price Data'!E521)/'Raw Price Data'!E521</f>
        <v>-3.5990533364119219E-2</v>
      </c>
      <c r="F522" s="26">
        <f>('Raw Price Data'!F522-'Raw Price Data'!F521)/'Raw Price Data'!F521</f>
        <v>7.1031001929684773E-3</v>
      </c>
    </row>
    <row r="523" spans="1:6" ht="15" customHeight="1" x14ac:dyDescent="0.3">
      <c r="A523" s="21">
        <v>44195</v>
      </c>
      <c r="B523" s="25">
        <f>('Raw Price Data'!B523-'Raw Price Data'!B522)/'Raw Price Data'!B522</f>
        <v>1.3163251458813936E-2</v>
      </c>
      <c r="C523" s="25">
        <f>('Raw Price Data'!C523-'Raw Price Data'!C522)/'Raw Price Data'!C522</f>
        <v>2.8533541936961081E-2</v>
      </c>
      <c r="D523" s="25">
        <f>('Raw Price Data'!D523-'Raw Price Data'!D522)/'Raw Price Data'!D522</f>
        <v>-6.3554795983764029E-3</v>
      </c>
      <c r="E523" s="25">
        <f>('Raw Price Data'!E523-'Raw Price Data'!E522)/'Raw Price Data'!E522</f>
        <v>2.0688003353193093E-2</v>
      </c>
      <c r="F523" s="25">
        <f>('Raw Price Data'!F523-'Raw Price Data'!F522)/'Raw Price Data'!F522</f>
        <v>4.7986860344845029E-3</v>
      </c>
    </row>
    <row r="524" spans="1:6" ht="15" customHeight="1" x14ac:dyDescent="0.3">
      <c r="A524" s="19">
        <v>44196</v>
      </c>
      <c r="B524" s="26">
        <f>('Raw Price Data'!B524-'Raw Price Data'!B523)/'Raw Price Data'!B523</f>
        <v>3.1252790427726407E-4</v>
      </c>
      <c r="C524" s="26">
        <f>('Raw Price Data'!C524-'Raw Price Data'!C523)/'Raw Price Data'!C523</f>
        <v>1.0193386820015774E-2</v>
      </c>
      <c r="D524" s="26">
        <f>('Raw Price Data'!D524-'Raw Price Data'!D523)/'Raw Price Data'!D523</f>
        <v>-5.8048911582908487E-3</v>
      </c>
      <c r="E524" s="26">
        <f>('Raw Price Data'!E524-'Raw Price Data'!E523)/'Raw Price Data'!E523</f>
        <v>-9.1810395400680374E-3</v>
      </c>
      <c r="F524" s="26">
        <f>('Raw Price Data'!F524-'Raw Price Data'!F523)/'Raw Price Data'!F523</f>
        <v>6.607412413726978E-3</v>
      </c>
    </row>
    <row r="525" spans="1:6" ht="15" customHeight="1" x14ac:dyDescent="0.3">
      <c r="A525" s="21">
        <v>44197</v>
      </c>
      <c r="B525" s="25">
        <f>('Raw Price Data'!B525-'Raw Price Data'!B524)/'Raw Price Data'!B524</f>
        <v>-1.3880830171836703E-2</v>
      </c>
      <c r="C525" s="25">
        <f>('Raw Price Data'!C525-'Raw Price Data'!C524)/'Raw Price Data'!C524</f>
        <v>1.2441008502120897E-2</v>
      </c>
      <c r="D525" s="25">
        <f>('Raw Price Data'!D525-'Raw Price Data'!D524)/'Raw Price Data'!D524</f>
        <v>2.8166729739957874E-2</v>
      </c>
      <c r="E525" s="25">
        <f>('Raw Price Data'!E525-'Raw Price Data'!E524)/'Raw Price Data'!E524</f>
        <v>1.2759406731993257E-2</v>
      </c>
      <c r="F525" s="25">
        <f>('Raw Price Data'!F525-'Raw Price Data'!F524)/'Raw Price Data'!F524</f>
        <v>2.5335089801075229E-2</v>
      </c>
    </row>
    <row r="526" spans="1:6" ht="15" customHeight="1" x14ac:dyDescent="0.3">
      <c r="A526" s="19">
        <v>44200</v>
      </c>
      <c r="B526" s="26">
        <f>('Raw Price Data'!B526-'Raw Price Data'!B525)/'Raw Price Data'!B525</f>
        <v>-1.9235991671947134E-2</v>
      </c>
      <c r="C526" s="26">
        <f>('Raw Price Data'!C526-'Raw Price Data'!C525)/'Raw Price Data'!C525</f>
        <v>-1.0936890694574127E-2</v>
      </c>
      <c r="D526" s="26">
        <f>('Raw Price Data'!D526-'Raw Price Data'!D525)/'Raw Price Data'!D525</f>
        <v>2.2399831738353089E-2</v>
      </c>
      <c r="E526" s="26">
        <f>('Raw Price Data'!E526-'Raw Price Data'!E525)/'Raw Price Data'!E525</f>
        <v>-4.3116047939199063E-2</v>
      </c>
      <c r="F526" s="26">
        <f>('Raw Price Data'!F526-'Raw Price Data'!F525)/'Raw Price Data'!F525</f>
        <v>6.4212999498975245E-3</v>
      </c>
    </row>
    <row r="527" spans="1:6" ht="15" customHeight="1" x14ac:dyDescent="0.3">
      <c r="A527" s="21">
        <v>44201</v>
      </c>
      <c r="B527" s="25">
        <f>('Raw Price Data'!B527-'Raw Price Data'!B526)/'Raw Price Data'!B526</f>
        <v>-1.3106280862061025E-2</v>
      </c>
      <c r="C527" s="25">
        <f>('Raw Price Data'!C527-'Raw Price Data'!C526)/'Raw Price Data'!C526</f>
        <v>3.9151682972226893E-3</v>
      </c>
      <c r="D527" s="25">
        <f>('Raw Price Data'!D527-'Raw Price Data'!D526)/'Raw Price Data'!D526</f>
        <v>-1.0080230405266448E-2</v>
      </c>
      <c r="E527" s="25">
        <f>('Raw Price Data'!E527-'Raw Price Data'!E526)/'Raw Price Data'!E526</f>
        <v>-7.7287307163587272E-3</v>
      </c>
      <c r="F527" s="25">
        <f>('Raw Price Data'!F527-'Raw Price Data'!F526)/'Raw Price Data'!F526</f>
        <v>-2.1991067359141185E-2</v>
      </c>
    </row>
    <row r="528" spans="1:6" ht="15" customHeight="1" x14ac:dyDescent="0.3">
      <c r="A528" s="19">
        <v>44202</v>
      </c>
      <c r="B528" s="26">
        <f>('Raw Price Data'!B528-'Raw Price Data'!B527)/'Raw Price Data'!B527</f>
        <v>-1.861117605798452E-2</v>
      </c>
      <c r="C528" s="26">
        <f>('Raw Price Data'!C528-'Raw Price Data'!C527)/'Raw Price Data'!C527</f>
        <v>-1.9344232349986355E-2</v>
      </c>
      <c r="D528" s="26">
        <f>('Raw Price Data'!D528-'Raw Price Data'!D527)/'Raw Price Data'!D527</f>
        <v>-2.0365752285951725E-2</v>
      </c>
      <c r="E528" s="26">
        <f>('Raw Price Data'!E528-'Raw Price Data'!E527)/'Raw Price Data'!E527</f>
        <v>-3.1617511236992739E-2</v>
      </c>
      <c r="F528" s="26">
        <f>('Raw Price Data'!F528-'Raw Price Data'!F527)/'Raw Price Data'!F527</f>
        <v>-1.5470296010686816E-2</v>
      </c>
    </row>
    <row r="529" spans="1:6" ht="15" customHeight="1" x14ac:dyDescent="0.3">
      <c r="A529" s="21">
        <v>44203</v>
      </c>
      <c r="B529" s="25">
        <f>('Raw Price Data'!B529-'Raw Price Data'!B528)/'Raw Price Data'!B528</f>
        <v>9.1008719683613494E-3</v>
      </c>
      <c r="C529" s="25">
        <f>('Raw Price Data'!C529-'Raw Price Data'!C528)/'Raw Price Data'!C528</f>
        <v>2.7381440226502763E-3</v>
      </c>
      <c r="D529" s="25">
        <f>('Raw Price Data'!D529-'Raw Price Data'!D528)/'Raw Price Data'!D528</f>
        <v>-1.9781501909206564E-2</v>
      </c>
      <c r="E529" s="25">
        <f>('Raw Price Data'!E529-'Raw Price Data'!E528)/'Raw Price Data'!E528</f>
        <v>-2.3525671594341411E-3</v>
      </c>
      <c r="F529" s="25">
        <f>('Raw Price Data'!F529-'Raw Price Data'!F528)/'Raw Price Data'!F528</f>
        <v>-3.2578641271802572E-4</v>
      </c>
    </row>
    <row r="530" spans="1:6" ht="15" customHeight="1" x14ac:dyDescent="0.3">
      <c r="A530" s="19">
        <v>44204</v>
      </c>
      <c r="B530" s="26">
        <f>('Raw Price Data'!B530-'Raw Price Data'!B529)/'Raw Price Data'!B529</f>
        <v>-2.5970346586080429E-3</v>
      </c>
      <c r="C530" s="26">
        <f>('Raw Price Data'!C530-'Raw Price Data'!C529)/'Raw Price Data'!C529</f>
        <v>-2.4613155499414854E-2</v>
      </c>
      <c r="D530" s="26">
        <f>('Raw Price Data'!D530-'Raw Price Data'!D529)/'Raw Price Data'!D529</f>
        <v>-1.7204999188443471E-2</v>
      </c>
      <c r="E530" s="26">
        <f>('Raw Price Data'!E530-'Raw Price Data'!E529)/'Raw Price Data'!E529</f>
        <v>3.9195691660559515E-3</v>
      </c>
      <c r="F530" s="26">
        <f>('Raw Price Data'!F530-'Raw Price Data'!F529)/'Raw Price Data'!F529</f>
        <v>-9.7429426966319614E-3</v>
      </c>
    </row>
    <row r="531" spans="1:6" ht="15" customHeight="1" x14ac:dyDescent="0.3">
      <c r="A531" s="21">
        <v>44207</v>
      </c>
      <c r="B531" s="25">
        <f>('Raw Price Data'!B531-'Raw Price Data'!B530)/'Raw Price Data'!B530</f>
        <v>8.2374662689959251E-3</v>
      </c>
      <c r="C531" s="25">
        <f>('Raw Price Data'!C531-'Raw Price Data'!C530)/'Raw Price Data'!C530</f>
        <v>1.0912622838424438E-2</v>
      </c>
      <c r="D531" s="25">
        <f>('Raw Price Data'!D531-'Raw Price Data'!D530)/'Raw Price Data'!D530</f>
        <v>-4.0737682356179966E-3</v>
      </c>
      <c r="E531" s="25">
        <f>('Raw Price Data'!E531-'Raw Price Data'!E530)/'Raw Price Data'!E530</f>
        <v>8.1576942610461934E-3</v>
      </c>
      <c r="F531" s="25">
        <f>('Raw Price Data'!F531-'Raw Price Data'!F530)/'Raw Price Data'!F530</f>
        <v>-2.5062586064638942E-3</v>
      </c>
    </row>
    <row r="532" spans="1:6" ht="15" customHeight="1" x14ac:dyDescent="0.3">
      <c r="A532" s="19">
        <v>44208</v>
      </c>
      <c r="B532" s="26">
        <f>('Raw Price Data'!B532-'Raw Price Data'!B531)/'Raw Price Data'!B531</f>
        <v>1.3616941353241866E-3</v>
      </c>
      <c r="C532" s="26">
        <f>('Raw Price Data'!C532-'Raw Price Data'!C531)/'Raw Price Data'!C531</f>
        <v>-5.6611593602230474E-3</v>
      </c>
      <c r="D532" s="26">
        <f>('Raw Price Data'!D532-'Raw Price Data'!D531)/'Raw Price Data'!D531</f>
        <v>-7.7386545796244736E-4</v>
      </c>
      <c r="E532" s="26">
        <f>('Raw Price Data'!E532-'Raw Price Data'!E531)/'Raw Price Data'!E531</f>
        <v>8.8158433298691065E-4</v>
      </c>
      <c r="F532" s="26">
        <f>('Raw Price Data'!F532-'Raw Price Data'!F531)/'Raw Price Data'!F531</f>
        <v>1.6391273621082097E-2</v>
      </c>
    </row>
    <row r="533" spans="1:6" ht="15" customHeight="1" x14ac:dyDescent="0.3">
      <c r="A533" s="21">
        <v>44209</v>
      </c>
      <c r="B533" s="25">
        <f>('Raw Price Data'!B533-'Raw Price Data'!B532)/'Raw Price Data'!B532</f>
        <v>1.4770702428959982E-2</v>
      </c>
      <c r="C533" s="25">
        <f>('Raw Price Data'!C533-'Raw Price Data'!C532)/'Raw Price Data'!C532</f>
        <v>1.4124534629266569E-2</v>
      </c>
      <c r="D533" s="25">
        <f>('Raw Price Data'!D533-'Raw Price Data'!D532)/'Raw Price Data'!D532</f>
        <v>-2.1408419538640287E-2</v>
      </c>
      <c r="E533" s="25">
        <f>('Raw Price Data'!E533-'Raw Price Data'!E532)/'Raw Price Data'!E532</f>
        <v>-2.3184120293183192E-2</v>
      </c>
      <c r="F533" s="25">
        <f>('Raw Price Data'!F533-'Raw Price Data'!F532)/'Raw Price Data'!F532</f>
        <v>1.2634232938369867E-3</v>
      </c>
    </row>
    <row r="534" spans="1:6" ht="15" customHeight="1" x14ac:dyDescent="0.3">
      <c r="A534" s="19">
        <v>44210</v>
      </c>
      <c r="B534" s="26">
        <f>('Raw Price Data'!B534-'Raw Price Data'!B533)/'Raw Price Data'!B533</f>
        <v>1.501779030543875E-2</v>
      </c>
      <c r="C534" s="26">
        <f>('Raw Price Data'!C534-'Raw Price Data'!C533)/'Raw Price Data'!C533</f>
        <v>3.8205731793893791E-3</v>
      </c>
      <c r="D534" s="26">
        <f>('Raw Price Data'!D534-'Raw Price Data'!D533)/'Raw Price Data'!D533</f>
        <v>2.8264556246466932E-3</v>
      </c>
      <c r="E534" s="26">
        <f>('Raw Price Data'!E534-'Raw Price Data'!E533)/'Raw Price Data'!E533</f>
        <v>2.5086950921035748E-2</v>
      </c>
      <c r="F534" s="26">
        <f>('Raw Price Data'!F534-'Raw Price Data'!F533)/'Raw Price Data'!F533</f>
        <v>-1.3368027622276169E-2</v>
      </c>
    </row>
    <row r="535" spans="1:6" ht="15" customHeight="1" x14ac:dyDescent="0.3">
      <c r="A535" s="21">
        <v>44211</v>
      </c>
      <c r="B535" s="25">
        <f>('Raw Price Data'!B535-'Raw Price Data'!B534)/'Raw Price Data'!B534</f>
        <v>-8.6497314030775097E-3</v>
      </c>
      <c r="C535" s="25">
        <f>('Raw Price Data'!C535-'Raw Price Data'!C534)/'Raw Price Data'!C534</f>
        <v>-7.5097011939214576E-3</v>
      </c>
      <c r="D535" s="25">
        <f>('Raw Price Data'!D535-'Raw Price Data'!D534)/'Raw Price Data'!D534</f>
        <v>-4.5321307779030394E-2</v>
      </c>
      <c r="E535" s="25">
        <f>('Raw Price Data'!E535-'Raw Price Data'!E534)/'Raw Price Data'!E534</f>
        <v>-2.4944236750337714E-2</v>
      </c>
      <c r="F535" s="25">
        <f>('Raw Price Data'!F535-'Raw Price Data'!F534)/'Raw Price Data'!F534</f>
        <v>1.6581236248689277E-2</v>
      </c>
    </row>
    <row r="536" spans="1:6" ht="15" customHeight="1" x14ac:dyDescent="0.3">
      <c r="A536" s="19">
        <v>44214</v>
      </c>
      <c r="B536" s="26">
        <f>('Raw Price Data'!B536-'Raw Price Data'!B535)/'Raw Price Data'!B535</f>
        <v>-3.4900808229242786E-3</v>
      </c>
      <c r="C536" s="26">
        <f>('Raw Price Data'!C536-'Raw Price Data'!C535)/'Raw Price Data'!C535</f>
        <v>1.5470587132221951E-2</v>
      </c>
      <c r="D536" s="26">
        <f>('Raw Price Data'!D536-'Raw Price Data'!D535)/'Raw Price Data'!D535</f>
        <v>2.5980160604629054E-3</v>
      </c>
      <c r="E536" s="26">
        <f>('Raw Price Data'!E536-'Raw Price Data'!E535)/'Raw Price Data'!E535</f>
        <v>-5.8961884202725261E-3</v>
      </c>
      <c r="F536" s="26">
        <f>('Raw Price Data'!F536-'Raw Price Data'!F535)/'Raw Price Data'!F535</f>
        <v>-1.9449032582107245E-3</v>
      </c>
    </row>
    <row r="537" spans="1:6" ht="15" customHeight="1" x14ac:dyDescent="0.3">
      <c r="A537" s="21">
        <v>44215</v>
      </c>
      <c r="B537" s="25">
        <f>('Raw Price Data'!B537-'Raw Price Data'!B536)/'Raw Price Data'!B536</f>
        <v>-7.0506912442396368E-3</v>
      </c>
      <c r="C537" s="25">
        <f>('Raw Price Data'!C537-'Raw Price Data'!C536)/'Raw Price Data'!C536</f>
        <v>-2.0100827300930699E-2</v>
      </c>
      <c r="D537" s="25">
        <f>('Raw Price Data'!D537-'Raw Price Data'!D536)/'Raw Price Data'!D536</f>
        <v>2.5736160188456866E-2</v>
      </c>
      <c r="E537" s="25">
        <f>('Raw Price Data'!E537-'Raw Price Data'!E536)/'Raw Price Data'!E536</f>
        <v>-1.4195890322162426E-2</v>
      </c>
      <c r="F537" s="25">
        <f>('Raw Price Data'!F537-'Raw Price Data'!F536)/'Raw Price Data'!F536</f>
        <v>-2.3684345682077211E-4</v>
      </c>
    </row>
    <row r="538" spans="1:6" ht="15" customHeight="1" x14ac:dyDescent="0.3">
      <c r="A538" s="19">
        <v>44216</v>
      </c>
      <c r="B538" s="26">
        <f>('Raw Price Data'!B538-'Raw Price Data'!B537)/'Raw Price Data'!B537</f>
        <v>-2.2137652573444147E-2</v>
      </c>
      <c r="C538" s="26">
        <f>('Raw Price Data'!C538-'Raw Price Data'!C537)/'Raw Price Data'!C537</f>
        <v>-4.0800173377179482E-3</v>
      </c>
      <c r="D538" s="26">
        <f>('Raw Price Data'!D538-'Raw Price Data'!D537)/'Raw Price Data'!D537</f>
        <v>-1.8717345122581334E-2</v>
      </c>
      <c r="E538" s="26">
        <f>('Raw Price Data'!E538-'Raw Price Data'!E537)/'Raw Price Data'!E537</f>
        <v>-1.0915307732772389E-2</v>
      </c>
      <c r="F538" s="26">
        <f>('Raw Price Data'!F538-'Raw Price Data'!F537)/'Raw Price Data'!F537</f>
        <v>2.76795521304701E-3</v>
      </c>
    </row>
    <row r="539" spans="1:6" ht="15" customHeight="1" x14ac:dyDescent="0.3">
      <c r="A539" s="21">
        <v>44217</v>
      </c>
      <c r="B539" s="25">
        <f>('Raw Price Data'!B539-'Raw Price Data'!B538)/'Raw Price Data'!B538</f>
        <v>9.6820123398197473E-3</v>
      </c>
      <c r="C539" s="25">
        <f>('Raw Price Data'!C539-'Raw Price Data'!C538)/'Raw Price Data'!C538</f>
        <v>-8.884137226332715E-3</v>
      </c>
      <c r="D539" s="25">
        <f>('Raw Price Data'!D539-'Raw Price Data'!D538)/'Raw Price Data'!D538</f>
        <v>-4.4994441518928077E-2</v>
      </c>
      <c r="E539" s="25">
        <f>('Raw Price Data'!E539-'Raw Price Data'!E538)/'Raw Price Data'!E538</f>
        <v>-2.6027124052652523E-2</v>
      </c>
      <c r="F539" s="25">
        <f>('Raw Price Data'!F539-'Raw Price Data'!F538)/'Raw Price Data'!F538</f>
        <v>6.1764784471916023E-3</v>
      </c>
    </row>
    <row r="540" spans="1:6" ht="15" customHeight="1" x14ac:dyDescent="0.3">
      <c r="A540" s="19">
        <v>44218</v>
      </c>
      <c r="B540" s="26">
        <f>('Raw Price Data'!B540-'Raw Price Data'!B539)/'Raw Price Data'!B539</f>
        <v>1.6781047287769076E-2</v>
      </c>
      <c r="C540" s="26">
        <f>('Raw Price Data'!C540-'Raw Price Data'!C539)/'Raw Price Data'!C539</f>
        <v>1.3717722304424723E-2</v>
      </c>
      <c r="D540" s="26">
        <f>('Raw Price Data'!D540-'Raw Price Data'!D539)/'Raw Price Data'!D539</f>
        <v>3.0633500796471021E-3</v>
      </c>
      <c r="E540" s="26">
        <f>('Raw Price Data'!E540-'Raw Price Data'!E539)/'Raw Price Data'!E539</f>
        <v>2.0989044742500372E-2</v>
      </c>
      <c r="F540" s="26">
        <f>('Raw Price Data'!F540-'Raw Price Data'!F539)/'Raw Price Data'!F539</f>
        <v>-7.985608980980545E-3</v>
      </c>
    </row>
    <row r="541" spans="1:6" ht="15" customHeight="1" x14ac:dyDescent="0.3">
      <c r="A541" s="21">
        <v>44221</v>
      </c>
      <c r="B541" s="25">
        <f>('Raw Price Data'!B541-'Raw Price Data'!B540)/'Raw Price Data'!B540</f>
        <v>2.3114973880084772E-4</v>
      </c>
      <c r="C541" s="25">
        <f>('Raw Price Data'!C541-'Raw Price Data'!C540)/'Raw Price Data'!C540</f>
        <v>-7.4393551303296251E-4</v>
      </c>
      <c r="D541" s="25">
        <f>('Raw Price Data'!D541-'Raw Price Data'!D540)/'Raw Price Data'!D540</f>
        <v>1.1421939897385809E-2</v>
      </c>
      <c r="E541" s="25">
        <f>('Raw Price Data'!E541-'Raw Price Data'!E540)/'Raw Price Data'!E540</f>
        <v>1.4574140927931396E-2</v>
      </c>
      <c r="F541" s="25">
        <f>('Raw Price Data'!F541-'Raw Price Data'!F540)/'Raw Price Data'!F540</f>
        <v>1.0444071507826999E-3</v>
      </c>
    </row>
    <row r="542" spans="1:6" ht="15" customHeight="1" x14ac:dyDescent="0.3">
      <c r="A542" s="19">
        <v>44222</v>
      </c>
      <c r="B542" s="26">
        <f>('Raw Price Data'!B542-'Raw Price Data'!B541)/'Raw Price Data'!B541</f>
        <v>-6.5169162506934037E-3</v>
      </c>
      <c r="C542" s="26">
        <f>('Raw Price Data'!C542-'Raw Price Data'!C541)/'Raw Price Data'!C541</f>
        <v>5.3622082120002509E-3</v>
      </c>
      <c r="D542" s="26">
        <f>('Raw Price Data'!D542-'Raw Price Data'!D541)/'Raw Price Data'!D541</f>
        <v>-6.039012017633915E-3</v>
      </c>
      <c r="E542" s="26">
        <f>('Raw Price Data'!E542-'Raw Price Data'!E541)/'Raw Price Data'!E541</f>
        <v>1.8120716921455305E-3</v>
      </c>
      <c r="F542" s="26">
        <f>('Raw Price Data'!F542-'Raw Price Data'!F541)/'Raw Price Data'!F541</f>
        <v>1.4457426024879195E-2</v>
      </c>
    </row>
    <row r="543" spans="1:6" ht="15" customHeight="1" x14ac:dyDescent="0.3">
      <c r="A543" s="21">
        <v>44223</v>
      </c>
      <c r="B543" s="25">
        <f>('Raw Price Data'!B543-'Raw Price Data'!B542)/'Raw Price Data'!B542</f>
        <v>1.5445452430797962E-2</v>
      </c>
      <c r="C543" s="25">
        <f>('Raw Price Data'!C543-'Raw Price Data'!C542)/'Raw Price Data'!C542</f>
        <v>9.8610824693950074E-3</v>
      </c>
      <c r="D543" s="25">
        <f>('Raw Price Data'!D543-'Raw Price Data'!D542)/'Raw Price Data'!D542</f>
        <v>4.0099641533507292E-3</v>
      </c>
      <c r="E543" s="25">
        <f>('Raw Price Data'!E543-'Raw Price Data'!E542)/'Raw Price Data'!E542</f>
        <v>-2.2363271615088855E-3</v>
      </c>
      <c r="F543" s="25">
        <f>('Raw Price Data'!F543-'Raw Price Data'!F542)/'Raw Price Data'!F542</f>
        <v>1.4323017272740069E-2</v>
      </c>
    </row>
    <row r="544" spans="1:6" ht="15" customHeight="1" x14ac:dyDescent="0.3">
      <c r="A544" s="19">
        <v>44224</v>
      </c>
      <c r="B544" s="26">
        <f>('Raw Price Data'!B544-'Raw Price Data'!B543)/'Raw Price Data'!B543</f>
        <v>-3.2207816007696892E-2</v>
      </c>
      <c r="C544" s="26">
        <f>('Raw Price Data'!C544-'Raw Price Data'!C543)/'Raw Price Data'!C543</f>
        <v>-4.0785638702730644E-2</v>
      </c>
      <c r="D544" s="26">
        <f>('Raw Price Data'!D544-'Raw Price Data'!D543)/'Raw Price Data'!D543</f>
        <v>2.0695915279878897E-2</v>
      </c>
      <c r="E544" s="26">
        <f>('Raw Price Data'!E544-'Raw Price Data'!E543)/'Raw Price Data'!E543</f>
        <v>-1.7667029236296563E-2</v>
      </c>
      <c r="F544" s="26">
        <f>('Raw Price Data'!F544-'Raw Price Data'!F543)/'Raw Price Data'!F543</f>
        <v>-8.9260285473037222E-3</v>
      </c>
    </row>
    <row r="545" spans="1:6" ht="15" customHeight="1" x14ac:dyDescent="0.3">
      <c r="A545" s="21">
        <v>44225</v>
      </c>
      <c r="B545" s="25">
        <f>('Raw Price Data'!B545-'Raw Price Data'!B544)/'Raw Price Data'!B544</f>
        <v>2.7930316227987285E-3</v>
      </c>
      <c r="C545" s="25">
        <f>('Raw Price Data'!C545-'Raw Price Data'!C544)/'Raw Price Data'!C544</f>
        <v>-1.5744145538997573E-2</v>
      </c>
      <c r="D545" s="25">
        <f>('Raw Price Data'!D545-'Raw Price Data'!D544)/'Raw Price Data'!D544</f>
        <v>2.7035038833224657E-2</v>
      </c>
      <c r="E545" s="25">
        <f>('Raw Price Data'!E545-'Raw Price Data'!E544)/'Raw Price Data'!E544</f>
        <v>-1.6105761164982096E-3</v>
      </c>
      <c r="F545" s="25">
        <f>('Raw Price Data'!F545-'Raw Price Data'!F544)/'Raw Price Data'!F544</f>
        <v>5.3766163305910485E-4</v>
      </c>
    </row>
    <row r="546" spans="1:6" ht="15" customHeight="1" x14ac:dyDescent="0.3">
      <c r="A546" s="19">
        <v>44228</v>
      </c>
      <c r="B546" s="26">
        <f>('Raw Price Data'!B546-'Raw Price Data'!B545)/'Raw Price Data'!B545</f>
        <v>2.3131756597270484E-3</v>
      </c>
      <c r="C546" s="26">
        <f>('Raw Price Data'!C546-'Raw Price Data'!C545)/'Raw Price Data'!C545</f>
        <v>2.6446963514988788E-3</v>
      </c>
      <c r="D546" s="26">
        <f>('Raw Price Data'!D546-'Raw Price Data'!D545)/'Raw Price Data'!D545</f>
        <v>9.8135426889107962E-3</v>
      </c>
      <c r="E546" s="26">
        <f>('Raw Price Data'!E546-'Raw Price Data'!E545)/'Raw Price Data'!E545</f>
        <v>-1.6669467316417531E-2</v>
      </c>
      <c r="F546" s="26">
        <f>('Raw Price Data'!F546-'Raw Price Data'!F545)/'Raw Price Data'!F545</f>
        <v>1.7647081151593504E-2</v>
      </c>
    </row>
    <row r="547" spans="1:6" ht="15" customHeight="1" x14ac:dyDescent="0.3">
      <c r="A547" s="21">
        <v>44229</v>
      </c>
      <c r="B547" s="25">
        <f>('Raw Price Data'!B547-'Raw Price Data'!B546)/'Raw Price Data'!B546</f>
        <v>-7.6299924642049951E-3</v>
      </c>
      <c r="C547" s="25">
        <f>('Raw Price Data'!C547-'Raw Price Data'!C546)/'Raw Price Data'!C546</f>
        <v>1.8454237022219655E-2</v>
      </c>
      <c r="D547" s="25">
        <f>('Raw Price Data'!D547-'Raw Price Data'!D546)/'Raw Price Data'!D546</f>
        <v>-1.909335162636485E-2</v>
      </c>
      <c r="E547" s="25">
        <f>('Raw Price Data'!E547-'Raw Price Data'!E546)/'Raw Price Data'!E546</f>
        <v>2.1190061177757428E-3</v>
      </c>
      <c r="F547" s="25">
        <f>('Raw Price Data'!F547-'Raw Price Data'!F546)/'Raw Price Data'!F546</f>
        <v>-2.5987081946074707E-3</v>
      </c>
    </row>
    <row r="548" spans="1:6" ht="15" customHeight="1" x14ac:dyDescent="0.3">
      <c r="A548" s="19">
        <v>44230</v>
      </c>
      <c r="B548" s="26">
        <f>('Raw Price Data'!B548-'Raw Price Data'!B547)/'Raw Price Data'!B547</f>
        <v>1.96013289036546E-2</v>
      </c>
      <c r="C548" s="26">
        <f>('Raw Price Data'!C548-'Raw Price Data'!C547)/'Raw Price Data'!C547</f>
        <v>1.0696680274204631E-2</v>
      </c>
      <c r="D548" s="26">
        <f>('Raw Price Data'!D548-'Raw Price Data'!D547)/'Raw Price Data'!D547</f>
        <v>3.0887580861355623E-3</v>
      </c>
      <c r="E548" s="26">
        <f>('Raw Price Data'!E548-'Raw Price Data'!E547)/'Raw Price Data'!E547</f>
        <v>7.9124177210872521E-3</v>
      </c>
      <c r="F548" s="26">
        <f>('Raw Price Data'!F548-'Raw Price Data'!F547)/'Raw Price Data'!F547</f>
        <v>-1.4878174130981569E-2</v>
      </c>
    </row>
    <row r="549" spans="1:6" ht="15" customHeight="1" x14ac:dyDescent="0.3">
      <c r="A549" s="21">
        <v>44231</v>
      </c>
      <c r="B549" s="25">
        <f>('Raw Price Data'!B549-'Raw Price Data'!B548)/'Raw Price Data'!B548</f>
        <v>1.3778336358981425E-2</v>
      </c>
      <c r="C549" s="25">
        <f>('Raw Price Data'!C549-'Raw Price Data'!C548)/'Raw Price Data'!C548</f>
        <v>2.3710407239819101E-2</v>
      </c>
      <c r="D549" s="25">
        <f>('Raw Price Data'!D549-'Raw Price Data'!D548)/'Raw Price Data'!D548</f>
        <v>-1.5396235184754855E-2</v>
      </c>
      <c r="E549" s="25">
        <f>('Raw Price Data'!E549-'Raw Price Data'!E548)/'Raw Price Data'!E548</f>
        <v>-4.195851520996015E-3</v>
      </c>
      <c r="F549" s="25">
        <f>('Raw Price Data'!F549-'Raw Price Data'!F548)/'Raw Price Data'!F548</f>
        <v>-6.9885244307316937E-3</v>
      </c>
    </row>
    <row r="550" spans="1:6" ht="15" customHeight="1" x14ac:dyDescent="0.3">
      <c r="A550" s="19">
        <v>44232</v>
      </c>
      <c r="B550" s="26">
        <f>('Raw Price Data'!B550-'Raw Price Data'!B549)/'Raw Price Data'!B549</f>
        <v>-3.30593691170393E-3</v>
      </c>
      <c r="C550" s="26">
        <f>('Raw Price Data'!C550-'Raw Price Data'!C549)/'Raw Price Data'!C549</f>
        <v>-3.3127372887666313E-3</v>
      </c>
      <c r="D550" s="26">
        <f>('Raw Price Data'!D550-'Raw Price Data'!D549)/'Raw Price Data'!D549</f>
        <v>1.7702248185520232E-4</v>
      </c>
      <c r="E550" s="26">
        <f>('Raw Price Data'!E550-'Raw Price Data'!E549)/'Raw Price Data'!E549</f>
        <v>8.0193006897956321E-3</v>
      </c>
      <c r="F550" s="26">
        <f>('Raw Price Data'!F550-'Raw Price Data'!F549)/'Raw Price Data'!F549</f>
        <v>7.1272718269968496E-3</v>
      </c>
    </row>
    <row r="551" spans="1:6" ht="15" customHeight="1" x14ac:dyDescent="0.3">
      <c r="A551" s="21">
        <v>44235</v>
      </c>
      <c r="B551" s="25">
        <f>('Raw Price Data'!B551-'Raw Price Data'!B550)/'Raw Price Data'!B550</f>
        <v>-8.7529368406503766E-4</v>
      </c>
      <c r="C551" s="25">
        <f>('Raw Price Data'!C551-'Raw Price Data'!C550)/'Raw Price Data'!C550</f>
        <v>2.3714381745527542E-3</v>
      </c>
      <c r="D551" s="25">
        <f>('Raw Price Data'!D551-'Raw Price Data'!D550)/'Raw Price Data'!D550</f>
        <v>-3.421828908554646E-3</v>
      </c>
      <c r="E551" s="25">
        <f>('Raw Price Data'!E551-'Raw Price Data'!E550)/'Raw Price Data'!E550</f>
        <v>1.149502781055124E-2</v>
      </c>
      <c r="F551" s="25">
        <f>('Raw Price Data'!F551-'Raw Price Data'!F550)/'Raw Price Data'!F550</f>
        <v>-8.1031476652707274E-4</v>
      </c>
    </row>
    <row r="552" spans="1:6" ht="15" customHeight="1" x14ac:dyDescent="0.3">
      <c r="A552" s="19">
        <v>44236</v>
      </c>
      <c r="B552" s="26">
        <f>('Raw Price Data'!B552-'Raw Price Data'!B551)/'Raw Price Data'!B551</f>
        <v>-5.0719291774252778E-3</v>
      </c>
      <c r="C552" s="26">
        <f>('Raw Price Data'!C552-'Raw Price Data'!C551)/'Raw Price Data'!C551</f>
        <v>-8.2245114658817155E-3</v>
      </c>
      <c r="D552" s="26">
        <f>('Raw Price Data'!D552-'Raw Price Data'!D551)/'Raw Price Data'!D551</f>
        <v>-8.5839450627515322E-3</v>
      </c>
      <c r="E552" s="26">
        <f>('Raw Price Data'!E552-'Raw Price Data'!E551)/'Raw Price Data'!E551</f>
        <v>1.5696860627874357E-2</v>
      </c>
      <c r="F552" s="26">
        <f>('Raw Price Data'!F552-'Raw Price Data'!F551)/'Raw Price Data'!F551</f>
        <v>7.9939434888439049E-4</v>
      </c>
    </row>
    <row r="553" spans="1:6" ht="15" customHeight="1" x14ac:dyDescent="0.3">
      <c r="A553" s="21">
        <v>44237</v>
      </c>
      <c r="B553" s="25">
        <f>('Raw Price Data'!B553-'Raw Price Data'!B552)/'Raw Price Data'!B552</f>
        <v>-6.7661507090555567E-3</v>
      </c>
      <c r="C553" s="25">
        <f>('Raw Price Data'!C553-'Raw Price Data'!C552)/'Raw Price Data'!C552</f>
        <v>-7.0906000244179181E-3</v>
      </c>
      <c r="D553" s="25">
        <f>('Raw Price Data'!D553-'Raw Price Data'!D552)/'Raw Price Data'!D552</f>
        <v>2.4541708962799388E-2</v>
      </c>
      <c r="E553" s="25">
        <f>('Raw Price Data'!E553-'Raw Price Data'!E552)/'Raw Price Data'!E552</f>
        <v>3.7766184335728557E-2</v>
      </c>
      <c r="F553" s="25">
        <f>('Raw Price Data'!F553-'Raw Price Data'!F552)/'Raw Price Data'!F552</f>
        <v>3.311248701728095E-3</v>
      </c>
    </row>
    <row r="554" spans="1:6" ht="15" customHeight="1" x14ac:dyDescent="0.3">
      <c r="A554" s="19">
        <v>44238</v>
      </c>
      <c r="B554" s="26">
        <f>('Raw Price Data'!B554-'Raw Price Data'!B553)/'Raw Price Data'!B553</f>
        <v>-1.782381485628963E-2</v>
      </c>
      <c r="C554" s="26">
        <f>('Raw Price Data'!C554-'Raw Price Data'!C553)/'Raw Price Data'!C553</f>
        <v>-1.4046006583178757E-2</v>
      </c>
      <c r="D554" s="26">
        <f>('Raw Price Data'!D554-'Raw Price Data'!D553)/'Raw Price Data'!D553</f>
        <v>-3.205501806737448E-3</v>
      </c>
      <c r="E554" s="26">
        <f>('Raw Price Data'!E554-'Raw Price Data'!E553)/'Raw Price Data'!E553</f>
        <v>-2.6495510307322612E-2</v>
      </c>
      <c r="F554" s="26">
        <f>('Raw Price Data'!F554-'Raw Price Data'!F553)/'Raw Price Data'!F553</f>
        <v>-2.7938954429490214E-3</v>
      </c>
    </row>
    <row r="555" spans="1:6" ht="15" customHeight="1" x14ac:dyDescent="0.3">
      <c r="A555" s="21">
        <v>44239</v>
      </c>
      <c r="B555" s="25">
        <f>('Raw Price Data'!B555-'Raw Price Data'!B554)/'Raw Price Data'!B554</f>
        <v>1.9477434679334889E-2</v>
      </c>
      <c r="C555" s="25">
        <f>('Raw Price Data'!C555-'Raw Price Data'!C554)/'Raw Price Data'!C554</f>
        <v>-8.9889580675180276E-3</v>
      </c>
      <c r="D555" s="25">
        <f>('Raw Price Data'!D555-'Raw Price Data'!D554)/'Raw Price Data'!D554</f>
        <v>-2.2919955563351385E-2</v>
      </c>
      <c r="E555" s="25">
        <f>('Raw Price Data'!E555-'Raw Price Data'!E554)/'Raw Price Data'!E554</f>
        <v>-2.2832088340370163E-2</v>
      </c>
      <c r="F555" s="25">
        <f>('Raw Price Data'!F555-'Raw Price Data'!F554)/'Raw Price Data'!F554</f>
        <v>6.0458902309145513E-3</v>
      </c>
    </row>
    <row r="556" spans="1:6" ht="15" customHeight="1" x14ac:dyDescent="0.3">
      <c r="A556" s="19">
        <v>44242</v>
      </c>
      <c r="B556" s="26">
        <f>('Raw Price Data'!B556-'Raw Price Data'!B555)/'Raw Price Data'!B555</f>
        <v>1.4538676607642147E-2</v>
      </c>
      <c r="C556" s="26">
        <f>('Raw Price Data'!C556-'Raw Price Data'!C555)/'Raw Price Data'!C555</f>
        <v>-2.7685814408238952E-3</v>
      </c>
      <c r="D556" s="26">
        <f>('Raw Price Data'!D556-'Raw Price Data'!D555)/'Raw Price Data'!D555</f>
        <v>6.3431272814312356E-3</v>
      </c>
      <c r="E556" s="26">
        <f>('Raw Price Data'!E556-'Raw Price Data'!E555)/'Raw Price Data'!E555</f>
        <v>-2.2534649516402532E-2</v>
      </c>
      <c r="F556" s="26">
        <f>('Raw Price Data'!F556-'Raw Price Data'!F555)/'Raw Price Data'!F555</f>
        <v>1.5402352104557083E-2</v>
      </c>
    </row>
    <row r="557" spans="1:6" ht="15" customHeight="1" x14ac:dyDescent="0.3">
      <c r="A557" s="21">
        <v>44243</v>
      </c>
      <c r="B557" s="25">
        <f>('Raw Price Data'!B557-'Raw Price Data'!B556)/'Raw Price Data'!B556</f>
        <v>1.1390777144956779E-2</v>
      </c>
      <c r="C557" s="25">
        <f>('Raw Price Data'!C557-'Raw Price Data'!C556)/'Raw Price Data'!C556</f>
        <v>-1.0891511998136238E-2</v>
      </c>
      <c r="D557" s="25">
        <f>('Raw Price Data'!D557-'Raw Price Data'!D556)/'Raw Price Data'!D556</f>
        <v>1.1238627579235386E-2</v>
      </c>
      <c r="E557" s="25">
        <f>('Raw Price Data'!E557-'Raw Price Data'!E556)/'Raw Price Data'!E556</f>
        <v>-3.2303036485429246E-3</v>
      </c>
      <c r="F557" s="25">
        <f>('Raw Price Data'!F557-'Raw Price Data'!F556)/'Raw Price Data'!F556</f>
        <v>5.1853423882285846E-3</v>
      </c>
    </row>
    <row r="558" spans="1:6" ht="15" customHeight="1" x14ac:dyDescent="0.3">
      <c r="A558" s="19">
        <v>44244</v>
      </c>
      <c r="B558" s="26">
        <f>('Raw Price Data'!B558-'Raw Price Data'!B557)/'Raw Price Data'!B557</f>
        <v>-1.4850136239781934E-2</v>
      </c>
      <c r="C558" s="26">
        <f>('Raw Price Data'!C558-'Raw Price Data'!C557)/'Raw Price Data'!C557</f>
        <v>1.0599250201188757E-3</v>
      </c>
      <c r="D558" s="26">
        <f>('Raw Price Data'!D558-'Raw Price Data'!D557)/'Raw Price Data'!D557</f>
        <v>1.1760555098199966E-3</v>
      </c>
      <c r="E558" s="26">
        <f>('Raw Price Data'!E558-'Raw Price Data'!E557)/'Raw Price Data'!E557</f>
        <v>-2.967865183871184E-2</v>
      </c>
      <c r="F558" s="26">
        <f>('Raw Price Data'!F558-'Raw Price Data'!F557)/'Raw Price Data'!F557</f>
        <v>6.3092481684531585E-3</v>
      </c>
    </row>
    <row r="559" spans="1:6" ht="15" customHeight="1" x14ac:dyDescent="0.3">
      <c r="A559" s="21">
        <v>44245</v>
      </c>
      <c r="B559" s="25">
        <f>('Raw Price Data'!B559-'Raw Price Data'!B558)/'Raw Price Data'!B558</f>
        <v>2.9133821970220776E-2</v>
      </c>
      <c r="C559" s="25">
        <f>('Raw Price Data'!C559-'Raw Price Data'!C558)/'Raw Price Data'!C558</f>
        <v>-3.1479774906374401E-2</v>
      </c>
      <c r="D559" s="25">
        <f>('Raw Price Data'!D559-'Raw Price Data'!D558)/'Raw Price Data'!D558</f>
        <v>-1.1805473980970227E-2</v>
      </c>
      <c r="E559" s="25">
        <f>('Raw Price Data'!E559-'Raw Price Data'!E558)/'Raw Price Data'!E558</f>
        <v>-9.527492617072069E-3</v>
      </c>
      <c r="F559" s="25">
        <f>('Raw Price Data'!F559-'Raw Price Data'!F558)/'Raw Price Data'!F558</f>
        <v>1.309694068445579E-2</v>
      </c>
    </row>
    <row r="560" spans="1:6" ht="15" customHeight="1" x14ac:dyDescent="0.3">
      <c r="A560" s="19">
        <v>44246</v>
      </c>
      <c r="B560" s="26">
        <f>('Raw Price Data'!B560-'Raw Price Data'!B559)/'Raw Price Data'!B559</f>
        <v>2.7771556550951797E-2</v>
      </c>
      <c r="C560" s="26">
        <f>('Raw Price Data'!C560-'Raw Price Data'!C559)/'Raw Price Data'!C559</f>
        <v>8.1383931734672968E-3</v>
      </c>
      <c r="D560" s="26">
        <f>('Raw Price Data'!D560-'Raw Price Data'!D559)/'Raw Price Data'!D559</f>
        <v>-6.4190193164933877E-3</v>
      </c>
      <c r="E560" s="26">
        <f>('Raw Price Data'!E560-'Raw Price Data'!E559)/'Raw Price Data'!E559</f>
        <v>1.6292194654456305E-2</v>
      </c>
      <c r="F560" s="26">
        <f>('Raw Price Data'!F560-'Raw Price Data'!F559)/'Raw Price Data'!F559</f>
        <v>8.6409690310913882E-3</v>
      </c>
    </row>
    <row r="561" spans="1:6" ht="15" customHeight="1" x14ac:dyDescent="0.3">
      <c r="A561" s="21">
        <v>44249</v>
      </c>
      <c r="B561" s="25">
        <f>('Raw Price Data'!B561-'Raw Price Data'!B560)/'Raw Price Data'!B560</f>
        <v>2.9200261494879754E-3</v>
      </c>
      <c r="C561" s="25">
        <f>('Raw Price Data'!C561-'Raw Price Data'!C560)/'Raw Price Data'!C560</f>
        <v>3.7250866007328908E-3</v>
      </c>
      <c r="D561" s="25">
        <f>('Raw Price Data'!D561-'Raw Price Data'!D560)/'Raw Price Data'!D560</f>
        <v>-8.8532631453011306E-3</v>
      </c>
      <c r="E561" s="25">
        <f>('Raw Price Data'!E561-'Raw Price Data'!E560)/'Raw Price Data'!E560</f>
        <v>1.4249790444258118E-2</v>
      </c>
      <c r="F561" s="25">
        <f>('Raw Price Data'!F561-'Raw Price Data'!F560)/'Raw Price Data'!F560</f>
        <v>1.3193125435126959E-2</v>
      </c>
    </row>
    <row r="562" spans="1:6" ht="15" customHeight="1" x14ac:dyDescent="0.3">
      <c r="A562" s="19">
        <v>44250</v>
      </c>
      <c r="B562" s="26">
        <f>('Raw Price Data'!B562-'Raw Price Data'!B561)/'Raw Price Data'!B561</f>
        <v>-1.2211020337215375E-2</v>
      </c>
      <c r="C562" s="26">
        <f>('Raw Price Data'!C562-'Raw Price Data'!C561)/'Raw Price Data'!C561</f>
        <v>8.4728807794650449E-3</v>
      </c>
      <c r="D562" s="26">
        <f>('Raw Price Data'!D562-'Raw Price Data'!D561)/'Raw Price Data'!D561</f>
        <v>-7.5442090651216126E-3</v>
      </c>
      <c r="E562" s="26">
        <f>('Raw Price Data'!E562-'Raw Price Data'!E561)/'Raw Price Data'!E561</f>
        <v>3.1473829201102081E-2</v>
      </c>
      <c r="F562" s="26">
        <f>('Raw Price Data'!F562-'Raw Price Data'!F561)/'Raw Price Data'!F561</f>
        <v>-2.2573035599603913E-2</v>
      </c>
    </row>
    <row r="563" spans="1:6" ht="15" customHeight="1" x14ac:dyDescent="0.3">
      <c r="A563" s="21">
        <v>44251</v>
      </c>
      <c r="B563" s="25">
        <f>('Raw Price Data'!B563-'Raw Price Data'!B562)/'Raw Price Data'!B562</f>
        <v>-1.1702080858739151E-2</v>
      </c>
      <c r="C563" s="25">
        <f>('Raw Price Data'!C563-'Raw Price Data'!C562)/'Raw Price Data'!C562</f>
        <v>-7.5783877079344791E-3</v>
      </c>
      <c r="D563" s="25">
        <f>('Raw Price Data'!D563-'Raw Price Data'!D562)/'Raw Price Data'!D562</f>
        <v>-1.0702991972755965E-2</v>
      </c>
      <c r="E563" s="25">
        <f>('Raw Price Data'!E563-'Raw Price Data'!E562)/'Raw Price Data'!E562</f>
        <v>1.6625492421713163E-2</v>
      </c>
      <c r="F563" s="25">
        <f>('Raw Price Data'!F563-'Raw Price Data'!F562)/'Raw Price Data'!F562</f>
        <v>7.501731600758994E-4</v>
      </c>
    </row>
    <row r="564" spans="1:6" ht="15" customHeight="1" x14ac:dyDescent="0.3">
      <c r="A564" s="19">
        <v>44252</v>
      </c>
      <c r="B564" s="26">
        <f>('Raw Price Data'!B564-'Raw Price Data'!B563)/'Raw Price Data'!B563</f>
        <v>6.1428889383485221E-3</v>
      </c>
      <c r="C564" s="26">
        <f>('Raw Price Data'!C564-'Raw Price Data'!C563)/'Raw Price Data'!C563</f>
        <v>-8.3758958110525788E-3</v>
      </c>
      <c r="D564" s="26">
        <f>('Raw Price Data'!D564-'Raw Price Data'!D563)/'Raw Price Data'!D563</f>
        <v>-3.0735185640521265E-3</v>
      </c>
      <c r="E564" s="26">
        <f>('Raw Price Data'!E564-'Raw Price Data'!E563)/'Raw Price Data'!E563</f>
        <v>1.9604623670038183E-2</v>
      </c>
      <c r="F564" s="26">
        <f>('Raw Price Data'!F564-'Raw Price Data'!F563)/'Raw Price Data'!F563</f>
        <v>4.9149402339884168E-3</v>
      </c>
    </row>
    <row r="565" spans="1:6" ht="15" customHeight="1" x14ac:dyDescent="0.3">
      <c r="A565" s="21">
        <v>44253</v>
      </c>
      <c r="B565" s="25">
        <f>('Raw Price Data'!B565-'Raw Price Data'!B564)/'Raw Price Data'!B564</f>
        <v>-1.2343494226430085E-2</v>
      </c>
      <c r="C565" s="25">
        <f>('Raw Price Data'!C565-'Raw Price Data'!C564)/'Raw Price Data'!C564</f>
        <v>1.7921399844775251E-2</v>
      </c>
      <c r="D565" s="25">
        <f>('Raw Price Data'!D565-'Raw Price Data'!D564)/'Raw Price Data'!D564</f>
        <v>-2.0964360587002132E-2</v>
      </c>
      <c r="E565" s="25">
        <f>('Raw Price Data'!E565-'Raw Price Data'!E564)/'Raw Price Data'!E564</f>
        <v>-9.5333183033271159E-3</v>
      </c>
      <c r="F565" s="25">
        <f>('Raw Price Data'!F565-'Raw Price Data'!F564)/'Raw Price Data'!F564</f>
        <v>-1.175953578953375E-3</v>
      </c>
    </row>
    <row r="566" spans="1:6" ht="15" customHeight="1" x14ac:dyDescent="0.3">
      <c r="A566" s="19">
        <v>44256</v>
      </c>
      <c r="B566" s="26">
        <f>('Raw Price Data'!B566-'Raw Price Data'!B565)/'Raw Price Data'!B565</f>
        <v>-1.3438451890342742E-4</v>
      </c>
      <c r="C566" s="26">
        <f>('Raw Price Data'!C566-'Raw Price Data'!C565)/'Raw Price Data'!C565</f>
        <v>-2.128944736555444E-3</v>
      </c>
      <c r="D566" s="26">
        <f>('Raw Price Data'!D566-'Raw Price Data'!D565)/'Raw Price Data'!D565</f>
        <v>4.2826552462527194E-3</v>
      </c>
      <c r="E566" s="26">
        <f>('Raw Price Data'!E566-'Raw Price Data'!E565)/'Raw Price Data'!E565</f>
        <v>-6.2758104900333305E-3</v>
      </c>
      <c r="F566" s="26">
        <f>('Raw Price Data'!F566-'Raw Price Data'!F565)/'Raw Price Data'!F565</f>
        <v>-9.31808475561334E-3</v>
      </c>
    </row>
    <row r="567" spans="1:6" ht="15" customHeight="1" x14ac:dyDescent="0.3">
      <c r="A567" s="21">
        <v>44257</v>
      </c>
      <c r="B567" s="25">
        <f>('Raw Price Data'!B567-'Raw Price Data'!B566)/'Raw Price Data'!B566</f>
        <v>1.5366695040544682E-2</v>
      </c>
      <c r="C567" s="25">
        <f>('Raw Price Data'!C567-'Raw Price Data'!C566)/'Raw Price Data'!C566</f>
        <v>3.5634191358882329E-2</v>
      </c>
      <c r="D567" s="25">
        <f>('Raw Price Data'!D567-'Raw Price Data'!D566)/'Raw Price Data'!D566</f>
        <v>-1.1915213846732758E-2</v>
      </c>
      <c r="E567" s="25">
        <f>('Raw Price Data'!E567-'Raw Price Data'!E566)/'Raw Price Data'!E566</f>
        <v>1.7081151832460634E-2</v>
      </c>
      <c r="F567" s="25">
        <f>('Raw Price Data'!F567-'Raw Price Data'!F566)/'Raw Price Data'!F566</f>
        <v>-1.1476116829299715E-3</v>
      </c>
    </row>
    <row r="568" spans="1:6" ht="15" customHeight="1" x14ac:dyDescent="0.3">
      <c r="A568" s="19">
        <v>44258</v>
      </c>
      <c r="B568" s="26">
        <f>('Raw Price Data'!B568-'Raw Price Data'!B567)/'Raw Price Data'!B567</f>
        <v>-2.0561242499117529E-2</v>
      </c>
      <c r="C568" s="26">
        <f>('Raw Price Data'!C568-'Raw Price Data'!C567)/'Raw Price Data'!C567</f>
        <v>-2.4203516504575386E-2</v>
      </c>
      <c r="D568" s="26">
        <f>('Raw Price Data'!D568-'Raw Price Data'!D567)/'Raw Price Data'!D567</f>
        <v>1.4216806296014274E-2</v>
      </c>
      <c r="E568" s="26">
        <f>('Raw Price Data'!E568-'Raw Price Data'!E567)/'Raw Price Data'!E567</f>
        <v>1.66977671964481E-2</v>
      </c>
      <c r="F568" s="26">
        <f>('Raw Price Data'!F568-'Raw Price Data'!F567)/'Raw Price Data'!F567</f>
        <v>-8.0080956994551741E-3</v>
      </c>
    </row>
    <row r="569" spans="1:6" ht="15" customHeight="1" x14ac:dyDescent="0.3">
      <c r="A569" s="21">
        <v>44259</v>
      </c>
      <c r="B569" s="25">
        <f>('Raw Price Data'!B569-'Raw Price Data'!B568)/'Raw Price Data'!B568</f>
        <v>2.8110640598252138E-2</v>
      </c>
      <c r="C569" s="25">
        <f>('Raw Price Data'!C569-'Raw Price Data'!C568)/'Raw Price Data'!C568</f>
        <v>-3.770657606614393E-3</v>
      </c>
      <c r="D569" s="25">
        <f>('Raw Price Data'!D569-'Raw Price Data'!D568)/'Raw Price Data'!D568</f>
        <v>6.3829787234041414E-3</v>
      </c>
      <c r="E569" s="25">
        <f>('Raw Price Data'!E569-'Raw Price Data'!E568)/'Raw Price Data'!E568</f>
        <v>-3.5726717508939479E-2</v>
      </c>
      <c r="F569" s="25">
        <f>('Raw Price Data'!F569-'Raw Price Data'!F568)/'Raw Price Data'!F568</f>
        <v>4.1833812093204506E-3</v>
      </c>
    </row>
    <row r="570" spans="1:6" ht="15" customHeight="1" x14ac:dyDescent="0.3">
      <c r="A570" s="19">
        <v>44260</v>
      </c>
      <c r="B570" s="26">
        <f>('Raw Price Data'!B570-'Raw Price Data'!B569)/'Raw Price Data'!B569</f>
        <v>2.2040136710191924E-2</v>
      </c>
      <c r="C570" s="26">
        <f>('Raw Price Data'!C570-'Raw Price Data'!C569)/'Raw Price Data'!C569</f>
        <v>-1.9289340101522782E-2</v>
      </c>
      <c r="D570" s="26">
        <f>('Raw Price Data'!D570-'Raw Price Data'!D569)/'Raw Price Data'!D569</f>
        <v>2.4126352443725879E-2</v>
      </c>
      <c r="E570" s="26">
        <f>('Raw Price Data'!E570-'Raw Price Data'!E569)/'Raw Price Data'!E569</f>
        <v>-2.5761354686269434E-2</v>
      </c>
      <c r="F570" s="26">
        <f>('Raw Price Data'!F570-'Raw Price Data'!F569)/'Raw Price Data'!F569</f>
        <v>8.0370184441373275E-3</v>
      </c>
    </row>
    <row r="571" spans="1:6" ht="15" customHeight="1" x14ac:dyDescent="0.3">
      <c r="A571" s="21">
        <v>44263</v>
      </c>
      <c r="B571" s="25">
        <f>('Raw Price Data'!B571-'Raw Price Data'!B570)/'Raw Price Data'!B570</f>
        <v>-1.680600214362267E-2</v>
      </c>
      <c r="C571" s="25">
        <f>('Raw Price Data'!C571-'Raw Price Data'!C570)/'Raw Price Data'!C570</f>
        <v>-1.3276648776859872E-2</v>
      </c>
      <c r="D571" s="25">
        <f>('Raw Price Data'!D571-'Raw Price Data'!D570)/'Raw Price Data'!D570</f>
        <v>-2.1068609593199752E-2</v>
      </c>
      <c r="E571" s="25">
        <f>('Raw Price Data'!E571-'Raw Price Data'!E570)/'Raw Price Data'!E570</f>
        <v>-1.8021356149156273E-2</v>
      </c>
      <c r="F571" s="25">
        <f>('Raw Price Data'!F571-'Raw Price Data'!F570)/'Raw Price Data'!F570</f>
        <v>-2.3671287775177637E-3</v>
      </c>
    </row>
    <row r="572" spans="1:6" ht="15" customHeight="1" x14ac:dyDescent="0.3">
      <c r="A572" s="19">
        <v>44264</v>
      </c>
      <c r="B572" s="26">
        <f>('Raw Price Data'!B572-'Raw Price Data'!B571)/'Raw Price Data'!B571</f>
        <v>-1.9273535952557517E-2</v>
      </c>
      <c r="C572" s="26">
        <f>('Raw Price Data'!C572-'Raw Price Data'!C571)/'Raw Price Data'!C571</f>
        <v>-1.3343247400103918E-2</v>
      </c>
      <c r="D572" s="26">
        <f>('Raw Price Data'!D572-'Raw Price Data'!D571)/'Raw Price Data'!D571</f>
        <v>2.2638466786578215E-2</v>
      </c>
      <c r="E572" s="26">
        <f>('Raw Price Data'!E572-'Raw Price Data'!E571)/'Raw Price Data'!E571</f>
        <v>-1.5779363336992199E-2</v>
      </c>
      <c r="F572" s="26">
        <f>('Raw Price Data'!F572-'Raw Price Data'!F571)/'Raw Price Data'!F571</f>
        <v>1.241947847837529E-2</v>
      </c>
    </row>
    <row r="573" spans="1:6" ht="15" customHeight="1" x14ac:dyDescent="0.3">
      <c r="A573" s="21">
        <v>44265</v>
      </c>
      <c r="B573" s="25">
        <f>('Raw Price Data'!B573-'Raw Price Data'!B572)/'Raw Price Data'!B572</f>
        <v>-3.6459028055666406E-3</v>
      </c>
      <c r="C573" s="25">
        <f>('Raw Price Data'!C573-'Raw Price Data'!C572)/'Raw Price Data'!C572</f>
        <v>-7.8871029349520342E-3</v>
      </c>
      <c r="D573" s="25">
        <f>('Raw Price Data'!D573-'Raw Price Data'!D572)/'Raw Price Data'!D572</f>
        <v>-1.4556040756914671E-3</v>
      </c>
      <c r="E573" s="25">
        <f>('Raw Price Data'!E573-'Raw Price Data'!E572)/'Raw Price Data'!E572</f>
        <v>2.5372926251219757E-2</v>
      </c>
      <c r="F573" s="25">
        <f>('Raw Price Data'!F573-'Raw Price Data'!F572)/'Raw Price Data'!F572</f>
        <v>-5.5902850138750656E-3</v>
      </c>
    </row>
    <row r="574" spans="1:6" ht="15" customHeight="1" x14ac:dyDescent="0.3">
      <c r="A574" s="19">
        <v>44266</v>
      </c>
      <c r="B574" s="26">
        <f>('Raw Price Data'!B574-'Raw Price Data'!B573)/'Raw Price Data'!B573</f>
        <v>-1.3967602302646237E-2</v>
      </c>
      <c r="C574" s="26">
        <f>('Raw Price Data'!C574-'Raw Price Data'!C573)/'Raw Price Data'!C573</f>
        <v>1.4411620865113496E-2</v>
      </c>
      <c r="D574" s="26">
        <f>('Raw Price Data'!D574-'Raw Price Data'!D573)/'Raw Price Data'!D573</f>
        <v>1.0143343051506415E-2</v>
      </c>
      <c r="E574" s="26">
        <f>('Raw Price Data'!E574-'Raw Price Data'!E573)/'Raw Price Data'!E573</f>
        <v>3.4602311352821234E-2</v>
      </c>
      <c r="F574" s="26">
        <f>('Raw Price Data'!F574-'Raw Price Data'!F573)/'Raw Price Data'!F573</f>
        <v>-6.4406940321336554E-3</v>
      </c>
    </row>
    <row r="575" spans="1:6" ht="15" customHeight="1" x14ac:dyDescent="0.3">
      <c r="A575" s="21">
        <v>44267</v>
      </c>
      <c r="B575" s="25">
        <f>('Raw Price Data'!B575-'Raw Price Data'!B574)/'Raw Price Data'!B574</f>
        <v>-3.3037653874005168E-3</v>
      </c>
      <c r="C575" s="25">
        <f>('Raw Price Data'!C575-'Raw Price Data'!C574)/'Raw Price Data'!C574</f>
        <v>-1.9581897259149876E-2</v>
      </c>
      <c r="D575" s="25">
        <f>('Raw Price Data'!D575-'Raw Price Data'!D574)/'Raw Price Data'!D574</f>
        <v>1.4370753412302244E-2</v>
      </c>
      <c r="E575" s="25">
        <f>('Raw Price Data'!E575-'Raw Price Data'!E574)/'Raw Price Data'!E574</f>
        <v>6.7350022997569202E-3</v>
      </c>
      <c r="F575" s="25">
        <f>('Raw Price Data'!F575-'Raw Price Data'!F574)/'Raw Price Data'!F574</f>
        <v>1.2617620192632579E-3</v>
      </c>
    </row>
    <row r="576" spans="1:6" ht="15" customHeight="1" x14ac:dyDescent="0.3">
      <c r="A576" s="19">
        <v>44270</v>
      </c>
      <c r="B576" s="26">
        <f>('Raw Price Data'!B576-'Raw Price Data'!B575)/'Raw Price Data'!B575</f>
        <v>-3.5462925123734293E-2</v>
      </c>
      <c r="C576" s="26">
        <f>('Raw Price Data'!C576-'Raw Price Data'!C575)/'Raw Price Data'!C575</f>
        <v>1.1351865995668529E-2</v>
      </c>
      <c r="D576" s="26">
        <f>('Raw Price Data'!D576-'Raw Price Data'!D575)/'Raw Price Data'!D575</f>
        <v>1.5589804386485027E-2</v>
      </c>
      <c r="E576" s="26">
        <f>('Raw Price Data'!E576-'Raw Price Data'!E575)/'Raw Price Data'!E575</f>
        <v>6.9183826648826956E-3</v>
      </c>
      <c r="F576" s="26">
        <f>('Raw Price Data'!F576-'Raw Price Data'!F575)/'Raw Price Data'!F575</f>
        <v>-4.1845193918189109E-3</v>
      </c>
    </row>
    <row r="577" spans="1:6" ht="15" customHeight="1" x14ac:dyDescent="0.3">
      <c r="A577" s="21">
        <v>44271</v>
      </c>
      <c r="B577" s="25">
        <f>('Raw Price Data'!B577-'Raw Price Data'!B576)/'Raw Price Data'!B576</f>
        <v>-2.8716693343375636E-3</v>
      </c>
      <c r="C577" s="25">
        <f>('Raw Price Data'!C577-'Raw Price Data'!C576)/'Raw Price Data'!C576</f>
        <v>-2.4817926011752058E-2</v>
      </c>
      <c r="D577" s="25">
        <f>('Raw Price Data'!D577-'Raw Price Data'!D576)/'Raw Price Data'!D576</f>
        <v>1.342438568843692E-3</v>
      </c>
      <c r="E577" s="25">
        <f>('Raw Price Data'!E577-'Raw Price Data'!E576)/'Raw Price Data'!E576</f>
        <v>3.7173877815588952E-2</v>
      </c>
      <c r="F577" s="25">
        <f>('Raw Price Data'!F577-'Raw Price Data'!F576)/'Raw Price Data'!F576</f>
        <v>1.1615716847069128E-2</v>
      </c>
    </row>
    <row r="578" spans="1:6" ht="15" customHeight="1" x14ac:dyDescent="0.3">
      <c r="A578" s="19">
        <v>44272</v>
      </c>
      <c r="B578" s="26">
        <f>('Raw Price Data'!B578-'Raw Price Data'!B577)/'Raw Price Data'!B577</f>
        <v>2.5305698503375596E-2</v>
      </c>
      <c r="C578" s="26">
        <f>('Raw Price Data'!C578-'Raw Price Data'!C577)/'Raw Price Data'!C577</f>
        <v>-6.5559857847556887E-3</v>
      </c>
      <c r="D578" s="26">
        <f>('Raw Price Data'!D578-'Raw Price Data'!D577)/'Raw Price Data'!D577</f>
        <v>7.5775238983446687E-3</v>
      </c>
      <c r="E578" s="26">
        <f>('Raw Price Data'!E578-'Raw Price Data'!E577)/'Raw Price Data'!E577</f>
        <v>8.93694144115997E-3</v>
      </c>
      <c r="F578" s="26">
        <f>('Raw Price Data'!F578-'Raw Price Data'!F577)/'Raw Price Data'!F577</f>
        <v>-1.6036549230400415E-3</v>
      </c>
    </row>
    <row r="579" spans="1:6" ht="15" customHeight="1" x14ac:dyDescent="0.3">
      <c r="A579" s="21">
        <v>44273</v>
      </c>
      <c r="B579" s="25">
        <f>('Raw Price Data'!B579-'Raw Price Data'!B578)/'Raw Price Data'!B578</f>
        <v>-1.5149422111709684E-2</v>
      </c>
      <c r="C579" s="25">
        <f>('Raw Price Data'!C579-'Raw Price Data'!C578)/'Raw Price Data'!C578</f>
        <v>2.3876899420162967E-2</v>
      </c>
      <c r="D579" s="25">
        <f>('Raw Price Data'!D579-'Raw Price Data'!D578)/'Raw Price Data'!D578</f>
        <v>-1.0991553858615418E-3</v>
      </c>
      <c r="E579" s="25">
        <f>('Raw Price Data'!E579-'Raw Price Data'!E578)/'Raw Price Data'!E578</f>
        <v>1.1056739345886996E-2</v>
      </c>
      <c r="F579" s="25">
        <f>('Raw Price Data'!F579-'Raw Price Data'!F578)/'Raw Price Data'!F578</f>
        <v>6.4018415586416079E-3</v>
      </c>
    </row>
    <row r="580" spans="1:6" ht="15" customHeight="1" x14ac:dyDescent="0.3">
      <c r="A580" s="19">
        <v>44274</v>
      </c>
      <c r="B580" s="26">
        <f>('Raw Price Data'!B580-'Raw Price Data'!B579)/'Raw Price Data'!B579</f>
        <v>-3.4598840471292739E-3</v>
      </c>
      <c r="C580" s="26">
        <f>('Raw Price Data'!C580-'Raw Price Data'!C579)/'Raw Price Data'!C579</f>
        <v>8.7398183202444593E-3</v>
      </c>
      <c r="D580" s="26">
        <f>('Raw Price Data'!D580-'Raw Price Data'!D579)/'Raw Price Data'!D579</f>
        <v>1.1872357676492799E-2</v>
      </c>
      <c r="E580" s="26">
        <f>('Raw Price Data'!E580-'Raw Price Data'!E579)/'Raw Price Data'!E579</f>
        <v>7.5049777913922151E-3</v>
      </c>
      <c r="F580" s="26">
        <f>('Raw Price Data'!F580-'Raw Price Data'!F579)/'Raw Price Data'!F579</f>
        <v>1.0996317958718553E-2</v>
      </c>
    </row>
    <row r="581" spans="1:6" ht="15" customHeight="1" x14ac:dyDescent="0.3">
      <c r="A581" s="21">
        <v>44277</v>
      </c>
      <c r="B581" s="25">
        <f>('Raw Price Data'!B581-'Raw Price Data'!B580)/'Raw Price Data'!B580</f>
        <v>-2.0315285727690646E-2</v>
      </c>
      <c r="C581" s="25">
        <f>('Raw Price Data'!C581-'Raw Price Data'!C580)/'Raw Price Data'!C580</f>
        <v>5.3969665326039987E-3</v>
      </c>
      <c r="D581" s="25">
        <f>('Raw Price Data'!D581-'Raw Price Data'!D580)/'Raw Price Data'!D580</f>
        <v>-1.3621794871794846E-2</v>
      </c>
      <c r="E581" s="25">
        <f>('Raw Price Data'!E581-'Raw Price Data'!E580)/'Raw Price Data'!E580</f>
        <v>7.57069017938586E-3</v>
      </c>
      <c r="F581" s="25">
        <f>('Raw Price Data'!F581-'Raw Price Data'!F580)/'Raw Price Data'!F580</f>
        <v>-1.8110250483711336E-2</v>
      </c>
    </row>
    <row r="582" spans="1:6" ht="15" customHeight="1" x14ac:dyDescent="0.3">
      <c r="A582" s="19">
        <v>44278</v>
      </c>
      <c r="B582" s="26">
        <f>('Raw Price Data'!B582-'Raw Price Data'!B581)/'Raw Price Data'!B581</f>
        <v>9.1470715004070523E-3</v>
      </c>
      <c r="C582" s="26">
        <f>('Raw Price Data'!C582-'Raw Price Data'!C581)/'Raw Price Data'!C581</f>
        <v>1.1712925351953457E-2</v>
      </c>
      <c r="D582" s="26">
        <f>('Raw Price Data'!D582-'Raw Price Data'!D581)/'Raw Price Data'!D581</f>
        <v>6.730880816989652E-3</v>
      </c>
      <c r="E582" s="26">
        <f>('Raw Price Data'!E582-'Raw Price Data'!E581)/'Raw Price Data'!E581</f>
        <v>2.5951296056006587E-2</v>
      </c>
      <c r="F582" s="26">
        <f>('Raw Price Data'!F582-'Raw Price Data'!F581)/'Raw Price Data'!F581</f>
        <v>-2.57243375164213E-4</v>
      </c>
    </row>
    <row r="583" spans="1:6" ht="15" customHeight="1" x14ac:dyDescent="0.3">
      <c r="A583" s="21">
        <v>44279</v>
      </c>
      <c r="B583" s="25">
        <f>('Raw Price Data'!B583-'Raw Price Data'!B582)/'Raw Price Data'!B582</f>
        <v>-2.7999240698557489E-3</v>
      </c>
      <c r="C583" s="25">
        <f>('Raw Price Data'!C583-'Raw Price Data'!C582)/'Raw Price Data'!C582</f>
        <v>1.0753999715395018E-2</v>
      </c>
      <c r="D583" s="25">
        <f>('Raw Price Data'!D583-'Raw Price Data'!D582)/'Raw Price Data'!D582</f>
        <v>2.4668587896253608E-2</v>
      </c>
      <c r="E583" s="25">
        <f>('Raw Price Data'!E583-'Raw Price Data'!E582)/'Raw Price Data'!E582</f>
        <v>1.420630018529952E-2</v>
      </c>
      <c r="F583" s="25">
        <f>('Raw Price Data'!F583-'Raw Price Data'!F582)/'Raw Price Data'!F582</f>
        <v>1.7175241094062993E-3</v>
      </c>
    </row>
    <row r="584" spans="1:6" ht="15" customHeight="1" x14ac:dyDescent="0.3">
      <c r="A584" s="19">
        <v>44280</v>
      </c>
      <c r="B584" s="26">
        <f>('Raw Price Data'!B584-'Raw Price Data'!B583)/'Raw Price Data'!B583</f>
        <v>2.7221243991814584E-2</v>
      </c>
      <c r="C584" s="26">
        <f>('Raw Price Data'!C584-'Raw Price Data'!C583)/'Raw Price Data'!C583</f>
        <v>1.1665325824617883E-2</v>
      </c>
      <c r="D584" s="26">
        <f>('Raw Price Data'!D584-'Raw Price Data'!D583)/'Raw Price Data'!D583</f>
        <v>3.2005849926875898E-2</v>
      </c>
      <c r="E584" s="26">
        <f>('Raw Price Data'!E584-'Raw Price Data'!E583)/'Raw Price Data'!E583</f>
        <v>2.0880459370106936E-3</v>
      </c>
      <c r="F584" s="26">
        <f>('Raw Price Data'!F584-'Raw Price Data'!F583)/'Raw Price Data'!F583</f>
        <v>-2.058407601926996E-2</v>
      </c>
    </row>
    <row r="585" spans="1:6" ht="15" customHeight="1" x14ac:dyDescent="0.3">
      <c r="A585" s="21">
        <v>44281</v>
      </c>
      <c r="B585" s="25">
        <f>('Raw Price Data'!B585-'Raw Price Data'!B584)/'Raw Price Data'!B584</f>
        <v>3.1503358813991513E-3</v>
      </c>
      <c r="C585" s="25">
        <f>('Raw Price Data'!C585-'Raw Price Data'!C584)/'Raw Price Data'!C584</f>
        <v>2.5357852882703768E-2</v>
      </c>
      <c r="D585" s="25">
        <f>('Raw Price Data'!D585-'Raw Price Data'!D584)/'Raw Price Data'!D584</f>
        <v>1.7223524281898928E-2</v>
      </c>
      <c r="E585" s="25">
        <f>('Raw Price Data'!E585-'Raw Price Data'!E584)/'Raw Price Data'!E584</f>
        <v>-6.9456502865081725E-3</v>
      </c>
      <c r="F585" s="25">
        <f>('Raw Price Data'!F585-'Raw Price Data'!F584)/'Raw Price Data'!F584</f>
        <v>9.7031725682868836E-4</v>
      </c>
    </row>
    <row r="586" spans="1:6" ht="15" customHeight="1" x14ac:dyDescent="0.3">
      <c r="A586" s="19">
        <v>44284</v>
      </c>
      <c r="B586" s="26">
        <f>('Raw Price Data'!B586-'Raw Price Data'!B585)/'Raw Price Data'!B585</f>
        <v>-4.8030296032881914E-3</v>
      </c>
      <c r="C586" s="26">
        <f>('Raw Price Data'!C586-'Raw Price Data'!C585)/'Raw Price Data'!C585</f>
        <v>-1.7721592616649351E-2</v>
      </c>
      <c r="D586" s="26">
        <f>('Raw Price Data'!D586-'Raw Price Data'!D585)/'Raw Price Data'!D585</f>
        <v>2.3415313722338342E-2</v>
      </c>
      <c r="E586" s="26">
        <f>('Raw Price Data'!E586-'Raw Price Data'!E585)/'Raw Price Data'!E585</f>
        <v>5.3913854403451148E-3</v>
      </c>
      <c r="F586" s="26">
        <f>('Raw Price Data'!F586-'Raw Price Data'!F585)/'Raw Price Data'!F585</f>
        <v>-1.8268886468959284E-3</v>
      </c>
    </row>
    <row r="587" spans="1:6" ht="15" customHeight="1" x14ac:dyDescent="0.3">
      <c r="A587" s="21">
        <v>44285</v>
      </c>
      <c r="B587" s="25">
        <f>('Raw Price Data'!B587-'Raw Price Data'!B586)/'Raw Price Data'!B586</f>
        <v>7.9354030349435209E-3</v>
      </c>
      <c r="C587" s="25">
        <f>('Raw Price Data'!C587-'Raw Price Data'!C586)/'Raw Price Data'!C586</f>
        <v>-6.5138221331777397E-4</v>
      </c>
      <c r="D587" s="25">
        <f>('Raw Price Data'!D587-'Raw Price Data'!D586)/'Raw Price Data'!D586</f>
        <v>8.6387434554974114E-3</v>
      </c>
      <c r="E587" s="25">
        <f>('Raw Price Data'!E587-'Raw Price Data'!E586)/'Raw Price Data'!E586</f>
        <v>-3.0957419055624821E-2</v>
      </c>
      <c r="F587" s="25">
        <f>('Raw Price Data'!F587-'Raw Price Data'!F586)/'Raw Price Data'!F586</f>
        <v>-1.5994080202280842E-2</v>
      </c>
    </row>
    <row r="588" spans="1:6" ht="15" customHeight="1" x14ac:dyDescent="0.3">
      <c r="A588" s="19">
        <v>44286</v>
      </c>
      <c r="B588" s="26">
        <f>('Raw Price Data'!B588-'Raw Price Data'!B587)/'Raw Price Data'!B587</f>
        <v>-6.721915285451103E-3</v>
      </c>
      <c r="C588" s="26">
        <f>('Raw Price Data'!C588-'Raw Price Data'!C587)/'Raw Price Data'!C587</f>
        <v>1.1831280800339634E-2</v>
      </c>
      <c r="D588" s="26">
        <f>('Raw Price Data'!D588-'Raw Price Data'!D587)/'Raw Price Data'!D587</f>
        <v>1.6973786659745558E-2</v>
      </c>
      <c r="E588" s="26">
        <f>('Raw Price Data'!E588-'Raw Price Data'!E587)/'Raw Price Data'!E587</f>
        <v>9.1830935359396761E-3</v>
      </c>
      <c r="F588" s="26">
        <f>('Raw Price Data'!F588-'Raw Price Data'!F587)/'Raw Price Data'!F587</f>
        <v>1.543982658533738E-2</v>
      </c>
    </row>
    <row r="589" spans="1:6" ht="15" customHeight="1" x14ac:dyDescent="0.3">
      <c r="A589" s="21">
        <v>44287</v>
      </c>
      <c r="B589" s="25">
        <f>('Raw Price Data'!B589-'Raw Price Data'!B588)/'Raw Price Data'!B588</f>
        <v>-1.8216371558357314E-2</v>
      </c>
      <c r="C589" s="25">
        <f>('Raw Price Data'!C589-'Raw Price Data'!C588)/'Raw Price Data'!C588</f>
        <v>1.3820701771509524E-2</v>
      </c>
      <c r="D589" s="25">
        <f>('Raw Price Data'!D589-'Raw Price Data'!D588)/'Raw Price Data'!D588</f>
        <v>3.1033074724377361E-2</v>
      </c>
      <c r="E589" s="25">
        <f>('Raw Price Data'!E589-'Raw Price Data'!E588)/'Raw Price Data'!E588</f>
        <v>2.8750963305472386E-3</v>
      </c>
      <c r="F589" s="25">
        <f>('Raw Price Data'!F589-'Raw Price Data'!F588)/'Raw Price Data'!F588</f>
        <v>1.7802861698651233E-3</v>
      </c>
    </row>
    <row r="590" spans="1:6" ht="15" customHeight="1" x14ac:dyDescent="0.3">
      <c r="A590" s="19">
        <v>44288</v>
      </c>
      <c r="B590" s="26">
        <f>('Raw Price Data'!B590-'Raw Price Data'!B589)/'Raw Price Data'!B589</f>
        <v>4.4851517869788421E-3</v>
      </c>
      <c r="C590" s="26">
        <f>('Raw Price Data'!C590-'Raw Price Data'!C589)/'Raw Price Data'!C589</f>
        <v>1.043602160371992E-2</v>
      </c>
      <c r="D590" s="26">
        <f>('Raw Price Data'!D590-'Raw Price Data'!D589)/'Raw Price Data'!D589</f>
        <v>-4.4554455445546242E-4</v>
      </c>
      <c r="E590" s="26">
        <f>('Raw Price Data'!E590-'Raw Price Data'!E589)/'Raw Price Data'!E589</f>
        <v>6.5316979459139335E-3</v>
      </c>
      <c r="F590" s="26">
        <f>('Raw Price Data'!F590-'Raw Price Data'!F589)/'Raw Price Data'!F589</f>
        <v>-2.5185362248408706E-2</v>
      </c>
    </row>
    <row r="591" spans="1:6" ht="15" customHeight="1" x14ac:dyDescent="0.3">
      <c r="A591" s="21">
        <v>44291</v>
      </c>
      <c r="B591" s="25">
        <f>('Raw Price Data'!B591-'Raw Price Data'!B590)/'Raw Price Data'!B590</f>
        <v>-2.1150592216581531E-3</v>
      </c>
      <c r="C591" s="25">
        <f>('Raw Price Data'!C591-'Raw Price Data'!C590)/'Raw Price Data'!C590</f>
        <v>2.3648230193892561E-2</v>
      </c>
      <c r="D591" s="25">
        <f>('Raw Price Data'!D591-'Raw Price Data'!D590)/'Raw Price Data'!D590</f>
        <v>-2.4614927442920109E-2</v>
      </c>
      <c r="E591" s="25">
        <f>('Raw Price Data'!E591-'Raw Price Data'!E590)/'Raw Price Data'!E590</f>
        <v>-2.1376556260277277E-2</v>
      </c>
      <c r="F591" s="25">
        <f>('Raw Price Data'!F591-'Raw Price Data'!F590)/'Raw Price Data'!F590</f>
        <v>-5.0392680304970098E-3</v>
      </c>
    </row>
    <row r="592" spans="1:6" ht="15" customHeight="1" x14ac:dyDescent="0.3">
      <c r="A592" s="19">
        <v>44292</v>
      </c>
      <c r="B592" s="26">
        <f>('Raw Price Data'!B592-'Raw Price Data'!B591)/'Raw Price Data'!B591</f>
        <v>2.6376524892845477E-3</v>
      </c>
      <c r="C592" s="26">
        <f>('Raw Price Data'!C592-'Raw Price Data'!C591)/'Raw Price Data'!C591</f>
        <v>-8.246693411022181E-3</v>
      </c>
      <c r="D592" s="26">
        <f>('Raw Price Data'!D592-'Raw Price Data'!D591)/'Raw Price Data'!D591</f>
        <v>-2.2849598862597167E-3</v>
      </c>
      <c r="E592" s="26">
        <f>('Raw Price Data'!E592-'Raw Price Data'!E591)/'Raw Price Data'!E591</f>
        <v>9.3314930388862637E-3</v>
      </c>
      <c r="F592" s="26">
        <f>('Raw Price Data'!F592-'Raw Price Data'!F591)/'Raw Price Data'!F591</f>
        <v>-3.3195047816417193E-3</v>
      </c>
    </row>
    <row r="593" spans="1:6" ht="15" customHeight="1" x14ac:dyDescent="0.3">
      <c r="A593" s="21">
        <v>44293</v>
      </c>
      <c r="B593" s="25">
        <f>('Raw Price Data'!B593-'Raw Price Data'!B592)/'Raw Price Data'!B592</f>
        <v>5.4963123032836358E-3</v>
      </c>
      <c r="C593" s="25">
        <f>('Raw Price Data'!C593-'Raw Price Data'!C592)/'Raw Price Data'!C592</f>
        <v>-2.3209542848025844E-2</v>
      </c>
      <c r="D593" s="25">
        <f>('Raw Price Data'!D593-'Raw Price Data'!D592)/'Raw Price Data'!D592</f>
        <v>3.3080563896380338E-3</v>
      </c>
      <c r="E593" s="25">
        <f>('Raw Price Data'!E593-'Raw Price Data'!E592)/'Raw Price Data'!E592</f>
        <v>3.9240167662534355E-3</v>
      </c>
      <c r="F593" s="25">
        <f>('Raw Price Data'!F593-'Raw Price Data'!F592)/'Raw Price Data'!F592</f>
        <v>-9.214587339033412E-4</v>
      </c>
    </row>
    <row r="594" spans="1:6" ht="15" customHeight="1" x14ac:dyDescent="0.3">
      <c r="A594" s="19">
        <v>44294</v>
      </c>
      <c r="B594" s="26">
        <f>('Raw Price Data'!B594-'Raw Price Data'!B593)/'Raw Price Data'!B593</f>
        <v>-6.7277144458979523E-3</v>
      </c>
      <c r="C594" s="26">
        <f>('Raw Price Data'!C594-'Raw Price Data'!C593)/'Raw Price Data'!C593</f>
        <v>2.3040411998693305E-2</v>
      </c>
      <c r="D594" s="26">
        <f>('Raw Price Data'!D594-'Raw Price Data'!D593)/'Raw Price Data'!D593</f>
        <v>-1.2579892462209545E-2</v>
      </c>
      <c r="E594" s="26">
        <f>('Raw Price Data'!E594-'Raw Price Data'!E593)/'Raw Price Data'!E593</f>
        <v>3.5533445855913225E-4</v>
      </c>
      <c r="F594" s="26">
        <f>('Raw Price Data'!F594-'Raw Price Data'!F593)/'Raw Price Data'!F593</f>
        <v>-8.2945898811390053E-3</v>
      </c>
    </row>
    <row r="595" spans="1:6" ht="15" customHeight="1" x14ac:dyDescent="0.3">
      <c r="A595" s="21">
        <v>44295</v>
      </c>
      <c r="B595" s="25">
        <f>('Raw Price Data'!B595-'Raw Price Data'!B594)/'Raw Price Data'!B594</f>
        <v>6.161806208842908E-3</v>
      </c>
      <c r="C595" s="25">
        <f>('Raw Price Data'!C595-'Raw Price Data'!C594)/'Raw Price Data'!C594</f>
        <v>5.7289905706440884E-4</v>
      </c>
      <c r="D595" s="25">
        <f>('Raw Price Data'!D595-'Raw Price Data'!D594)/'Raw Price Data'!D594</f>
        <v>-1.844241241138397E-2</v>
      </c>
      <c r="E595" s="25">
        <f>('Raw Price Data'!E595-'Raw Price Data'!E594)/'Raw Price Data'!E594</f>
        <v>7.4593730574550477E-3</v>
      </c>
      <c r="F595" s="25">
        <f>('Raw Price Data'!F595-'Raw Price Data'!F594)/'Raw Price Data'!F594</f>
        <v>-1.1785854735509638E-2</v>
      </c>
    </row>
    <row r="596" spans="1:6" ht="15" customHeight="1" x14ac:dyDescent="0.3">
      <c r="A596" s="19">
        <v>44298</v>
      </c>
      <c r="B596" s="26">
        <f>('Raw Price Data'!B596-'Raw Price Data'!B595)/'Raw Price Data'!B595</f>
        <v>2.4402786218503104E-2</v>
      </c>
      <c r="C596" s="26">
        <f>('Raw Price Data'!C596-'Raw Price Data'!C595)/'Raw Price Data'!C595</f>
        <v>-9.0766588133698589E-3</v>
      </c>
      <c r="D596" s="26">
        <f>('Raw Price Data'!D596-'Raw Price Data'!D595)/'Raw Price Data'!D595</f>
        <v>-7.3794944261265328E-3</v>
      </c>
      <c r="E596" s="26">
        <f>('Raw Price Data'!E596-'Raw Price Data'!E595)/'Raw Price Data'!E595</f>
        <v>-1.5190245335683901E-2</v>
      </c>
      <c r="F596" s="26">
        <f>('Raw Price Data'!F596-'Raw Price Data'!F595)/'Raw Price Data'!F595</f>
        <v>3.1796971794787235E-3</v>
      </c>
    </row>
    <row r="597" spans="1:6" ht="15" customHeight="1" x14ac:dyDescent="0.3">
      <c r="A597" s="21">
        <v>44299</v>
      </c>
      <c r="B597" s="25">
        <f>('Raw Price Data'!B597-'Raw Price Data'!B596)/'Raw Price Data'!B596</f>
        <v>-1.5059553689590577E-2</v>
      </c>
      <c r="C597" s="25">
        <f>('Raw Price Data'!C597-'Raw Price Data'!C596)/'Raw Price Data'!C596</f>
        <v>1.2219380505825174E-3</v>
      </c>
      <c r="D597" s="25">
        <f>('Raw Price Data'!D597-'Raw Price Data'!D596)/'Raw Price Data'!D596</f>
        <v>-1.8981335020563084E-2</v>
      </c>
      <c r="E597" s="25">
        <f>('Raw Price Data'!E597-'Raw Price Data'!E596)/'Raw Price Data'!E596</f>
        <v>-2.7060087117369749E-2</v>
      </c>
      <c r="F597" s="25">
        <f>('Raw Price Data'!F597-'Raw Price Data'!F596)/'Raw Price Data'!F596</f>
        <v>-1.0596370718964514E-2</v>
      </c>
    </row>
    <row r="598" spans="1:6" ht="15" customHeight="1" x14ac:dyDescent="0.3">
      <c r="A598" s="19">
        <v>44300</v>
      </c>
      <c r="B598" s="26">
        <f>('Raw Price Data'!B598-'Raw Price Data'!B597)/'Raw Price Data'!B597</f>
        <v>2.4417365519158511E-2</v>
      </c>
      <c r="C598" s="26">
        <f>('Raw Price Data'!C598-'Raw Price Data'!C597)/'Raw Price Data'!C597</f>
        <v>-7.0293947908684692E-3</v>
      </c>
      <c r="D598" s="26">
        <f>('Raw Price Data'!D598-'Raw Price Data'!D597)/'Raw Price Data'!D597</f>
        <v>1.4780178437063312E-2</v>
      </c>
      <c r="E598" s="26">
        <f>('Raw Price Data'!E598-'Raw Price Data'!E597)/'Raw Price Data'!E597</f>
        <v>9.0766919137713637E-3</v>
      </c>
      <c r="F598" s="26">
        <f>('Raw Price Data'!F598-'Raw Price Data'!F597)/'Raw Price Data'!F597</f>
        <v>1.1290400736541185E-2</v>
      </c>
    </row>
    <row r="599" spans="1:6" ht="15" customHeight="1" x14ac:dyDescent="0.3">
      <c r="A599" s="21">
        <v>44301</v>
      </c>
      <c r="B599" s="25">
        <f>('Raw Price Data'!B599-'Raw Price Data'!B598)/'Raw Price Data'!B598</f>
        <v>-3.0755314337404197E-3</v>
      </c>
      <c r="C599" s="25">
        <f>('Raw Price Data'!C599-'Raw Price Data'!C598)/'Raw Price Data'!C598</f>
        <v>1.8341019093715463E-2</v>
      </c>
      <c r="D599" s="25">
        <f>('Raw Price Data'!D599-'Raw Price Data'!D598)/'Raw Price Data'!D598</f>
        <v>2.7223134367882984E-2</v>
      </c>
      <c r="E599" s="25">
        <f>('Raw Price Data'!E599-'Raw Price Data'!E598)/'Raw Price Data'!E598</f>
        <v>-4.1146260674020788E-2</v>
      </c>
      <c r="F599" s="25">
        <f>('Raw Price Data'!F599-'Raw Price Data'!F598)/'Raw Price Data'!F598</f>
        <v>5.8867821206105286E-3</v>
      </c>
    </row>
    <row r="600" spans="1:6" ht="15" customHeight="1" x14ac:dyDescent="0.3">
      <c r="A600" s="19">
        <v>44302</v>
      </c>
      <c r="B600" s="26">
        <f>('Raw Price Data'!B600-'Raw Price Data'!B599)/'Raw Price Data'!B599</f>
        <v>-1.0298521005353334E-2</v>
      </c>
      <c r="C600" s="26">
        <f>('Raw Price Data'!C600-'Raw Price Data'!C599)/'Raw Price Data'!C599</f>
        <v>1.6298500201158365E-2</v>
      </c>
      <c r="D600" s="26">
        <f>('Raw Price Data'!D600-'Raw Price Data'!D599)/'Raw Price Data'!D599</f>
        <v>1.1033771590616215E-2</v>
      </c>
      <c r="E600" s="26">
        <f>('Raw Price Data'!E600-'Raw Price Data'!E599)/'Raw Price Data'!E599</f>
        <v>1.1726301777961036E-2</v>
      </c>
      <c r="F600" s="26">
        <f>('Raw Price Data'!F600-'Raw Price Data'!F599)/'Raw Price Data'!F599</f>
        <v>3.0420348896021162E-3</v>
      </c>
    </row>
    <row r="601" spans="1:6" ht="15" customHeight="1" x14ac:dyDescent="0.3">
      <c r="A601" s="21">
        <v>44305</v>
      </c>
      <c r="B601" s="25">
        <f>('Raw Price Data'!B601-'Raw Price Data'!B600)/'Raw Price Data'!B600</f>
        <v>3.3967453586981416E-2</v>
      </c>
      <c r="C601" s="25">
        <f>('Raw Price Data'!C601-'Raw Price Data'!C600)/'Raw Price Data'!C600</f>
        <v>6.0944735461181251E-3</v>
      </c>
      <c r="D601" s="25">
        <f>('Raw Price Data'!D601-'Raw Price Data'!D600)/'Raw Price Data'!D600</f>
        <v>-2.1571727268091132E-2</v>
      </c>
      <c r="E601" s="25">
        <f>('Raw Price Data'!E601-'Raw Price Data'!E600)/'Raw Price Data'!E600</f>
        <v>3.9532625379820205E-2</v>
      </c>
      <c r="F601" s="25">
        <f>('Raw Price Data'!F601-'Raw Price Data'!F600)/'Raw Price Data'!F600</f>
        <v>-6.0951392543397865E-3</v>
      </c>
    </row>
    <row r="602" spans="1:6" ht="15" customHeight="1" x14ac:dyDescent="0.3">
      <c r="A602" s="19">
        <v>44306</v>
      </c>
      <c r="B602" s="26">
        <f>('Raw Price Data'!B602-'Raw Price Data'!B601)/'Raw Price Data'!B601</f>
        <v>2.4827097003014818E-3</v>
      </c>
      <c r="C602" s="26">
        <f>('Raw Price Data'!C602-'Raw Price Data'!C601)/'Raw Price Data'!C601</f>
        <v>1.0138628357048228E-2</v>
      </c>
      <c r="D602" s="26">
        <f>('Raw Price Data'!D602-'Raw Price Data'!D601)/'Raw Price Data'!D601</f>
        <v>3.6484936933179851E-3</v>
      </c>
      <c r="E602" s="26">
        <f>('Raw Price Data'!E602-'Raw Price Data'!E601)/'Raw Price Data'!E601</f>
        <v>7.5033900858820311E-3</v>
      </c>
      <c r="F602" s="26">
        <f>('Raw Price Data'!F602-'Raw Price Data'!F601)/'Raw Price Data'!F601</f>
        <v>1.6192385538541933E-3</v>
      </c>
    </row>
    <row r="603" spans="1:6" ht="15" customHeight="1" x14ac:dyDescent="0.3">
      <c r="A603" s="21">
        <v>44307</v>
      </c>
      <c r="B603" s="25">
        <f>('Raw Price Data'!B603-'Raw Price Data'!B602)/'Raw Price Data'!B602</f>
        <v>1.9281797275782706E-2</v>
      </c>
      <c r="C603" s="25">
        <f>('Raw Price Data'!C603-'Raw Price Data'!C602)/'Raw Price Data'!C602</f>
        <v>1.1685523538629836E-3</v>
      </c>
      <c r="D603" s="25">
        <f>('Raw Price Data'!D603-'Raw Price Data'!D602)/'Raw Price Data'!D602</f>
        <v>-1.3086830078936488E-2</v>
      </c>
      <c r="E603" s="25">
        <f>('Raw Price Data'!E603-'Raw Price Data'!E602)/'Raw Price Data'!E602</f>
        <v>1.6599868397439769E-2</v>
      </c>
      <c r="F603" s="25">
        <f>('Raw Price Data'!F603-'Raw Price Data'!F602)/'Raw Price Data'!F602</f>
        <v>1.0320071406126551E-3</v>
      </c>
    </row>
    <row r="604" spans="1:6" ht="15" customHeight="1" x14ac:dyDescent="0.3">
      <c r="A604" s="19">
        <v>44308</v>
      </c>
      <c r="B604" s="26">
        <f>('Raw Price Data'!B604-'Raw Price Data'!B603)/'Raw Price Data'!B603</f>
        <v>1.1671294689343968E-2</v>
      </c>
      <c r="C604" s="26">
        <f>('Raw Price Data'!C604-'Raw Price Data'!C603)/'Raw Price Data'!C603</f>
        <v>1.8702158846202632E-2</v>
      </c>
      <c r="D604" s="26">
        <f>('Raw Price Data'!D604-'Raw Price Data'!D603)/'Raw Price Data'!D603</f>
        <v>4.7884655861923624E-3</v>
      </c>
      <c r="E604" s="26">
        <f>('Raw Price Data'!E604-'Raw Price Data'!E603)/'Raw Price Data'!E603</f>
        <v>3.1245402924475581E-2</v>
      </c>
      <c r="F604" s="26">
        <f>('Raw Price Data'!F604-'Raw Price Data'!F603)/'Raw Price Data'!F603</f>
        <v>2.0501105002567375E-3</v>
      </c>
    </row>
    <row r="605" spans="1:6" ht="15" customHeight="1" x14ac:dyDescent="0.3">
      <c r="A605" s="21">
        <v>44309</v>
      </c>
      <c r="B605" s="25">
        <f>('Raw Price Data'!B605-'Raw Price Data'!B604)/'Raw Price Data'!B604</f>
        <v>-2.298751983531323E-2</v>
      </c>
      <c r="C605" s="25">
        <f>('Raw Price Data'!C605-'Raw Price Data'!C604)/'Raw Price Data'!C604</f>
        <v>-4.1087495225998978E-2</v>
      </c>
      <c r="D605" s="25">
        <f>('Raw Price Data'!D605-'Raw Price Data'!D604)/'Raw Price Data'!D604</f>
        <v>-1.2568735271013235E-2</v>
      </c>
      <c r="E605" s="25">
        <f>('Raw Price Data'!E605-'Raw Price Data'!E604)/'Raw Price Data'!E604</f>
        <v>2.0199138398333812E-2</v>
      </c>
      <c r="F605" s="25">
        <f>('Raw Price Data'!F605-'Raw Price Data'!F604)/'Raw Price Data'!F604</f>
        <v>-1.7871560461853338E-2</v>
      </c>
    </row>
    <row r="606" spans="1:6" ht="15" customHeight="1" x14ac:dyDescent="0.3">
      <c r="A606" s="19">
        <v>44312</v>
      </c>
      <c r="B606" s="26">
        <f>('Raw Price Data'!B606-'Raw Price Data'!B605)/'Raw Price Data'!B605</f>
        <v>1.9753303191255372E-3</v>
      </c>
      <c r="C606" s="26">
        <f>('Raw Price Data'!C606-'Raw Price Data'!C605)/'Raw Price Data'!C605</f>
        <v>-2.0016116632550155E-2</v>
      </c>
      <c r="D606" s="26">
        <f>('Raw Price Data'!D606-'Raw Price Data'!D605)/'Raw Price Data'!D605</f>
        <v>1.5857862635905492E-2</v>
      </c>
      <c r="E606" s="26">
        <f>('Raw Price Data'!E606-'Raw Price Data'!E605)/'Raw Price Data'!E605</f>
        <v>4.3513521071618343E-2</v>
      </c>
      <c r="F606" s="26">
        <f>('Raw Price Data'!F606-'Raw Price Data'!F605)/'Raw Price Data'!F605</f>
        <v>2.7707962561718383E-4</v>
      </c>
    </row>
    <row r="607" spans="1:6" ht="15" customHeight="1" x14ac:dyDescent="0.3">
      <c r="A607" s="21">
        <v>44313</v>
      </c>
      <c r="B607" s="25">
        <f>('Raw Price Data'!B607-'Raw Price Data'!B606)/'Raw Price Data'!B606</f>
        <v>-6.9657408218698124E-3</v>
      </c>
      <c r="C607" s="25">
        <f>('Raw Price Data'!C607-'Raw Price Data'!C606)/'Raw Price Data'!C606</f>
        <v>-1.039677888885843E-4</v>
      </c>
      <c r="D607" s="25">
        <f>('Raw Price Data'!D607-'Raw Price Data'!D606)/'Raw Price Data'!D606</f>
        <v>1.1485851519264996E-2</v>
      </c>
      <c r="E607" s="25">
        <f>('Raw Price Data'!E607-'Raw Price Data'!E606)/'Raw Price Data'!E606</f>
        <v>-1.599892804502203E-2</v>
      </c>
      <c r="F607" s="25">
        <f>('Raw Price Data'!F607-'Raw Price Data'!F606)/'Raw Price Data'!F606</f>
        <v>-2.5459965888647452E-2</v>
      </c>
    </row>
    <row r="608" spans="1:6" ht="15" customHeight="1" x14ac:dyDescent="0.3">
      <c r="A608" s="19">
        <v>44314</v>
      </c>
      <c r="B608" s="26">
        <f>('Raw Price Data'!B608-'Raw Price Data'!B607)/'Raw Price Data'!B607</f>
        <v>-1.8264437287686886E-2</v>
      </c>
      <c r="C608" s="26">
        <f>('Raw Price Data'!C608-'Raw Price Data'!C607)/'Raw Price Data'!C607</f>
        <v>-6.7018933557676406E-3</v>
      </c>
      <c r="D608" s="26">
        <f>('Raw Price Data'!D608-'Raw Price Data'!D607)/'Raw Price Data'!D607</f>
        <v>-4.6454010529576014E-3</v>
      </c>
      <c r="E608" s="26">
        <f>('Raw Price Data'!E608-'Raw Price Data'!E607)/'Raw Price Data'!E607</f>
        <v>-5.9643771447246523E-3</v>
      </c>
      <c r="F608" s="26">
        <f>('Raw Price Data'!F608-'Raw Price Data'!F607)/'Raw Price Data'!F607</f>
        <v>1.7447555203761852E-3</v>
      </c>
    </row>
    <row r="609" spans="1:6" ht="15" customHeight="1" x14ac:dyDescent="0.3">
      <c r="A609" s="21">
        <v>44315</v>
      </c>
      <c r="B609" s="25">
        <f>('Raw Price Data'!B609-'Raw Price Data'!B608)/'Raw Price Data'!B608</f>
        <v>-2.4221453287197298E-2</v>
      </c>
      <c r="C609" s="25">
        <f>('Raw Price Data'!C609-'Raw Price Data'!C608)/'Raw Price Data'!C608</f>
        <v>-1.6168325688509934E-2</v>
      </c>
      <c r="D609" s="25">
        <f>('Raw Price Data'!D609-'Raw Price Data'!D608)/'Raw Price Data'!D608</f>
        <v>8.3488902717277803E-3</v>
      </c>
      <c r="E609" s="25">
        <f>('Raw Price Data'!E609-'Raw Price Data'!E608)/'Raw Price Data'!E608</f>
        <v>9.6167018274473017E-3</v>
      </c>
      <c r="F609" s="25">
        <f>('Raw Price Data'!F609-'Raw Price Data'!F608)/'Raw Price Data'!F608</f>
        <v>2.8362200479110897E-2</v>
      </c>
    </row>
    <row r="610" spans="1:6" ht="15" customHeight="1" x14ac:dyDescent="0.3">
      <c r="A610" s="19">
        <v>44316</v>
      </c>
      <c r="B610" s="26">
        <f>('Raw Price Data'!B610-'Raw Price Data'!B609)/'Raw Price Data'!B609</f>
        <v>1.7039697890761931E-3</v>
      </c>
      <c r="C610" s="26">
        <f>('Raw Price Data'!C610-'Raw Price Data'!C609)/'Raw Price Data'!C609</f>
        <v>1.1529942060106666E-2</v>
      </c>
      <c r="D610" s="26">
        <f>('Raw Price Data'!D610-'Raw Price Data'!D609)/'Raw Price Data'!D609</f>
        <v>1.3885317562355888E-3</v>
      </c>
      <c r="E610" s="26">
        <f>('Raw Price Data'!E610-'Raw Price Data'!E609)/'Raw Price Data'!E609</f>
        <v>-3.0040705563093604E-2</v>
      </c>
      <c r="F610" s="26">
        <f>('Raw Price Data'!F610-'Raw Price Data'!F609)/'Raw Price Data'!F609</f>
        <v>-1.0672959056767087E-2</v>
      </c>
    </row>
    <row r="611" spans="1:6" ht="15" customHeight="1" x14ac:dyDescent="0.3">
      <c r="A611" s="21">
        <v>44319</v>
      </c>
      <c r="B611" s="25">
        <f>('Raw Price Data'!B611-'Raw Price Data'!B610)/'Raw Price Data'!B610</f>
        <v>8.5053560755828372E-3</v>
      </c>
      <c r="C611" s="25">
        <f>('Raw Price Data'!C611-'Raw Price Data'!C610)/'Raw Price Data'!C610</f>
        <v>-1.6657901027970427E-2</v>
      </c>
      <c r="D611" s="25">
        <f>('Raw Price Data'!D611-'Raw Price Data'!D610)/'Raw Price Data'!D610</f>
        <v>2.7578060805258858E-2</v>
      </c>
      <c r="E611" s="25">
        <f>('Raw Price Data'!E611-'Raw Price Data'!E610)/'Raw Price Data'!E610</f>
        <v>3.6370757910638574E-4</v>
      </c>
      <c r="F611" s="25">
        <f>('Raw Price Data'!F611-'Raw Price Data'!F610)/'Raw Price Data'!F610</f>
        <v>-8.8320676395013849E-3</v>
      </c>
    </row>
    <row r="612" spans="1:6" ht="15" customHeight="1" x14ac:dyDescent="0.3">
      <c r="A612" s="19">
        <v>44320</v>
      </c>
      <c r="B612" s="26">
        <f>('Raw Price Data'!B612-'Raw Price Data'!B611)/'Raw Price Data'!B611</f>
        <v>5.7439824945294989E-3</v>
      </c>
      <c r="C612" s="26">
        <f>('Raw Price Data'!C612-'Raw Price Data'!C611)/'Raw Price Data'!C611</f>
        <v>4.4246496747154919E-3</v>
      </c>
      <c r="D612" s="26">
        <f>('Raw Price Data'!D612-'Raw Price Data'!D611)/'Raw Price Data'!D611</f>
        <v>-2.9536708481183449E-2</v>
      </c>
      <c r="E612" s="26">
        <f>('Raw Price Data'!E612-'Raw Price Data'!E611)/'Raw Price Data'!E611</f>
        <v>1.7339747175299377E-3</v>
      </c>
      <c r="F612" s="26">
        <f>('Raw Price Data'!F612-'Raw Price Data'!F611)/'Raw Price Data'!F611</f>
        <v>9.7632642893732881E-3</v>
      </c>
    </row>
    <row r="613" spans="1:6" ht="15" customHeight="1" x14ac:dyDescent="0.3">
      <c r="A613" s="21">
        <v>44321</v>
      </c>
      <c r="B613" s="25">
        <f>('Raw Price Data'!B613-'Raw Price Data'!B612)/'Raw Price Data'!B612</f>
        <v>-3.8981053394978407E-3</v>
      </c>
      <c r="C613" s="25">
        <f>('Raw Price Data'!C613-'Raw Price Data'!C612)/'Raw Price Data'!C612</f>
        <v>2.7883200371774859E-3</v>
      </c>
      <c r="D613" s="25">
        <f>('Raw Price Data'!D613-'Raw Price Data'!D612)/'Raw Price Data'!D612</f>
        <v>6.9008136780307101E-3</v>
      </c>
      <c r="E613" s="25">
        <f>('Raw Price Data'!E613-'Raw Price Data'!E612)/'Raw Price Data'!E612</f>
        <v>2.4987436484449128E-2</v>
      </c>
      <c r="F613" s="25">
        <f>('Raw Price Data'!F613-'Raw Price Data'!F612)/'Raw Price Data'!F612</f>
        <v>-9.1954057568685542E-3</v>
      </c>
    </row>
    <row r="614" spans="1:6" ht="15" customHeight="1" x14ac:dyDescent="0.3">
      <c r="A614" s="19">
        <v>44322</v>
      </c>
      <c r="B614" s="26">
        <f>('Raw Price Data'!B614-'Raw Price Data'!B613)/'Raw Price Data'!B613</f>
        <v>-1.0784492173279963E-2</v>
      </c>
      <c r="C614" s="26">
        <f>('Raw Price Data'!C614-'Raw Price Data'!C613)/'Raw Price Data'!C613</f>
        <v>1.612342627635816E-3</v>
      </c>
      <c r="D614" s="26">
        <f>('Raw Price Data'!D614-'Raw Price Data'!D613)/'Raw Price Data'!D613</f>
        <v>1.9946808510638181E-2</v>
      </c>
      <c r="E614" s="26">
        <f>('Raw Price Data'!E614-'Raw Price Data'!E613)/'Raw Price Data'!E613</f>
        <v>2.0646637430882752E-2</v>
      </c>
      <c r="F614" s="26">
        <f>('Raw Price Data'!F614-'Raw Price Data'!F613)/'Raw Price Data'!F613</f>
        <v>-1.1345875169184229E-2</v>
      </c>
    </row>
    <row r="615" spans="1:6" ht="15" customHeight="1" x14ac:dyDescent="0.3">
      <c r="A615" s="21">
        <v>44323</v>
      </c>
      <c r="B615" s="25">
        <f>('Raw Price Data'!B615-'Raw Price Data'!B614)/'Raw Price Data'!B614</f>
        <v>-1.3340080040480139E-2</v>
      </c>
      <c r="C615" s="25">
        <f>('Raw Price Data'!C615-'Raw Price Data'!C614)/'Raw Price Data'!C614</f>
        <v>-1.4025042653480299E-2</v>
      </c>
      <c r="D615" s="25">
        <f>('Raw Price Data'!D615-'Raw Price Data'!D614)/'Raw Price Data'!D614</f>
        <v>-5.3655601243606122E-3</v>
      </c>
      <c r="E615" s="25">
        <f>('Raw Price Data'!E615-'Raw Price Data'!E614)/'Raw Price Data'!E614</f>
        <v>1.4971578020335764E-2</v>
      </c>
      <c r="F615" s="25">
        <f>('Raw Price Data'!F615-'Raw Price Data'!F614)/'Raw Price Data'!F614</f>
        <v>-2.3239707786636122E-3</v>
      </c>
    </row>
    <row r="616" spans="1:6" ht="15" customHeight="1" x14ac:dyDescent="0.3">
      <c r="A616" s="19">
        <v>44326</v>
      </c>
      <c r="B616" s="26">
        <f>('Raw Price Data'!B616-'Raw Price Data'!B615)/'Raw Price Data'!B615</f>
        <v>-7.3663107837195789E-3</v>
      </c>
      <c r="C616" s="26">
        <f>('Raw Price Data'!C616-'Raw Price Data'!C615)/'Raw Price Data'!C615</f>
        <v>-2.8155795401220039E-3</v>
      </c>
      <c r="D616" s="26">
        <f>('Raw Price Data'!D616-'Raw Price Data'!D615)/'Raw Price Data'!D615</f>
        <v>-7.4615578522812696E-3</v>
      </c>
      <c r="E616" s="26">
        <f>('Raw Price Data'!E616-'Raw Price Data'!E615)/'Raw Price Data'!E615</f>
        <v>1.3646403029028181E-2</v>
      </c>
      <c r="F616" s="26">
        <f>('Raw Price Data'!F616-'Raw Price Data'!F615)/'Raw Price Data'!F615</f>
        <v>2.0873452696877019E-3</v>
      </c>
    </row>
    <row r="617" spans="1:6" ht="15" customHeight="1" x14ac:dyDescent="0.3">
      <c r="A617" s="21">
        <v>44327</v>
      </c>
      <c r="B617" s="25">
        <f>('Raw Price Data'!B617-'Raw Price Data'!B616)/'Raw Price Data'!B616</f>
        <v>-1.3996524353012962E-2</v>
      </c>
      <c r="C617" s="25">
        <f>('Raw Price Data'!C617-'Raw Price Data'!C616)/'Raw Price Data'!C616</f>
        <v>2.223529411764712E-2</v>
      </c>
      <c r="D617" s="25">
        <f>('Raw Price Data'!D617-'Raw Price Data'!D616)/'Raw Price Data'!D616</f>
        <v>3.2000812719052952E-3</v>
      </c>
      <c r="E617" s="25">
        <f>('Raw Price Data'!E617-'Raw Price Data'!E616)/'Raw Price Data'!E616</f>
        <v>1.6341988534668245E-3</v>
      </c>
      <c r="F617" s="25">
        <f>('Raw Price Data'!F617-'Raw Price Data'!F616)/'Raw Price Data'!F616</f>
        <v>1.0205707746776392E-2</v>
      </c>
    </row>
    <row r="618" spans="1:6" ht="15" customHeight="1" x14ac:dyDescent="0.3">
      <c r="A618" s="19">
        <v>44328</v>
      </c>
      <c r="B618" s="26">
        <f>('Raw Price Data'!B618-'Raw Price Data'!B617)/'Raw Price Data'!B617</f>
        <v>-2.524651074167585E-3</v>
      </c>
      <c r="C618" s="26">
        <f>('Raw Price Data'!C618-'Raw Price Data'!C617)/'Raw Price Data'!C617</f>
        <v>1.0185291748187258E-2</v>
      </c>
      <c r="D618" s="26">
        <f>('Raw Price Data'!D618-'Raw Price Data'!D617)/'Raw Price Data'!D617</f>
        <v>-1.4075949367088614E-2</v>
      </c>
      <c r="E618" s="26">
        <f>('Raw Price Data'!E618-'Raw Price Data'!E617)/'Raw Price Data'!E617</f>
        <v>5.9822862174340975E-3</v>
      </c>
      <c r="F618" s="26">
        <f>('Raw Price Data'!F618-'Raw Price Data'!F617)/'Raw Price Data'!F617</f>
        <v>-4.9286184682548603E-3</v>
      </c>
    </row>
    <row r="619" spans="1:6" ht="15" customHeight="1" x14ac:dyDescent="0.3">
      <c r="A619" s="21">
        <v>44329</v>
      </c>
      <c r="B619" s="25">
        <f>('Raw Price Data'!B619-'Raw Price Data'!B618)/'Raw Price Data'!B618</f>
        <v>0</v>
      </c>
      <c r="C619" s="25">
        <f>('Raw Price Data'!C619-'Raw Price Data'!C618)/'Raw Price Data'!C618</f>
        <v>1.7573340928510386E-2</v>
      </c>
      <c r="D619" s="25">
        <f>('Raw Price Data'!D619-'Raw Price Data'!D618)/'Raw Price Data'!D618</f>
        <v>-8.0628594905504999E-3</v>
      </c>
      <c r="E619" s="25">
        <f>('Raw Price Data'!E619-'Raw Price Data'!E618)/'Raw Price Data'!E618</f>
        <v>1.4828163212768673E-2</v>
      </c>
      <c r="F619" s="25">
        <f>('Raw Price Data'!F619-'Raw Price Data'!F618)/'Raw Price Data'!F618</f>
        <v>-6.4705305980251688E-3</v>
      </c>
    </row>
    <row r="620" spans="1:6" ht="15" customHeight="1" x14ac:dyDescent="0.3">
      <c r="A620" s="19">
        <v>44330</v>
      </c>
      <c r="B620" s="26">
        <f>('Raw Price Data'!B620-'Raw Price Data'!B619)/'Raw Price Data'!B619</f>
        <v>-1.2082139446036299E-2</v>
      </c>
      <c r="C620" s="26">
        <f>('Raw Price Data'!C620-'Raw Price Data'!C619)/'Raw Price Data'!C619</f>
        <v>-8.1171103087290743E-4</v>
      </c>
      <c r="D620" s="26">
        <f>('Raw Price Data'!D620-'Raw Price Data'!D619)/'Raw Price Data'!D619</f>
        <v>-1.5739062904478344E-2</v>
      </c>
      <c r="E620" s="26">
        <f>('Raw Price Data'!E620-'Raw Price Data'!E619)/'Raw Price Data'!E619</f>
        <v>1.9608837929022651E-2</v>
      </c>
      <c r="F620" s="26">
        <f>('Raw Price Data'!F620-'Raw Price Data'!F619)/'Raw Price Data'!F619</f>
        <v>-2.628560706814186E-3</v>
      </c>
    </row>
    <row r="621" spans="1:6" ht="15" customHeight="1" x14ac:dyDescent="0.3">
      <c r="A621" s="21">
        <v>44333</v>
      </c>
      <c r="B621" s="25">
        <f>('Raw Price Data'!B621-'Raw Price Data'!B620)/'Raw Price Data'!B620</f>
        <v>-2.9003722144341584E-3</v>
      </c>
      <c r="C621" s="25">
        <f>('Raw Price Data'!C621-'Raw Price Data'!C620)/'Raw Price Data'!C620</f>
        <v>-2.9432087698657235E-2</v>
      </c>
      <c r="D621" s="25">
        <f>('Raw Price Data'!D621-'Raw Price Data'!D620)/'Raw Price Data'!D620</f>
        <v>-2.4196517805481453E-3</v>
      </c>
      <c r="E621" s="25">
        <f>('Raw Price Data'!E621-'Raw Price Data'!E620)/'Raw Price Data'!E620</f>
        <v>-1.3111409663133755E-2</v>
      </c>
      <c r="F621" s="25">
        <f>('Raw Price Data'!F621-'Raw Price Data'!F620)/'Raw Price Data'!F620</f>
        <v>-7.6601286075089247E-3</v>
      </c>
    </row>
    <row r="622" spans="1:6" ht="15" customHeight="1" x14ac:dyDescent="0.3">
      <c r="A622" s="19">
        <v>44334</v>
      </c>
      <c r="B622" s="26">
        <f>('Raw Price Data'!B622-'Raw Price Data'!B621)/'Raw Price Data'!B621</f>
        <v>-1.02293110971058E-2</v>
      </c>
      <c r="C622" s="26">
        <f>('Raw Price Data'!C622-'Raw Price Data'!C621)/'Raw Price Data'!C621</f>
        <v>-7.6388755267361164E-3</v>
      </c>
      <c r="D622" s="26">
        <f>('Raw Price Data'!D622-'Raw Price Data'!D621)/'Raw Price Data'!D621</f>
        <v>-3.2533614553124257E-2</v>
      </c>
      <c r="E622" s="26">
        <f>('Raw Price Data'!E622-'Raw Price Data'!E621)/'Raw Price Data'!E621</f>
        <v>8.9747144981974988E-3</v>
      </c>
      <c r="F622" s="26">
        <f>('Raw Price Data'!F622-'Raw Price Data'!F621)/'Raw Price Data'!F621</f>
        <v>3.749204590571088E-3</v>
      </c>
    </row>
    <row r="623" spans="1:6" ht="15" customHeight="1" x14ac:dyDescent="0.3">
      <c r="A623" s="21">
        <v>44335</v>
      </c>
      <c r="B623" s="25">
        <f>('Raw Price Data'!B623-'Raw Price Data'!B622)/'Raw Price Data'!B622</f>
        <v>2.4490595611290837E-4</v>
      </c>
      <c r="C623" s="25">
        <f>('Raw Price Data'!C623-'Raw Price Data'!C622)/'Raw Price Data'!C622</f>
        <v>-2.0552991817583649E-3</v>
      </c>
      <c r="D623" s="25">
        <f>('Raw Price Data'!D623-'Raw Price Data'!D622)/'Raw Price Data'!D622</f>
        <v>-9.1018094615216236E-3</v>
      </c>
      <c r="E623" s="25">
        <f>('Raw Price Data'!E623-'Raw Price Data'!E622)/'Raw Price Data'!E622</f>
        <v>-9.4945406391323849E-4</v>
      </c>
      <c r="F623" s="25">
        <f>('Raw Price Data'!F623-'Raw Price Data'!F622)/'Raw Price Data'!F622</f>
        <v>1.5866958588464864E-2</v>
      </c>
    </row>
    <row r="624" spans="1:6" ht="15" customHeight="1" x14ac:dyDescent="0.3">
      <c r="A624" s="19">
        <v>44336</v>
      </c>
      <c r="B624" s="26">
        <f>('Raw Price Data'!B624-'Raw Price Data'!B623)/'Raw Price Data'!B623</f>
        <v>7.345379756133392E-3</v>
      </c>
      <c r="C624" s="26">
        <f>('Raw Price Data'!C624-'Raw Price Data'!C623)/'Raw Price Data'!C623</f>
        <v>2.354861273024016E-2</v>
      </c>
      <c r="D624" s="26">
        <f>('Raw Price Data'!D624-'Raw Price Data'!D623)/'Raw Price Data'!D623</f>
        <v>9.1854133436003928E-3</v>
      </c>
      <c r="E624" s="26">
        <f>('Raw Price Data'!E624-'Raw Price Data'!E623)/'Raw Price Data'!E623</f>
        <v>5.4770538952106981E-3</v>
      </c>
      <c r="F624" s="26">
        <f>('Raw Price Data'!F624-'Raw Price Data'!F623)/'Raw Price Data'!F623</f>
        <v>-9.0689021690844029E-3</v>
      </c>
    </row>
    <row r="625" spans="1:6" ht="15" customHeight="1" x14ac:dyDescent="0.3">
      <c r="A625" s="21">
        <v>44337</v>
      </c>
      <c r="B625" s="25">
        <f>('Raw Price Data'!B625-'Raw Price Data'!B624)/'Raw Price Data'!B624</f>
        <v>2.8195031840940357E-3</v>
      </c>
      <c r="C625" s="25">
        <f>('Raw Price Data'!C625-'Raw Price Data'!C624)/'Raw Price Data'!C624</f>
        <v>2.063401670463175E-2</v>
      </c>
      <c r="D625" s="25">
        <f>('Raw Price Data'!D625-'Raw Price Data'!D624)/'Raw Price Data'!D624</f>
        <v>-5.5591890124263238E-3</v>
      </c>
      <c r="E625" s="25">
        <f>('Raw Price Data'!E625-'Raw Price Data'!E624)/'Raw Price Data'!E624</f>
        <v>2.2311212814645234E-2</v>
      </c>
      <c r="F625" s="25">
        <f>('Raw Price Data'!F625-'Raw Price Data'!F624)/'Raw Price Data'!F624</f>
        <v>-1.2751106309520701E-2</v>
      </c>
    </row>
    <row r="626" spans="1:6" ht="15" customHeight="1" x14ac:dyDescent="0.3">
      <c r="A626" s="19">
        <v>44340</v>
      </c>
      <c r="B626" s="26">
        <f>('Raw Price Data'!B626-'Raw Price Data'!B625)/'Raw Price Data'!B625</f>
        <v>6.835038053226025E-3</v>
      </c>
      <c r="C626" s="26">
        <f>('Raw Price Data'!C626-'Raw Price Data'!C625)/'Raw Price Data'!C625</f>
        <v>8.0904644112560174E-3</v>
      </c>
      <c r="D626" s="26">
        <f>('Raw Price Data'!D626-'Raw Price Data'!D625)/'Raw Price Data'!D625</f>
        <v>-6.0835251561986931E-3</v>
      </c>
      <c r="E626" s="26">
        <f>('Raw Price Data'!E626-'Raw Price Data'!E625)/'Raw Price Data'!E625</f>
        <v>-4.2578039463760011E-3</v>
      </c>
      <c r="F626" s="26">
        <f>('Raw Price Data'!F626-'Raw Price Data'!F625)/'Raw Price Data'!F625</f>
        <v>-4.3519329299955166E-4</v>
      </c>
    </row>
    <row r="627" spans="1:6" ht="15" customHeight="1" x14ac:dyDescent="0.3">
      <c r="A627" s="21">
        <v>44341</v>
      </c>
      <c r="B627" s="25">
        <f>('Raw Price Data'!B627-'Raw Price Data'!B626)/'Raw Price Data'!B626</f>
        <v>-2.2580645161290314E-2</v>
      </c>
      <c r="C627" s="25">
        <f>('Raw Price Data'!C627-'Raw Price Data'!C626)/'Raw Price Data'!C626</f>
        <v>-1.4519759418471652E-2</v>
      </c>
      <c r="D627" s="25">
        <f>('Raw Price Data'!D627-'Raw Price Data'!D626)/'Raw Price Data'!D626</f>
        <v>1.4557485525227542E-2</v>
      </c>
      <c r="E627" s="25">
        <f>('Raw Price Data'!E627-'Raw Price Data'!E626)/'Raw Price Data'!E626</f>
        <v>-1.6957435371157695E-2</v>
      </c>
      <c r="F627" s="25">
        <f>('Raw Price Data'!F627-'Raw Price Data'!F626)/'Raw Price Data'!F626</f>
        <v>-6.2426291742688029E-3</v>
      </c>
    </row>
    <row r="628" spans="1:6" ht="15" customHeight="1" x14ac:dyDescent="0.3">
      <c r="A628" s="19">
        <v>44342</v>
      </c>
      <c r="B628" s="26">
        <f>('Raw Price Data'!B628-'Raw Price Data'!B627)/'Raw Price Data'!B627</f>
        <v>-4.9258657209004485E-3</v>
      </c>
      <c r="C628" s="26">
        <f>('Raw Price Data'!C628-'Raw Price Data'!C627)/'Raw Price Data'!C627</f>
        <v>2.8643639427126701E-3</v>
      </c>
      <c r="D628" s="26">
        <f>('Raw Price Data'!D628-'Raw Price Data'!D627)/'Raw Price Data'!D627</f>
        <v>2.5218761889233034E-2</v>
      </c>
      <c r="E628" s="26">
        <f>('Raw Price Data'!E628-'Raw Price Data'!E627)/'Raw Price Data'!E627</f>
        <v>-1.6727977729170854E-2</v>
      </c>
      <c r="F628" s="26">
        <f>('Raw Price Data'!F628-'Raw Price Data'!F627)/'Raw Price Data'!F627</f>
        <v>-1.5860647575317063E-2</v>
      </c>
    </row>
    <row r="629" spans="1:6" ht="15" customHeight="1" x14ac:dyDescent="0.3">
      <c r="A629" s="21">
        <v>44343</v>
      </c>
      <c r="B629" s="25">
        <f>('Raw Price Data'!B629-'Raw Price Data'!B628)/'Raw Price Data'!B628</f>
        <v>4.1582099896044925E-3</v>
      </c>
      <c r="C629" s="25">
        <f>('Raw Price Data'!C629-'Raw Price Data'!C628)/'Raw Price Data'!C628</f>
        <v>-4.0229241338111798E-3</v>
      </c>
      <c r="D629" s="25">
        <f>('Raw Price Data'!D629-'Raw Price Data'!D628)/'Raw Price Data'!D628</f>
        <v>-1.1185919524995945E-2</v>
      </c>
      <c r="E629" s="25">
        <f>('Raw Price Data'!E629-'Raw Price Data'!E628)/'Raw Price Data'!E628</f>
        <v>-1.0364266033013894E-2</v>
      </c>
      <c r="F629" s="25">
        <f>('Raw Price Data'!F629-'Raw Price Data'!F628)/'Raw Price Data'!F628</f>
        <v>-1.4752641044430845E-2</v>
      </c>
    </row>
    <row r="630" spans="1:6" ht="15" customHeight="1" x14ac:dyDescent="0.3">
      <c r="A630" s="19">
        <v>44344</v>
      </c>
      <c r="B630" s="26">
        <f>('Raw Price Data'!B630-'Raw Price Data'!B629)/'Raw Price Data'!B629</f>
        <v>9.2186344589598457E-3</v>
      </c>
      <c r="C630" s="26">
        <f>('Raw Price Data'!C630-'Raw Price Data'!C629)/'Raw Price Data'!C629</f>
        <v>-3.701794667541395E-3</v>
      </c>
      <c r="D630" s="26">
        <f>('Raw Price Data'!D630-'Raw Price Data'!D629)/'Raw Price Data'!D629</f>
        <v>1.935449281578375E-2</v>
      </c>
      <c r="E630" s="26">
        <f>('Raw Price Data'!E630-'Raw Price Data'!E629)/'Raw Price Data'!E629</f>
        <v>1.1979871771948192E-2</v>
      </c>
      <c r="F630" s="26">
        <f>('Raw Price Data'!F630-'Raw Price Data'!F629)/'Raw Price Data'!F629</f>
        <v>-2.0691041065892053E-2</v>
      </c>
    </row>
    <row r="631" spans="1:6" ht="15" customHeight="1" x14ac:dyDescent="0.3">
      <c r="A631" s="21">
        <v>44347</v>
      </c>
      <c r="B631" s="25">
        <f>('Raw Price Data'!B631-'Raw Price Data'!B630)/'Raw Price Data'!B630</f>
        <v>-2.1834701055099642E-2</v>
      </c>
      <c r="C631" s="25">
        <f>('Raw Price Data'!C631-'Raw Price Data'!C630)/'Raw Price Data'!C630</f>
        <v>-2.1155112407111289E-2</v>
      </c>
      <c r="D631" s="25">
        <f>('Raw Price Data'!D631-'Raw Price Data'!D630)/'Raw Price Data'!D630</f>
        <v>-2.7139325724504268E-2</v>
      </c>
      <c r="E631" s="25">
        <f>('Raw Price Data'!E631-'Raw Price Data'!E630)/'Raw Price Data'!E630</f>
        <v>-2.6503104649402073E-3</v>
      </c>
      <c r="F631" s="25">
        <f>('Raw Price Data'!F631-'Raw Price Data'!F630)/'Raw Price Data'!F630</f>
        <v>-4.0276248408875631E-4</v>
      </c>
    </row>
    <row r="632" spans="1:6" ht="15" customHeight="1" x14ac:dyDescent="0.3">
      <c r="A632" s="19">
        <v>44348</v>
      </c>
      <c r="B632" s="26">
        <f>('Raw Price Data'!B632-'Raw Price Data'!B631)/'Raw Price Data'!B631</f>
        <v>2.4968789013732834E-3</v>
      </c>
      <c r="C632" s="26">
        <f>('Raw Price Data'!C632-'Raw Price Data'!C631)/'Raw Price Data'!C631</f>
        <v>8.7737000413220228E-3</v>
      </c>
      <c r="D632" s="26">
        <f>('Raw Price Data'!D632-'Raw Price Data'!D631)/'Raw Price Data'!D631</f>
        <v>-1.2921014218521848E-2</v>
      </c>
      <c r="E632" s="26">
        <f>('Raw Price Data'!E632-'Raw Price Data'!E631)/'Raw Price Data'!E631</f>
        <v>-1.0831878116062999E-2</v>
      </c>
      <c r="F632" s="26">
        <f>('Raw Price Data'!F632-'Raw Price Data'!F631)/'Raw Price Data'!F631</f>
        <v>-8.0564301196072892E-3</v>
      </c>
    </row>
    <row r="633" spans="1:6" ht="15" customHeight="1" x14ac:dyDescent="0.3">
      <c r="A633" s="21">
        <v>44349</v>
      </c>
      <c r="B633" s="25">
        <f>('Raw Price Data'!B633-'Raw Price Data'!B632)/'Raw Price Data'!B632</f>
        <v>1.7036114570361083E-2</v>
      </c>
      <c r="C633" s="25">
        <f>('Raw Price Data'!C633-'Raw Price Data'!C632)/'Raw Price Data'!C632</f>
        <v>6.6683178691805912E-5</v>
      </c>
      <c r="D633" s="25">
        <f>('Raw Price Data'!D633-'Raw Price Data'!D632)/'Raw Price Data'!D632</f>
        <v>8.8180523606089661E-3</v>
      </c>
      <c r="E633" s="25">
        <f>('Raw Price Data'!E633-'Raw Price Data'!E632)/'Raw Price Data'!E632</f>
        <v>1.5095305104259887E-2</v>
      </c>
      <c r="F633" s="25">
        <f>('Raw Price Data'!F633-'Raw Price Data'!F632)/'Raw Price Data'!F632</f>
        <v>2.0639026792155561E-2</v>
      </c>
    </row>
    <row r="634" spans="1:6" ht="15" customHeight="1" x14ac:dyDescent="0.3">
      <c r="A634" s="19">
        <v>44350</v>
      </c>
      <c r="B634" s="26">
        <f>('Raw Price Data'!B634-'Raw Price Data'!B633)/'Raw Price Data'!B633</f>
        <v>-2.1550668560513186E-3</v>
      </c>
      <c r="C634" s="26">
        <f>('Raw Price Data'!C634-'Raw Price Data'!C633)/'Raw Price Data'!C633</f>
        <v>1.4783627513550054E-2</v>
      </c>
      <c r="D634" s="26">
        <f>('Raw Price Data'!D634-'Raw Price Data'!D633)/'Raw Price Data'!D633</f>
        <v>4.4519246430316153E-3</v>
      </c>
      <c r="E634" s="26">
        <f>('Raw Price Data'!E634-'Raw Price Data'!E633)/'Raw Price Data'!E633</f>
        <v>3.503465658475076E-3</v>
      </c>
      <c r="F634" s="26">
        <f>('Raw Price Data'!F634-'Raw Price Data'!F633)/'Raw Price Data'!F633</f>
        <v>4.824756803861698E-3</v>
      </c>
    </row>
    <row r="635" spans="1:6" ht="15" customHeight="1" x14ac:dyDescent="0.3">
      <c r="A635" s="21">
        <v>44351</v>
      </c>
      <c r="B635" s="25">
        <f>('Raw Price Data'!B635-'Raw Price Data'!B634)/'Raw Price Data'!B634</f>
        <v>-9.8169145437583386E-4</v>
      </c>
      <c r="C635" s="25">
        <f>('Raw Price Data'!C635-'Raw Price Data'!C634)/'Raw Price Data'!C634</f>
        <v>-2.5184684557836474E-2</v>
      </c>
      <c r="D635" s="25">
        <f>('Raw Price Data'!D635-'Raw Price Data'!D634)/'Raw Price Data'!D634</f>
        <v>2.2701475595914597E-3</v>
      </c>
      <c r="E635" s="25">
        <f>('Raw Price Data'!E635-'Raw Price Data'!E634)/'Raw Price Data'!E634</f>
        <v>1.3713769025970856E-2</v>
      </c>
      <c r="F635" s="25">
        <f>('Raw Price Data'!F635-'Raw Price Data'!F634)/'Raw Price Data'!F634</f>
        <v>-1.1228477904807813E-2</v>
      </c>
    </row>
    <row r="636" spans="1:6" ht="15" customHeight="1" x14ac:dyDescent="0.3">
      <c r="A636" s="19">
        <v>44354</v>
      </c>
      <c r="B636" s="26">
        <f>('Raw Price Data'!B636-'Raw Price Data'!B635)/'Raw Price Data'!B635</f>
        <v>6.5346631946151057E-3</v>
      </c>
      <c r="C636" s="26">
        <f>('Raw Price Data'!C636-'Raw Price Data'!C635)/'Raw Price Data'!C635</f>
        <v>-1.9277804525758287E-2</v>
      </c>
      <c r="D636" s="26">
        <f>('Raw Price Data'!D636-'Raw Price Data'!D635)/'Raw Price Data'!D635</f>
        <v>1.4021463625087603E-2</v>
      </c>
      <c r="E636" s="26">
        <f>('Raw Price Data'!E636-'Raw Price Data'!E635)/'Raw Price Data'!E635</f>
        <v>4.19226957383547E-2</v>
      </c>
      <c r="F636" s="26">
        <f>('Raw Price Data'!F636-'Raw Price Data'!F635)/'Raw Price Data'!F635</f>
        <v>-1.2129411044894733E-2</v>
      </c>
    </row>
    <row r="637" spans="1:6" ht="15" customHeight="1" x14ac:dyDescent="0.3">
      <c r="A637" s="21">
        <v>44355</v>
      </c>
      <c r="B637" s="25">
        <f>('Raw Price Data'!B637-'Raw Price Data'!B636)/'Raw Price Data'!B636</f>
        <v>3.7586644537732196E-3</v>
      </c>
      <c r="C637" s="25">
        <f>('Raw Price Data'!C637-'Raw Price Data'!C636)/'Raw Price Data'!C636</f>
        <v>6.4910454795381253E-2</v>
      </c>
      <c r="D637" s="25">
        <f>('Raw Price Data'!D637-'Raw Price Data'!D636)/'Raw Price Data'!D636</f>
        <v>-2.8186991437536622E-3</v>
      </c>
      <c r="E637" s="25">
        <f>('Raw Price Data'!E637-'Raw Price Data'!E636)/'Raw Price Data'!E636</f>
        <v>3.602682393227441E-2</v>
      </c>
      <c r="F637" s="25">
        <f>('Raw Price Data'!F637-'Raw Price Data'!F636)/'Raw Price Data'!F636</f>
        <v>-4.9340317461503891E-3</v>
      </c>
    </row>
    <row r="638" spans="1:6" ht="15" customHeight="1" x14ac:dyDescent="0.3">
      <c r="A638" s="19">
        <v>44356</v>
      </c>
      <c r="B638" s="26">
        <f>('Raw Price Data'!B638-'Raw Price Data'!B637)/'Raw Price Data'!B637</f>
        <v>9.6775762291494878E-3</v>
      </c>
      <c r="C638" s="26">
        <f>('Raw Price Data'!C638-'Raw Price Data'!C637)/'Raw Price Data'!C637</f>
        <v>-1.4927299716943572E-2</v>
      </c>
      <c r="D638" s="26">
        <f>('Raw Price Data'!D638-'Raw Price Data'!D637)/'Raw Price Data'!D637</f>
        <v>1.2426666666666733E-2</v>
      </c>
      <c r="E638" s="26">
        <f>('Raw Price Data'!E638-'Raw Price Data'!E637)/'Raw Price Data'!E637</f>
        <v>6.9777583951154852E-3</v>
      </c>
      <c r="F638" s="26">
        <f>('Raw Price Data'!F638-'Raw Price Data'!F637)/'Raw Price Data'!F637</f>
        <v>-1.5087908890643887E-2</v>
      </c>
    </row>
    <row r="639" spans="1:6" ht="15" customHeight="1" x14ac:dyDescent="0.3">
      <c r="A639" s="21">
        <v>44357</v>
      </c>
      <c r="B639" s="25">
        <f>('Raw Price Data'!B639-'Raw Price Data'!B638)/'Raw Price Data'!B638</f>
        <v>1.3004527502166545E-3</v>
      </c>
      <c r="C639" s="25">
        <f>('Raw Price Data'!C639-'Raw Price Data'!C638)/'Raw Price Data'!C638</f>
        <v>5.66267315612126E-3</v>
      </c>
      <c r="D639" s="25">
        <f>('Raw Price Data'!D639-'Raw Price Data'!D638)/'Raw Price Data'!D638</f>
        <v>-7.3223410419850114E-3</v>
      </c>
      <c r="E639" s="25">
        <f>('Raw Price Data'!E639-'Raw Price Data'!E638)/'Raw Price Data'!E638</f>
        <v>6.8838184677806266E-3</v>
      </c>
      <c r="F639" s="25">
        <f>('Raw Price Data'!F639-'Raw Price Data'!F638)/'Raw Price Data'!F638</f>
        <v>-5.3228668664046398E-4</v>
      </c>
    </row>
    <row r="640" spans="1:6" ht="15" customHeight="1" x14ac:dyDescent="0.3">
      <c r="A640" s="19">
        <v>44358</v>
      </c>
      <c r="B640" s="26">
        <f>('Raw Price Data'!B640-'Raw Price Data'!B639)/'Raw Price Data'!B639</f>
        <v>2.4532204531243413E-3</v>
      </c>
      <c r="C640" s="26">
        <f>('Raw Price Data'!C640-'Raw Price Data'!C639)/'Raw Price Data'!C639</f>
        <v>8.3205360882312382E-3</v>
      </c>
      <c r="D640" s="26">
        <f>('Raw Price Data'!D640-'Raw Price Data'!D639)/'Raw Price Data'!D639</f>
        <v>-9.4459774994693334E-3</v>
      </c>
      <c r="E640" s="26">
        <f>('Raw Price Data'!E640-'Raw Price Data'!E639)/'Raw Price Data'!E639</f>
        <v>2.1528988296017907E-2</v>
      </c>
      <c r="F640" s="26">
        <f>('Raw Price Data'!F640-'Raw Price Data'!F639)/'Raw Price Data'!F639</f>
        <v>1.2827514739038447E-2</v>
      </c>
    </row>
    <row r="641" spans="1:6" ht="15" customHeight="1" x14ac:dyDescent="0.3">
      <c r="A641" s="21">
        <v>44361</v>
      </c>
      <c r="B641" s="25">
        <f>('Raw Price Data'!B641-'Raw Price Data'!B640)/'Raw Price Data'!B640</f>
        <v>-1.0508637236084441E-2</v>
      </c>
      <c r="C641" s="25">
        <f>('Raw Price Data'!C641-'Raw Price Data'!C640)/'Raw Price Data'!C640</f>
        <v>-1.6734509271822805E-2</v>
      </c>
      <c r="D641" s="25">
        <f>('Raw Price Data'!D641-'Raw Price Data'!D640)/'Raw Price Data'!D640</f>
        <v>-2.9143897996357002E-2</v>
      </c>
      <c r="E641" s="25">
        <f>('Raw Price Data'!E641-'Raw Price Data'!E640)/'Raw Price Data'!E640</f>
        <v>2.4621044233667257E-2</v>
      </c>
      <c r="F641" s="25">
        <f>('Raw Price Data'!F641-'Raw Price Data'!F640)/'Raw Price Data'!F640</f>
        <v>-3.2886067728792215E-3</v>
      </c>
    </row>
    <row r="642" spans="1:6" ht="15" customHeight="1" x14ac:dyDescent="0.3">
      <c r="A642" s="19">
        <v>44362</v>
      </c>
      <c r="B642" s="26">
        <f>('Raw Price Data'!B642-'Raw Price Data'!B641)/'Raw Price Data'!B641</f>
        <v>-2.0852528975316754E-3</v>
      </c>
      <c r="C642" s="26">
        <f>('Raw Price Data'!C642-'Raw Price Data'!C641)/'Raw Price Data'!C641</f>
        <v>3.1072226498695069E-2</v>
      </c>
      <c r="D642" s="26">
        <f>('Raw Price Data'!D642-'Raw Price Data'!D641)/'Raw Price Data'!D641</f>
        <v>1.1036309458117205E-2</v>
      </c>
      <c r="E642" s="26">
        <f>('Raw Price Data'!E642-'Raw Price Data'!E641)/'Raw Price Data'!E641</f>
        <v>-6.293933167513842E-3</v>
      </c>
      <c r="F642" s="26">
        <f>('Raw Price Data'!F642-'Raw Price Data'!F641)/'Raw Price Data'!F641</f>
        <v>-7.5268740363094444E-3</v>
      </c>
    </row>
    <row r="643" spans="1:6" ht="15" customHeight="1" x14ac:dyDescent="0.3">
      <c r="A643" s="21">
        <v>44363</v>
      </c>
      <c r="B643" s="25">
        <f>('Raw Price Data'!B643-'Raw Price Data'!B642)/'Raw Price Data'!B642</f>
        <v>1.7688793857517673E-2</v>
      </c>
      <c r="C643" s="25">
        <f>('Raw Price Data'!C643-'Raw Price Data'!C642)/'Raw Price Data'!C642</f>
        <v>-5.644779489419597E-4</v>
      </c>
      <c r="D643" s="25">
        <f>('Raw Price Data'!D643-'Raw Price Data'!D642)/'Raw Price Data'!D642</f>
        <v>-1.3262744241895027E-2</v>
      </c>
      <c r="E643" s="25">
        <f>('Raw Price Data'!E643-'Raw Price Data'!E642)/'Raw Price Data'!E642</f>
        <v>-2.2658018457252363E-2</v>
      </c>
      <c r="F643" s="25">
        <f>('Raw Price Data'!F643-'Raw Price Data'!F642)/'Raw Price Data'!F642</f>
        <v>-2.2008534202354563E-2</v>
      </c>
    </row>
    <row r="644" spans="1:6" ht="15" customHeight="1" x14ac:dyDescent="0.3">
      <c r="A644" s="19">
        <v>44364</v>
      </c>
      <c r="B644" s="26">
        <f>('Raw Price Data'!B644-'Raw Price Data'!B643)/'Raw Price Data'!B643</f>
        <v>-2.4830484194440926E-3</v>
      </c>
      <c r="C644" s="26">
        <f>('Raw Price Data'!C644-'Raw Price Data'!C643)/'Raw Price Data'!C643</f>
        <v>3.2339169566563616E-3</v>
      </c>
      <c r="D644" s="26">
        <f>('Raw Price Data'!D644-'Raw Price Data'!D643)/'Raw Price Data'!D643</f>
        <v>1.6261961391669882E-2</v>
      </c>
      <c r="E644" s="26">
        <f>('Raw Price Data'!E644-'Raw Price Data'!E643)/'Raw Price Data'!E643</f>
        <v>1.6769480881010244E-2</v>
      </c>
      <c r="F644" s="26">
        <f>('Raw Price Data'!F644-'Raw Price Data'!F643)/'Raw Price Data'!F643</f>
        <v>-1.6358749576116792E-2</v>
      </c>
    </row>
    <row r="645" spans="1:6" ht="15" customHeight="1" x14ac:dyDescent="0.3">
      <c r="A645" s="21">
        <v>44365</v>
      </c>
      <c r="B645" s="25">
        <f>('Raw Price Data'!B645-'Raw Price Data'!B644)/'Raw Price Data'!B644</f>
        <v>-2.010531354715251E-3</v>
      </c>
      <c r="C645" s="25">
        <f>('Raw Price Data'!C645-'Raw Price Data'!C644)/'Raw Price Data'!C644</f>
        <v>3.2670776997884315E-2</v>
      </c>
      <c r="D645" s="25">
        <f>('Raw Price Data'!D645-'Raw Price Data'!D644)/'Raw Price Data'!D644</f>
        <v>1.6273880150220483E-2</v>
      </c>
      <c r="E645" s="25">
        <f>('Raw Price Data'!E645-'Raw Price Data'!E644)/'Raw Price Data'!E644</f>
        <v>4.7310320658840565E-3</v>
      </c>
      <c r="F645" s="25">
        <f>('Raw Price Data'!F645-'Raw Price Data'!F644)/'Raw Price Data'!F644</f>
        <v>1.3290117519684837E-3</v>
      </c>
    </row>
    <row r="646" spans="1:6" ht="15" customHeight="1" x14ac:dyDescent="0.3">
      <c r="A646" s="19">
        <v>44368</v>
      </c>
      <c r="B646" s="26">
        <f>('Raw Price Data'!B646-'Raw Price Data'!B645)/'Raw Price Data'!B645</f>
        <v>-6.5234075211050716E-3</v>
      </c>
      <c r="C646" s="26">
        <f>('Raw Price Data'!C646-'Raw Price Data'!C645)/'Raw Price Data'!C645</f>
        <v>-1.3365339804971595E-2</v>
      </c>
      <c r="D646" s="26">
        <f>('Raw Price Data'!D646-'Raw Price Data'!D645)/'Raw Price Data'!D645</f>
        <v>-3.1062553556127489E-3</v>
      </c>
      <c r="E646" s="26">
        <f>('Raw Price Data'!E646-'Raw Price Data'!E645)/'Raw Price Data'!E645</f>
        <v>1.2011684687826976E-2</v>
      </c>
      <c r="F646" s="26">
        <f>('Raw Price Data'!F646-'Raw Price Data'!F645)/'Raw Price Data'!F645</f>
        <v>-1.1423521109110264E-3</v>
      </c>
    </row>
    <row r="647" spans="1:6" ht="15" customHeight="1" x14ac:dyDescent="0.3">
      <c r="A647" s="21">
        <v>44369</v>
      </c>
      <c r="B647" s="25">
        <f>('Raw Price Data'!B647-'Raw Price Data'!B646)/'Raw Price Data'!B646</f>
        <v>1.1249517188103438E-2</v>
      </c>
      <c r="C647" s="25">
        <f>('Raw Price Data'!C647-'Raw Price Data'!C646)/'Raw Price Data'!C646</f>
        <v>-8.0030657623856079E-3</v>
      </c>
      <c r="D647" s="25">
        <f>('Raw Price Data'!D647-'Raw Price Data'!D646)/'Raw Price Data'!D646</f>
        <v>1.7728591382830802E-3</v>
      </c>
      <c r="E647" s="25">
        <f>('Raw Price Data'!E647-'Raw Price Data'!E646)/'Raw Price Data'!E646</f>
        <v>1.0727441139090453E-2</v>
      </c>
      <c r="F647" s="25">
        <f>('Raw Price Data'!F647-'Raw Price Data'!F646)/'Raw Price Data'!F646</f>
        <v>2.4994970631569305E-3</v>
      </c>
    </row>
    <row r="648" spans="1:6" ht="15" customHeight="1" x14ac:dyDescent="0.3">
      <c r="A648" s="19">
        <v>44370</v>
      </c>
      <c r="B648" s="26">
        <f>('Raw Price Data'!B648-'Raw Price Data'!B647)/'Raw Price Data'!B647</f>
        <v>-1.1554070183814694E-2</v>
      </c>
      <c r="C648" s="26">
        <f>('Raw Price Data'!C648-'Raw Price Data'!C647)/'Raw Price Data'!C647</f>
        <v>-5.4982076921002718E-3</v>
      </c>
      <c r="D648" s="26">
        <f>('Raw Price Data'!D648-'Raw Price Data'!D647)/'Raw Price Data'!D647</f>
        <v>3.5394433420925437E-3</v>
      </c>
      <c r="E648" s="26">
        <f>('Raw Price Data'!E648-'Raw Price Data'!E647)/'Raw Price Data'!E647</f>
        <v>-1.2723513991602844E-2</v>
      </c>
      <c r="F648" s="26">
        <f>('Raw Price Data'!F648-'Raw Price Data'!F647)/'Raw Price Data'!F647</f>
        <v>-1.5806853185850941E-2</v>
      </c>
    </row>
    <row r="649" spans="1:6" ht="15" customHeight="1" x14ac:dyDescent="0.3">
      <c r="A649" s="21">
        <v>44371</v>
      </c>
      <c r="B649" s="25">
        <f>('Raw Price Data'!B649-'Raw Price Data'!B648)/'Raw Price Data'!B648</f>
        <v>1.294498381877026E-2</v>
      </c>
      <c r="C649" s="25">
        <f>('Raw Price Data'!C649-'Raw Price Data'!C648)/'Raw Price Data'!C648</f>
        <v>-2.361400941308265E-2</v>
      </c>
      <c r="D649" s="25">
        <f>('Raw Price Data'!D649-'Raw Price Data'!D648)/'Raw Price Data'!D648</f>
        <v>-2.8322556511516119E-3</v>
      </c>
      <c r="E649" s="25">
        <f>('Raw Price Data'!E649-'Raw Price Data'!E648)/'Raw Price Data'!E648</f>
        <v>-9.1529228909420796E-3</v>
      </c>
      <c r="F649" s="25">
        <f>('Raw Price Data'!F649-'Raw Price Data'!F648)/'Raw Price Data'!F648</f>
        <v>1.0252583557808597E-2</v>
      </c>
    </row>
    <row r="650" spans="1:6" ht="15" customHeight="1" x14ac:dyDescent="0.3">
      <c r="A650" s="19">
        <v>44372</v>
      </c>
      <c r="B650" s="26">
        <f>('Raw Price Data'!B650-'Raw Price Data'!B649)/'Raw Price Data'!B649</f>
        <v>-1.2684182919269451E-2</v>
      </c>
      <c r="C650" s="26">
        <f>('Raw Price Data'!C650-'Raw Price Data'!C649)/'Raw Price Data'!C649</f>
        <v>5.4587677988213604E-3</v>
      </c>
      <c r="D650" s="26">
        <f>('Raw Price Data'!D650-'Raw Price Data'!D649)/'Raw Price Data'!D649</f>
        <v>-2.2561629153269067E-2</v>
      </c>
      <c r="E650" s="26">
        <f>('Raw Price Data'!E650-'Raw Price Data'!E649)/'Raw Price Data'!E649</f>
        <v>2.0718954248365992E-2</v>
      </c>
      <c r="F650" s="26">
        <f>('Raw Price Data'!F650-'Raw Price Data'!F649)/'Raw Price Data'!F649</f>
        <v>-5.3382543168646445E-3</v>
      </c>
    </row>
    <row r="651" spans="1:6" ht="15" customHeight="1" x14ac:dyDescent="0.3">
      <c r="A651" s="21">
        <v>44375</v>
      </c>
      <c r="B651" s="25">
        <f>('Raw Price Data'!B651-'Raw Price Data'!B650)/'Raw Price Data'!B650</f>
        <v>-1.4344361265394826E-2</v>
      </c>
      <c r="C651" s="25">
        <f>('Raw Price Data'!C651-'Raw Price Data'!C650)/'Raw Price Data'!C650</f>
        <v>8.9350620669347829E-3</v>
      </c>
      <c r="D651" s="25">
        <f>('Raw Price Data'!D651-'Raw Price Data'!D650)/'Raw Price Data'!D650</f>
        <v>2.3137233400954152E-2</v>
      </c>
      <c r="E651" s="25">
        <f>('Raw Price Data'!E651-'Raw Price Data'!E650)/'Raw Price Data'!E650</f>
        <v>-2.5826556530276399E-3</v>
      </c>
      <c r="F651" s="25">
        <f>('Raw Price Data'!F651-'Raw Price Data'!F650)/'Raw Price Data'!F650</f>
        <v>-2.054164551170282E-2</v>
      </c>
    </row>
    <row r="652" spans="1:6" ht="15" customHeight="1" x14ac:dyDescent="0.3">
      <c r="A652" s="19">
        <v>44376</v>
      </c>
      <c r="B652" s="26">
        <f>('Raw Price Data'!B652-'Raw Price Data'!B651)/'Raw Price Data'!B651</f>
        <v>3.1850254802037298E-3</v>
      </c>
      <c r="C652" s="26">
        <f>('Raw Price Data'!C652-'Raw Price Data'!C651)/'Raw Price Data'!C651</f>
        <v>3.8305789646492696E-3</v>
      </c>
      <c r="D652" s="26">
        <f>('Raw Price Data'!D652-'Raw Price Data'!D651)/'Raw Price Data'!D651</f>
        <v>-8.5204437061250915E-3</v>
      </c>
      <c r="E652" s="26">
        <f>('Raw Price Data'!E652-'Raw Price Data'!E651)/'Raw Price Data'!E651</f>
        <v>-1.4294885512518739E-2</v>
      </c>
      <c r="F652" s="26">
        <f>('Raw Price Data'!F652-'Raw Price Data'!F651)/'Raw Price Data'!F651</f>
        <v>-1.2208942571618349E-2</v>
      </c>
    </row>
    <row r="653" spans="1:6" ht="15" customHeight="1" x14ac:dyDescent="0.3">
      <c r="A653" s="21">
        <v>44377</v>
      </c>
      <c r="B653" s="25">
        <f>('Raw Price Data'!B653-'Raw Price Data'!B652)/'Raw Price Data'!B652</f>
        <v>2.1491720803008731E-3</v>
      </c>
      <c r="C653" s="25">
        <f>('Raw Price Data'!C653-'Raw Price Data'!C652)/'Raw Price Data'!C652</f>
        <v>1.2165649076900596E-2</v>
      </c>
      <c r="D653" s="25">
        <f>('Raw Price Data'!D653-'Raw Price Data'!D652)/'Raw Price Data'!D652</f>
        <v>8.7017619716786565E-3</v>
      </c>
      <c r="E653" s="25">
        <f>('Raw Price Data'!E653-'Raw Price Data'!E652)/'Raw Price Data'!E652</f>
        <v>-4.7110416395293644E-3</v>
      </c>
      <c r="F653" s="25">
        <f>('Raw Price Data'!F653-'Raw Price Data'!F652)/'Raw Price Data'!F652</f>
        <v>-6.9287631093156964E-3</v>
      </c>
    </row>
    <row r="654" spans="1:6" ht="15" customHeight="1" x14ac:dyDescent="0.3">
      <c r="A654" s="19">
        <v>44378</v>
      </c>
      <c r="B654" s="26">
        <f>('Raw Price Data'!B654-'Raw Price Data'!B653)/'Raw Price Data'!B653</f>
        <v>4.4353462981918659E-3</v>
      </c>
      <c r="C654" s="26">
        <f>('Raw Price Data'!C654-'Raw Price Data'!C653)/'Raw Price Data'!C653</f>
        <v>1.5861332280100244E-2</v>
      </c>
      <c r="D654" s="26">
        <f>('Raw Price Data'!D654-'Raw Price Data'!D653)/'Raw Price Data'!D653</f>
        <v>4.9831216846166577E-3</v>
      </c>
      <c r="E654" s="26">
        <f>('Raw Price Data'!E654-'Raw Price Data'!E653)/'Raw Price Data'!E653</f>
        <v>7.9834224015705637E-3</v>
      </c>
      <c r="F654" s="26">
        <f>('Raw Price Data'!F654-'Raw Price Data'!F653)/'Raw Price Data'!F653</f>
        <v>-4.9539392250556402E-4</v>
      </c>
    </row>
    <row r="655" spans="1:6" ht="15" customHeight="1" x14ac:dyDescent="0.3">
      <c r="A655" s="21">
        <v>44379</v>
      </c>
      <c r="B655" s="25">
        <f>('Raw Price Data'!B655-'Raw Price Data'!B654)/'Raw Price Data'!B654</f>
        <v>1.5042701863354008E-2</v>
      </c>
      <c r="C655" s="25">
        <f>('Raw Price Data'!C655-'Raw Price Data'!C654)/'Raw Price Data'!C654</f>
        <v>6.5741804365114908E-3</v>
      </c>
      <c r="D655" s="25">
        <f>('Raw Price Data'!D655-'Raw Price Data'!D654)/'Raw Price Data'!D654</f>
        <v>4.9584133077415589E-3</v>
      </c>
      <c r="E655" s="25">
        <f>('Raw Price Data'!E655-'Raw Price Data'!E654)/'Raw Price Data'!E654</f>
        <v>-9.1753045811603495E-3</v>
      </c>
      <c r="F655" s="25">
        <f>('Raw Price Data'!F655-'Raw Price Data'!F654)/'Raw Price Data'!F654</f>
        <v>-1.8527530067214099E-2</v>
      </c>
    </row>
    <row r="656" spans="1:6" ht="15" customHeight="1" x14ac:dyDescent="0.3">
      <c r="A656" s="19">
        <v>44382</v>
      </c>
      <c r="B656" s="26">
        <f>('Raw Price Data'!B656-'Raw Price Data'!B655)/'Raw Price Data'!B655</f>
        <v>-5.4020460847117096E-3</v>
      </c>
      <c r="C656" s="26">
        <f>('Raw Price Data'!C656-'Raw Price Data'!C655)/'Raw Price Data'!C655</f>
        <v>-3.6694348368067693E-3</v>
      </c>
      <c r="D656" s="26">
        <f>('Raw Price Data'!D656-'Raw Price Data'!D655)/'Raw Price Data'!D655</f>
        <v>3.8728845031566115E-3</v>
      </c>
      <c r="E656" s="26">
        <f>('Raw Price Data'!E656-'Raw Price Data'!E655)/'Raw Price Data'!E655</f>
        <v>3.3328237272588268E-2</v>
      </c>
      <c r="F656" s="26">
        <f>('Raw Price Data'!F656-'Raw Price Data'!F655)/'Raw Price Data'!F655</f>
        <v>1.0288582478718989E-2</v>
      </c>
    </row>
    <row r="657" spans="1:6" ht="15" customHeight="1" x14ac:dyDescent="0.3">
      <c r="A657" s="21">
        <v>44383</v>
      </c>
      <c r="B657" s="25">
        <f>('Raw Price Data'!B657-'Raw Price Data'!B656)/'Raw Price Data'!B656</f>
        <v>6.4407594328285264E-3</v>
      </c>
      <c r="C657" s="25">
        <f>('Raw Price Data'!C657-'Raw Price Data'!C656)/'Raw Price Data'!C656</f>
        <v>2.2124127722562822E-2</v>
      </c>
      <c r="D657" s="25">
        <f>('Raw Price Data'!D657-'Raw Price Data'!D656)/'Raw Price Data'!D656</f>
        <v>1.4744741570658451E-2</v>
      </c>
      <c r="E657" s="25">
        <f>('Raw Price Data'!E657-'Raw Price Data'!E656)/'Raw Price Data'!E656</f>
        <v>1.5809608352884023E-2</v>
      </c>
      <c r="F657" s="25">
        <f>('Raw Price Data'!F657-'Raw Price Data'!F656)/'Raw Price Data'!F656</f>
        <v>1.837146305621733E-4</v>
      </c>
    </row>
    <row r="658" spans="1:6" ht="15" customHeight="1" x14ac:dyDescent="0.3">
      <c r="A658" s="19">
        <v>44384</v>
      </c>
      <c r="B658" s="26">
        <f>('Raw Price Data'!B658-'Raw Price Data'!B657)/'Raw Price Data'!B657</f>
        <v>-1.2273747552414123E-2</v>
      </c>
      <c r="C658" s="26">
        <f>('Raw Price Data'!C658-'Raw Price Data'!C657)/'Raw Price Data'!C657</f>
        <v>-1.1688949804753115E-2</v>
      </c>
      <c r="D658" s="26">
        <f>('Raw Price Data'!D658-'Raw Price Data'!D657)/'Raw Price Data'!D657</f>
        <v>-1.3280558304254899E-2</v>
      </c>
      <c r="E658" s="26">
        <f>('Raw Price Data'!E658-'Raw Price Data'!E657)/'Raw Price Data'!E657</f>
        <v>-2.7673165352364727E-2</v>
      </c>
      <c r="F658" s="26">
        <f>('Raw Price Data'!F658-'Raw Price Data'!F657)/'Raw Price Data'!F657</f>
        <v>9.9749443421275688E-3</v>
      </c>
    </row>
    <row r="659" spans="1:6" ht="15" customHeight="1" x14ac:dyDescent="0.3">
      <c r="A659" s="21">
        <v>44385</v>
      </c>
      <c r="B659" s="25">
        <f>('Raw Price Data'!B659-'Raw Price Data'!B658)/'Raw Price Data'!B658</f>
        <v>1.7744898945943409E-2</v>
      </c>
      <c r="C659" s="25">
        <f>('Raw Price Data'!C659-'Raw Price Data'!C658)/'Raw Price Data'!C658</f>
        <v>2.5224376586335986E-2</v>
      </c>
      <c r="D659" s="25">
        <f>('Raw Price Data'!D659-'Raw Price Data'!D658)/'Raw Price Data'!D658</f>
        <v>1.5992821703789722E-2</v>
      </c>
      <c r="E659" s="25">
        <f>('Raw Price Data'!E659-'Raw Price Data'!E658)/'Raw Price Data'!E658</f>
        <v>4.8147910380689479E-3</v>
      </c>
      <c r="F659" s="25">
        <f>('Raw Price Data'!F659-'Raw Price Data'!F658)/'Raw Price Data'!F658</f>
        <v>1.6636886366961881E-2</v>
      </c>
    </row>
    <row r="660" spans="1:6" ht="15" customHeight="1" x14ac:dyDescent="0.3">
      <c r="A660" s="19">
        <v>44386</v>
      </c>
      <c r="B660" s="26">
        <f>('Raw Price Data'!B660-'Raw Price Data'!B659)/'Raw Price Data'!B659</f>
        <v>9.074065276260139E-3</v>
      </c>
      <c r="C660" s="26">
        <f>('Raw Price Data'!C660-'Raw Price Data'!C659)/'Raw Price Data'!C659</f>
        <v>-2.8074832189070847E-3</v>
      </c>
      <c r="D660" s="26">
        <f>('Raw Price Data'!D660-'Raw Price Data'!D659)/'Raw Price Data'!D659</f>
        <v>3.0131435399240692E-3</v>
      </c>
      <c r="E660" s="26">
        <f>('Raw Price Data'!E660-'Raw Price Data'!E659)/'Raw Price Data'!E659</f>
        <v>3.011329755515799E-2</v>
      </c>
      <c r="F660" s="26">
        <f>('Raw Price Data'!F660-'Raw Price Data'!F659)/'Raw Price Data'!F659</f>
        <v>-2.9946012726203234E-3</v>
      </c>
    </row>
    <row r="661" spans="1:6" ht="15" customHeight="1" x14ac:dyDescent="0.3">
      <c r="A661" s="21">
        <v>44389</v>
      </c>
      <c r="B661" s="25">
        <f>('Raw Price Data'!B661-'Raw Price Data'!B660)/'Raw Price Data'!B660</f>
        <v>7.7683615819209304E-3</v>
      </c>
      <c r="C661" s="25">
        <f>('Raw Price Data'!C661-'Raw Price Data'!C660)/'Raw Price Data'!C660</f>
        <v>1.4085468335423536E-2</v>
      </c>
      <c r="D661" s="25">
        <f>('Raw Price Data'!D661-'Raw Price Data'!D660)/'Raw Price Data'!D660</f>
        <v>1.0358937173046928E-3</v>
      </c>
      <c r="E661" s="25">
        <f>('Raw Price Data'!E661-'Raw Price Data'!E660)/'Raw Price Data'!E660</f>
        <v>6.2786851354145259E-2</v>
      </c>
      <c r="F661" s="25">
        <f>('Raw Price Data'!F661-'Raw Price Data'!F660)/'Raw Price Data'!F660</f>
        <v>-6.8510493344772407E-3</v>
      </c>
    </row>
    <row r="662" spans="1:6" ht="15" customHeight="1" x14ac:dyDescent="0.3">
      <c r="A662" s="19">
        <v>44390</v>
      </c>
      <c r="B662" s="26">
        <f>('Raw Price Data'!B662-'Raw Price Data'!B661)/'Raw Price Data'!B661</f>
        <v>2.9432375613174279E-3</v>
      </c>
      <c r="C662" s="26">
        <f>('Raw Price Data'!C662-'Raw Price Data'!C661)/'Raw Price Data'!C661</f>
        <v>3.2810607080360744E-2</v>
      </c>
      <c r="D662" s="26">
        <f>('Raw Price Data'!D662-'Raw Price Data'!D661)/'Raw Price Data'!D661</f>
        <v>-6.1571894241216826E-3</v>
      </c>
      <c r="E662" s="26">
        <f>('Raw Price Data'!E662-'Raw Price Data'!E661)/'Raw Price Data'!E661</f>
        <v>-8.4229774155271473E-3</v>
      </c>
      <c r="F662" s="26">
        <f>('Raw Price Data'!F662-'Raw Price Data'!F661)/'Raw Price Data'!F661</f>
        <v>6.892119675865482E-3</v>
      </c>
    </row>
    <row r="663" spans="1:6" ht="15" customHeight="1" x14ac:dyDescent="0.3">
      <c r="A663" s="21">
        <v>44391</v>
      </c>
      <c r="B663" s="25">
        <f>('Raw Price Data'!B663-'Raw Price Data'!B662)/'Raw Price Data'!B662</f>
        <v>-1.0573877398919369E-2</v>
      </c>
      <c r="C663" s="25">
        <f>('Raw Price Data'!C663-'Raw Price Data'!C662)/'Raw Price Data'!C662</f>
        <v>-3.9351927275097072E-2</v>
      </c>
      <c r="D663" s="25">
        <f>('Raw Price Data'!D663-'Raw Price Data'!D662)/'Raw Price Data'!D662</f>
        <v>-3.1236984589755453E-4</v>
      </c>
      <c r="E663" s="25">
        <f>('Raw Price Data'!E663-'Raw Price Data'!E662)/'Raw Price Data'!E662</f>
        <v>9.4165653078043352E-4</v>
      </c>
      <c r="F663" s="25">
        <f>('Raw Price Data'!F663-'Raw Price Data'!F662)/'Raw Price Data'!F662</f>
        <v>-1.9344405560568691E-2</v>
      </c>
    </row>
    <row r="664" spans="1:6" ht="15" customHeight="1" x14ac:dyDescent="0.3">
      <c r="A664" s="19">
        <v>44392</v>
      </c>
      <c r="B664" s="26">
        <f>('Raw Price Data'!B664-'Raw Price Data'!B663)/'Raw Price Data'!B663</f>
        <v>-4.2370886493103234E-3</v>
      </c>
      <c r="C664" s="26">
        <f>('Raw Price Data'!C664-'Raw Price Data'!C663)/'Raw Price Data'!C663</f>
        <v>-2.7981989773854261E-3</v>
      </c>
      <c r="D664" s="26">
        <f>('Raw Price Data'!D664-'Raw Price Data'!D663)/'Raw Price Data'!D663</f>
        <v>9.4781793563170139E-3</v>
      </c>
      <c r="E664" s="26">
        <f>('Raw Price Data'!E664-'Raw Price Data'!E663)/'Raw Price Data'!E663</f>
        <v>-2.5165614832817276E-2</v>
      </c>
      <c r="F664" s="26">
        <f>('Raw Price Data'!F664-'Raw Price Data'!F663)/'Raw Price Data'!F663</f>
        <v>1.2582562180240651E-2</v>
      </c>
    </row>
    <row r="665" spans="1:6" ht="15" customHeight="1" x14ac:dyDescent="0.3">
      <c r="A665" s="21">
        <v>44393</v>
      </c>
      <c r="B665" s="25">
        <f>('Raw Price Data'!B665-'Raw Price Data'!B664)/'Raw Price Data'!B664</f>
        <v>7.2809796227129714E-3</v>
      </c>
      <c r="C665" s="25">
        <f>('Raw Price Data'!C665-'Raw Price Data'!C664)/'Raw Price Data'!C664</f>
        <v>-6.5304456518966896E-3</v>
      </c>
      <c r="D665" s="25">
        <f>('Raw Price Data'!D665-'Raw Price Data'!D664)/'Raw Price Data'!D664</f>
        <v>-1.8056128765992573E-2</v>
      </c>
      <c r="E665" s="25">
        <f>('Raw Price Data'!E665-'Raw Price Data'!E664)/'Raw Price Data'!E664</f>
        <v>1.0997627568458779E-2</v>
      </c>
      <c r="F665" s="25">
        <f>('Raw Price Data'!F665-'Raw Price Data'!F664)/'Raw Price Data'!F664</f>
        <v>-3.2745203790736214E-4</v>
      </c>
    </row>
    <row r="666" spans="1:6" ht="15" customHeight="1" x14ac:dyDescent="0.3">
      <c r="A666" s="19">
        <v>44396</v>
      </c>
      <c r="B666" s="26">
        <f>('Raw Price Data'!B666-'Raw Price Data'!B665)/'Raw Price Data'!B665</f>
        <v>4.6937338652855692E-5</v>
      </c>
      <c r="C666" s="26">
        <f>('Raw Price Data'!C666-'Raw Price Data'!C665)/'Raw Price Data'!C665</f>
        <v>3.0709975606624824E-2</v>
      </c>
      <c r="D666" s="26">
        <f>('Raw Price Data'!D666-'Raw Price Data'!D665)/'Raw Price Data'!D665</f>
        <v>-2.6689082694126367E-2</v>
      </c>
      <c r="E666" s="26">
        <f>('Raw Price Data'!E666-'Raw Price Data'!E665)/'Raw Price Data'!E665</f>
        <v>9.5257034901063201E-3</v>
      </c>
      <c r="F666" s="26">
        <f>('Raw Price Data'!F666-'Raw Price Data'!F665)/'Raw Price Data'!F665</f>
        <v>-4.4869659842973527E-3</v>
      </c>
    </row>
    <row r="667" spans="1:6" ht="15" customHeight="1" x14ac:dyDescent="0.3">
      <c r="A667" s="21">
        <v>44397</v>
      </c>
      <c r="B667" s="25">
        <f>('Raw Price Data'!B667-'Raw Price Data'!B666)/'Raw Price Data'!B666</f>
        <v>2.0182108326293382E-3</v>
      </c>
      <c r="C667" s="25">
        <f>('Raw Price Data'!C667-'Raw Price Data'!C666)/'Raw Price Data'!C666</f>
        <v>-6.5768167210583303E-3</v>
      </c>
      <c r="D667" s="25">
        <f>('Raw Price Data'!D667-'Raw Price Data'!D666)/'Raw Price Data'!D666</f>
        <v>-3.9404080751375891E-3</v>
      </c>
      <c r="E667" s="25">
        <f>('Raw Price Data'!E667-'Raw Price Data'!E666)/'Raw Price Data'!E666</f>
        <v>5.8309037900875355E-3</v>
      </c>
      <c r="F667" s="25">
        <f>('Raw Price Data'!F667-'Raw Price Data'!F666)/'Raw Price Data'!F666</f>
        <v>-1.2517641311949133E-2</v>
      </c>
    </row>
    <row r="668" spans="1:6" ht="15" customHeight="1" x14ac:dyDescent="0.3">
      <c r="A668" s="19">
        <v>44398</v>
      </c>
      <c r="B668" s="26">
        <f>('Raw Price Data'!B668-'Raw Price Data'!B667)/'Raw Price Data'!B667</f>
        <v>-1.8502037566162428E-2</v>
      </c>
      <c r="C668" s="26">
        <f>('Raw Price Data'!C668-'Raw Price Data'!C667)/'Raw Price Data'!C667</f>
        <v>4.8724828848709753E-2</v>
      </c>
      <c r="D668" s="26">
        <f>('Raw Price Data'!D668-'Raw Price Data'!D667)/'Raw Price Data'!D667</f>
        <v>1.1488646832493387E-2</v>
      </c>
      <c r="E668" s="26">
        <f>('Raw Price Data'!E668-'Raw Price Data'!E667)/'Raw Price Data'!E667</f>
        <v>-2.0015667841754851E-2</v>
      </c>
      <c r="F668" s="26">
        <f>('Raw Price Data'!F668-'Raw Price Data'!F667)/'Raw Price Data'!F667</f>
        <v>-1.4466721221085586E-2</v>
      </c>
    </row>
    <row r="669" spans="1:6" ht="15" customHeight="1" x14ac:dyDescent="0.3">
      <c r="A669" s="21">
        <v>44399</v>
      </c>
      <c r="B669" s="25">
        <f>('Raw Price Data'!B669-'Raw Price Data'!B668)/'Raw Price Data'!B668</f>
        <v>2.8156915147466042E-3</v>
      </c>
      <c r="C669" s="25">
        <f>('Raw Price Data'!C669-'Raw Price Data'!C668)/'Raw Price Data'!C668</f>
        <v>-2.6351028216164474E-2</v>
      </c>
      <c r="D669" s="25">
        <f>('Raw Price Data'!D669-'Raw Price Data'!D668)/'Raw Price Data'!D668</f>
        <v>-4.3396731851058253E-3</v>
      </c>
      <c r="E669" s="25">
        <f>('Raw Price Data'!E669-'Raw Price Data'!E668)/'Raw Price Data'!E668</f>
        <v>1.5228426395939096E-2</v>
      </c>
      <c r="F669" s="25">
        <f>('Raw Price Data'!F669-'Raw Price Data'!F668)/'Raw Price Data'!F668</f>
        <v>-3.1598411792701157E-3</v>
      </c>
    </row>
    <row r="670" spans="1:6" ht="15" customHeight="1" x14ac:dyDescent="0.3">
      <c r="A670" s="19">
        <v>44400</v>
      </c>
      <c r="B670" s="26">
        <f>('Raw Price Data'!B670-'Raw Price Data'!B669)/'Raw Price Data'!B669</f>
        <v>-9.2799695426640117E-3</v>
      </c>
      <c r="C670" s="26">
        <f>('Raw Price Data'!C670-'Raw Price Data'!C669)/'Raw Price Data'!C669</f>
        <v>6.7619562191987091E-3</v>
      </c>
      <c r="D670" s="26">
        <f>('Raw Price Data'!D670-'Raw Price Data'!D669)/'Raw Price Data'!D669</f>
        <v>2.2008179078777459E-2</v>
      </c>
      <c r="E670" s="26">
        <f>('Raw Price Data'!E670-'Raw Price Data'!E669)/'Raw Price Data'!E669</f>
        <v>3.503937007874007E-2</v>
      </c>
      <c r="F670" s="26">
        <f>('Raw Price Data'!F670-'Raw Price Data'!F669)/'Raw Price Data'!F669</f>
        <v>5.5749208366941798E-3</v>
      </c>
    </row>
    <row r="671" spans="1:6" ht="15" customHeight="1" x14ac:dyDescent="0.3">
      <c r="A671" s="21">
        <v>44403</v>
      </c>
      <c r="B671" s="25">
        <f>('Raw Price Data'!B671-'Raw Price Data'!B670)/'Raw Price Data'!B670</f>
        <v>-1.4698818330291104E-2</v>
      </c>
      <c r="C671" s="25">
        <f>('Raw Price Data'!C671-'Raw Price Data'!C670)/'Raw Price Data'!C670</f>
        <v>-6.2205236623840169E-3</v>
      </c>
      <c r="D671" s="25">
        <f>('Raw Price Data'!D671-'Raw Price Data'!D670)/'Raw Price Data'!D670</f>
        <v>2.0797135786868787E-2</v>
      </c>
      <c r="E671" s="25">
        <f>('Raw Price Data'!E671-'Raw Price Data'!E670)/'Raw Price Data'!E670</f>
        <v>2.6150627615062764E-2</v>
      </c>
      <c r="F671" s="25">
        <f>('Raw Price Data'!F671-'Raw Price Data'!F670)/'Raw Price Data'!F670</f>
        <v>1.4856784377750804E-4</v>
      </c>
    </row>
    <row r="672" spans="1:6" ht="15" customHeight="1" x14ac:dyDescent="0.3">
      <c r="A672" s="19">
        <v>44404</v>
      </c>
      <c r="B672" s="26">
        <f>('Raw Price Data'!B672-'Raw Price Data'!B671)/'Raw Price Data'!B671</f>
        <v>-1.8038221528861376E-3</v>
      </c>
      <c r="C672" s="26">
        <f>('Raw Price Data'!C672-'Raw Price Data'!C671)/'Raw Price Data'!C671</f>
        <v>9.5078345538599108E-3</v>
      </c>
      <c r="D672" s="26">
        <f>('Raw Price Data'!D672-'Raw Price Data'!D671)/'Raw Price Data'!D671</f>
        <v>2.2488136991953858E-2</v>
      </c>
      <c r="E672" s="26">
        <f>('Raw Price Data'!E672-'Raw Price Data'!E671)/'Raw Price Data'!E671</f>
        <v>7.3209155777963966E-3</v>
      </c>
      <c r="F672" s="26">
        <f>('Raw Price Data'!F672-'Raw Price Data'!F671)/'Raw Price Data'!F671</f>
        <v>-2.5793119898167037E-2</v>
      </c>
    </row>
    <row r="673" spans="1:6" ht="15" customHeight="1" x14ac:dyDescent="0.3">
      <c r="A673" s="21">
        <v>44405</v>
      </c>
      <c r="B673" s="25">
        <f>('Raw Price Data'!B673-'Raw Price Data'!B672)/'Raw Price Data'!B672</f>
        <v>-2.5445665445665483E-2</v>
      </c>
      <c r="C673" s="25">
        <f>('Raw Price Data'!C673-'Raw Price Data'!C672)/'Raw Price Data'!C672</f>
        <v>-9.3777608468352588E-3</v>
      </c>
      <c r="D673" s="25">
        <f>('Raw Price Data'!D673-'Raw Price Data'!D672)/'Raw Price Data'!D672</f>
        <v>2.3254640839386526E-2</v>
      </c>
      <c r="E673" s="25">
        <f>('Raw Price Data'!E673-'Raw Price Data'!E672)/'Raw Price Data'!E672</f>
        <v>-4.7838086476539263E-4</v>
      </c>
      <c r="F673" s="25">
        <f>('Raw Price Data'!F673-'Raw Price Data'!F672)/'Raw Price Data'!F672</f>
        <v>-7.4423653636324248E-3</v>
      </c>
    </row>
    <row r="674" spans="1:6" ht="15" customHeight="1" x14ac:dyDescent="0.3">
      <c r="A674" s="19">
        <v>44406</v>
      </c>
      <c r="B674" s="26">
        <f>('Raw Price Data'!B674-'Raw Price Data'!B673)/'Raw Price Data'!B673</f>
        <v>1.0023053021950487E-2</v>
      </c>
      <c r="C674" s="26">
        <f>('Raw Price Data'!C674-'Raw Price Data'!C673)/'Raw Price Data'!C673</f>
        <v>-7.3555882834233418E-3</v>
      </c>
      <c r="D674" s="26">
        <f>('Raw Price Data'!D674-'Raw Price Data'!D673)/'Raw Price Data'!D673</f>
        <v>4.5846684742420849E-3</v>
      </c>
      <c r="E674" s="26">
        <f>('Raw Price Data'!E674-'Raw Price Data'!E673)/'Raw Price Data'!E673</f>
        <v>1.7450850452838559E-2</v>
      </c>
      <c r="F674" s="26">
        <f>('Raw Price Data'!F674-'Raw Price Data'!F673)/'Raw Price Data'!F673</f>
        <v>6.1773623227056465E-3</v>
      </c>
    </row>
    <row r="675" spans="1:6" ht="15" customHeight="1" x14ac:dyDescent="0.3">
      <c r="A675" s="21">
        <v>44407</v>
      </c>
      <c r="B675" s="25">
        <f>('Raw Price Data'!B675-'Raw Price Data'!B674)/'Raw Price Data'!B674</f>
        <v>1.2106777810856395E-2</v>
      </c>
      <c r="C675" s="25">
        <f>('Raw Price Data'!C675-'Raw Price Data'!C674)/'Raw Price Data'!C674</f>
        <v>-3.1560900421196629E-2</v>
      </c>
      <c r="D675" s="25">
        <f>('Raw Price Data'!D675-'Raw Price Data'!D674)/'Raw Price Data'!D674</f>
        <v>9.3237805476494538E-3</v>
      </c>
      <c r="E675" s="25">
        <f>('Raw Price Data'!E675-'Raw Price Data'!E674)/'Raw Price Data'!E674</f>
        <v>-2.1891735417571942E-3</v>
      </c>
      <c r="F675" s="25">
        <f>('Raw Price Data'!F675-'Raw Price Data'!F674)/'Raw Price Data'!F674</f>
        <v>2.11645875401935E-2</v>
      </c>
    </row>
    <row r="676" spans="1:6" ht="15" customHeight="1" x14ac:dyDescent="0.3">
      <c r="A676" s="19">
        <v>44410</v>
      </c>
      <c r="B676" s="26">
        <f>('Raw Price Data'!B676-'Raw Price Data'!B675)/'Raw Price Data'!B675</f>
        <v>-3.9219531326592846E-4</v>
      </c>
      <c r="C676" s="26">
        <f>('Raw Price Data'!C676-'Raw Price Data'!C675)/'Raw Price Data'!C675</f>
        <v>2.5022980288018138E-3</v>
      </c>
      <c r="D676" s="26">
        <f>('Raw Price Data'!D676-'Raw Price Data'!D675)/'Raw Price Data'!D675</f>
        <v>-1.0355892648774774E-2</v>
      </c>
      <c r="E676" s="26">
        <f>('Raw Price Data'!E676-'Raw Price Data'!E675)/'Raw Price Data'!E675</f>
        <v>-4.7324617867309793E-2</v>
      </c>
      <c r="F676" s="26">
        <f>('Raw Price Data'!F676-'Raw Price Data'!F675)/'Raw Price Data'!F675</f>
        <v>-1.3430150855060863E-3</v>
      </c>
    </row>
    <row r="677" spans="1:6" ht="15" customHeight="1" x14ac:dyDescent="0.3">
      <c r="A677" s="21">
        <v>44411</v>
      </c>
      <c r="B677" s="25">
        <f>('Raw Price Data'!B677-'Raw Price Data'!B676)/'Raw Price Data'!B676</f>
        <v>-1.3487003433055419E-2</v>
      </c>
      <c r="C677" s="25">
        <f>('Raw Price Data'!C677-'Raw Price Data'!C676)/'Raw Price Data'!C676</f>
        <v>-2.582649890479331E-2</v>
      </c>
      <c r="D677" s="25">
        <f>('Raw Price Data'!D677-'Raw Price Data'!D676)/'Raw Price Data'!D676</f>
        <v>-4.1906165561287158E-2</v>
      </c>
      <c r="E677" s="25">
        <f>('Raw Price Data'!E677-'Raw Price Data'!E676)/'Raw Price Data'!E676</f>
        <v>-3.1994061780323838E-2</v>
      </c>
      <c r="F677" s="25">
        <f>('Raw Price Data'!F677-'Raw Price Data'!F676)/'Raw Price Data'!F676</f>
        <v>4.6718850489682988E-3</v>
      </c>
    </row>
    <row r="678" spans="1:6" ht="15" customHeight="1" x14ac:dyDescent="0.3">
      <c r="A678" s="19">
        <v>44412</v>
      </c>
      <c r="B678" s="26">
        <f>('Raw Price Data'!B678-'Raw Price Data'!B677)/'Raw Price Data'!B677</f>
        <v>-1.2776534924185897E-2</v>
      </c>
      <c r="C678" s="26">
        <f>('Raw Price Data'!C678-'Raw Price Data'!C677)/'Raw Price Data'!C677</f>
        <v>-2.2502265913686259E-2</v>
      </c>
      <c r="D678" s="26">
        <f>('Raw Price Data'!D678-'Raw Price Data'!D677)/'Raw Price Data'!D677</f>
        <v>6.7685365603527489E-3</v>
      </c>
      <c r="E678" s="26">
        <f>('Raw Price Data'!E678-'Raw Price Data'!E677)/'Raw Price Data'!E677</f>
        <v>2.6346834447502902E-2</v>
      </c>
      <c r="F678" s="26">
        <f>('Raw Price Data'!F678-'Raw Price Data'!F677)/'Raw Price Data'!F677</f>
        <v>3.9991186776367719E-4</v>
      </c>
    </row>
    <row r="679" spans="1:6" ht="15" customHeight="1" x14ac:dyDescent="0.3">
      <c r="A679" s="21">
        <v>44413</v>
      </c>
      <c r="B679" s="25">
        <f>('Raw Price Data'!B679-'Raw Price Data'!B678)/'Raw Price Data'!B678</f>
        <v>-1.7625138483232084E-3</v>
      </c>
      <c r="C679" s="25">
        <f>('Raw Price Data'!C679-'Raw Price Data'!C678)/'Raw Price Data'!C678</f>
        <v>2.1308464542359267E-3</v>
      </c>
      <c r="D679" s="25">
        <f>('Raw Price Data'!D679-'Raw Price Data'!D678)/'Raw Price Data'!D678</f>
        <v>-1.1765305083019264E-2</v>
      </c>
      <c r="E679" s="25">
        <f>('Raw Price Data'!E679-'Raw Price Data'!E678)/'Raw Price Data'!E678</f>
        <v>2.561302681992338E-2</v>
      </c>
      <c r="F679" s="25">
        <f>('Raw Price Data'!F679-'Raw Price Data'!F678)/'Raw Price Data'!F678</f>
        <v>-4.2215516535003177E-3</v>
      </c>
    </row>
    <row r="680" spans="1:6" ht="15" customHeight="1" x14ac:dyDescent="0.3">
      <c r="A680" s="19">
        <v>44414</v>
      </c>
      <c r="B680" s="26">
        <f>('Raw Price Data'!B680-'Raw Price Data'!B679)/'Raw Price Data'!B679</f>
        <v>-3.3294657720829311E-2</v>
      </c>
      <c r="C680" s="26">
        <f>('Raw Price Data'!C680-'Raw Price Data'!C679)/'Raw Price Data'!C679</f>
        <v>-1.5480289321269465E-3</v>
      </c>
      <c r="D680" s="26">
        <f>('Raw Price Data'!D680-'Raw Price Data'!D679)/'Raw Price Data'!D679</f>
        <v>-2.7315363603566518E-3</v>
      </c>
      <c r="E680" s="26">
        <f>('Raw Price Data'!E680-'Raw Price Data'!E679)/'Raw Price Data'!E679</f>
        <v>-1.9052244242299377E-3</v>
      </c>
      <c r="F680" s="26">
        <f>('Raw Price Data'!F680-'Raw Price Data'!F679)/'Raw Price Data'!F679</f>
        <v>-1.2698131084724293E-2</v>
      </c>
    </row>
    <row r="681" spans="1:6" ht="15" customHeight="1" x14ac:dyDescent="0.3">
      <c r="A681" s="21">
        <v>44417</v>
      </c>
      <c r="B681" s="25">
        <f>('Raw Price Data'!B681-'Raw Price Data'!B680)/'Raw Price Data'!B680</f>
        <v>2.8179303866826284E-3</v>
      </c>
      <c r="C681" s="25">
        <f>('Raw Price Data'!C681-'Raw Price Data'!C680)/'Raw Price Data'!C680</f>
        <v>1.8712074634446258E-2</v>
      </c>
      <c r="D681" s="25">
        <f>('Raw Price Data'!D681-'Raw Price Data'!D680)/'Raw Price Data'!D680</f>
        <v>-3.875968992248062E-2</v>
      </c>
      <c r="E681" s="25">
        <f>('Raw Price Data'!E681-'Raw Price Data'!E680)/'Raw Price Data'!E680</f>
        <v>-1.4597174136801849E-2</v>
      </c>
      <c r="F681" s="25">
        <f>('Raw Price Data'!F681-'Raw Price Data'!F680)/'Raw Price Data'!F680</f>
        <v>-1.0046974525936836E-2</v>
      </c>
    </row>
    <row r="682" spans="1:6" ht="15" customHeight="1" x14ac:dyDescent="0.3">
      <c r="A682" s="19">
        <v>44418</v>
      </c>
      <c r="B682" s="26">
        <f>('Raw Price Data'!B682-'Raw Price Data'!B681)/'Raw Price Data'!B681</f>
        <v>9.5228183379300231E-3</v>
      </c>
      <c r="C682" s="26">
        <f>('Raw Price Data'!C682-'Raw Price Data'!C681)/'Raw Price Data'!C681</f>
        <v>-2.3275341782780883E-2</v>
      </c>
      <c r="D682" s="26">
        <f>('Raw Price Data'!D682-'Raw Price Data'!D681)/'Raw Price Data'!D681</f>
        <v>1.4516129032258003E-2</v>
      </c>
      <c r="E682" s="26">
        <f>('Raw Price Data'!E682-'Raw Price Data'!E681)/'Raw Price Data'!E681</f>
        <v>-5.2036843604596136E-3</v>
      </c>
      <c r="F682" s="26">
        <f>('Raw Price Data'!F682-'Raw Price Data'!F681)/'Raw Price Data'!F681</f>
        <v>-1.4853188440003948E-2</v>
      </c>
    </row>
    <row r="683" spans="1:6" ht="15" customHeight="1" x14ac:dyDescent="0.3">
      <c r="A683" s="21">
        <v>44419</v>
      </c>
      <c r="B683" s="25">
        <f>('Raw Price Data'!B683-'Raw Price Data'!B682)/'Raw Price Data'!B682</f>
        <v>-3.9690721649485059E-3</v>
      </c>
      <c r="C683" s="25">
        <f>('Raw Price Data'!C683-'Raw Price Data'!C682)/'Raw Price Data'!C682</f>
        <v>8.0239285010655064E-3</v>
      </c>
      <c r="D683" s="25">
        <f>('Raw Price Data'!D683-'Raw Price Data'!D682)/'Raw Price Data'!D682</f>
        <v>-2.7556968733438358E-3</v>
      </c>
      <c r="E683" s="25">
        <f>('Raw Price Data'!E683-'Raw Price Data'!E682)/'Raw Price Data'!E682</f>
        <v>-2.3825432885970034E-2</v>
      </c>
      <c r="F683" s="25">
        <f>('Raw Price Data'!F683-'Raw Price Data'!F682)/'Raw Price Data'!F682</f>
        <v>5.6117498977435697E-3</v>
      </c>
    </row>
    <row r="684" spans="1:6" ht="15" customHeight="1" x14ac:dyDescent="0.3">
      <c r="A684" s="19">
        <v>44420</v>
      </c>
      <c r="B684" s="26">
        <f>('Raw Price Data'!B684-'Raw Price Data'!B683)/'Raw Price Data'!B683</f>
        <v>-6.5724783936240844E-3</v>
      </c>
      <c r="C684" s="26">
        <f>('Raw Price Data'!C684-'Raw Price Data'!C683)/'Raw Price Data'!C683</f>
        <v>6.2809829249659424E-3</v>
      </c>
      <c r="D684" s="26">
        <f>('Raw Price Data'!D684-'Raw Price Data'!D683)/'Raw Price Data'!D683</f>
        <v>-8.92762248910621E-3</v>
      </c>
      <c r="E684" s="26">
        <f>('Raw Price Data'!E684-'Raw Price Data'!E683)/'Raw Price Data'!E683</f>
        <v>-4.3220620734163448E-3</v>
      </c>
      <c r="F684" s="26">
        <f>('Raw Price Data'!F684-'Raw Price Data'!F683)/'Raw Price Data'!F683</f>
        <v>1.0006219039890263E-2</v>
      </c>
    </row>
    <row r="685" spans="1:6" ht="15" customHeight="1" x14ac:dyDescent="0.3">
      <c r="A685" s="21">
        <v>44421</v>
      </c>
      <c r="B685" s="25">
        <f>('Raw Price Data'!B685-'Raw Price Data'!B684)/'Raw Price Data'!B684</f>
        <v>2.8651802458844705E-3</v>
      </c>
      <c r="C685" s="25">
        <f>('Raw Price Data'!C685-'Raw Price Data'!C684)/'Raw Price Data'!C684</f>
        <v>-4.7320979261758532E-3</v>
      </c>
      <c r="D685" s="25">
        <f>('Raw Price Data'!D685-'Raw Price Data'!D684)/'Raw Price Data'!D684</f>
        <v>-1.7801608579088437E-2</v>
      </c>
      <c r="E685" s="25">
        <f>('Raw Price Data'!E685-'Raw Price Data'!E684)/'Raw Price Data'!E684</f>
        <v>3.3489157762413485E-2</v>
      </c>
      <c r="F685" s="25">
        <f>('Raw Price Data'!F685-'Raw Price Data'!F684)/'Raw Price Data'!F684</f>
        <v>-1.7878912197566066E-3</v>
      </c>
    </row>
    <row r="686" spans="1:6" ht="15" customHeight="1" x14ac:dyDescent="0.3">
      <c r="A686" s="19">
        <v>44424</v>
      </c>
      <c r="B686" s="26">
        <f>('Raw Price Data'!B686-'Raw Price Data'!B685)/'Raw Price Data'!B685</f>
        <v>5.1945353488130489E-3</v>
      </c>
      <c r="C686" s="26">
        <f>('Raw Price Data'!C686-'Raw Price Data'!C685)/'Raw Price Data'!C685</f>
        <v>-1.3580761622594934E-2</v>
      </c>
      <c r="D686" s="26">
        <f>('Raw Price Data'!D686-'Raw Price Data'!D685)/'Raw Price Data'!D685</f>
        <v>-1.2392182552680479E-2</v>
      </c>
      <c r="E686" s="26">
        <f>('Raw Price Data'!E686-'Raw Price Data'!E685)/'Raw Price Data'!E685</f>
        <v>-1.1346142881578035E-2</v>
      </c>
      <c r="F686" s="26">
        <f>('Raw Price Data'!F686-'Raw Price Data'!F685)/'Raw Price Data'!F685</f>
        <v>-6.8637470445862226E-3</v>
      </c>
    </row>
    <row r="687" spans="1:6" ht="15" customHeight="1" x14ac:dyDescent="0.3">
      <c r="A687" s="21">
        <v>44425</v>
      </c>
      <c r="B687" s="25">
        <f>('Raw Price Data'!B687-'Raw Price Data'!B686)/'Raw Price Data'!B686</f>
        <v>1.5451397860575729E-2</v>
      </c>
      <c r="C687" s="25">
        <f>('Raw Price Data'!C687-'Raw Price Data'!C686)/'Raw Price Data'!C686</f>
        <v>-8.0034531753014578E-4</v>
      </c>
      <c r="D687" s="25">
        <f>('Raw Price Data'!D687-'Raw Price Data'!D686)/'Raw Price Data'!D686</f>
        <v>-1.2934608368802185E-2</v>
      </c>
      <c r="E687" s="25">
        <f>('Raw Price Data'!E687-'Raw Price Data'!E686)/'Raw Price Data'!E686</f>
        <v>-1.4532871972318451E-2</v>
      </c>
      <c r="F687" s="25">
        <f>('Raw Price Data'!F687-'Raw Price Data'!F686)/'Raw Price Data'!F686</f>
        <v>1.1803028076714373E-2</v>
      </c>
    </row>
    <row r="688" spans="1:6" ht="15" customHeight="1" x14ac:dyDescent="0.3">
      <c r="A688" s="19">
        <v>44426</v>
      </c>
      <c r="B688" s="26">
        <f>('Raw Price Data'!B688-'Raw Price Data'!B687)/'Raw Price Data'!B687</f>
        <v>5.5979643765910253E-4</v>
      </c>
      <c r="C688" s="26">
        <f>('Raw Price Data'!C688-'Raw Price Data'!C687)/'Raw Price Data'!C687</f>
        <v>1.6181724910676328E-2</v>
      </c>
      <c r="D688" s="26">
        <f>('Raw Price Data'!D688-'Raw Price Data'!D687)/'Raw Price Data'!D687</f>
        <v>-1.4896119168953333E-2</v>
      </c>
      <c r="E688" s="26">
        <f>('Raw Price Data'!E688-'Raw Price Data'!E687)/'Raw Price Data'!E687</f>
        <v>-2.4929775280898823E-2</v>
      </c>
      <c r="F688" s="26">
        <f>('Raw Price Data'!F688-'Raw Price Data'!F687)/'Raw Price Data'!F687</f>
        <v>2.5489387462885166E-2</v>
      </c>
    </row>
    <row r="689" spans="1:6" ht="15" customHeight="1" x14ac:dyDescent="0.3">
      <c r="A689" s="21">
        <v>44427</v>
      </c>
      <c r="B689" s="25">
        <f>('Raw Price Data'!B689-'Raw Price Data'!B688)/'Raw Price Data'!B688</f>
        <v>-9.2060424190020963E-3</v>
      </c>
      <c r="C689" s="25">
        <f>('Raw Price Data'!C689-'Raw Price Data'!C688)/'Raw Price Data'!C688</f>
        <v>-5.995872855611927E-3</v>
      </c>
      <c r="D689" s="25">
        <f>('Raw Price Data'!D689-'Raw Price Data'!D688)/'Raw Price Data'!D688</f>
        <v>-2.1829344551190968E-2</v>
      </c>
      <c r="E689" s="25">
        <f>('Raw Price Data'!E689-'Raw Price Data'!E688)/'Raw Price Data'!E688</f>
        <v>4.3612211419197513E-3</v>
      </c>
      <c r="F689" s="25">
        <f>('Raw Price Data'!F689-'Raw Price Data'!F688)/'Raw Price Data'!F688</f>
        <v>-1.9460106344624115E-2</v>
      </c>
    </row>
    <row r="690" spans="1:6" ht="15" customHeight="1" x14ac:dyDescent="0.3">
      <c r="A690" s="19">
        <v>44428</v>
      </c>
      <c r="B690" s="26">
        <f>('Raw Price Data'!B690-'Raw Price Data'!B689)/'Raw Price Data'!B689</f>
        <v>-6.108829568788489E-3</v>
      </c>
      <c r="C690" s="26">
        <f>('Raw Price Data'!C690-'Raw Price Data'!C689)/'Raw Price Data'!C689</f>
        <v>1.5538963237521656E-2</v>
      </c>
      <c r="D690" s="26">
        <f>('Raw Price Data'!D690-'Raw Price Data'!D689)/'Raw Price Data'!D689</f>
        <v>-2.9057941535421631E-3</v>
      </c>
      <c r="E690" s="26">
        <f>('Raw Price Data'!E690-'Raw Price Data'!E689)/'Raw Price Data'!E689</f>
        <v>-1.7468727591427053E-2</v>
      </c>
      <c r="F690" s="26">
        <f>('Raw Price Data'!F690-'Raw Price Data'!F689)/'Raw Price Data'!F689</f>
        <v>6.7052117892139364E-3</v>
      </c>
    </row>
    <row r="691" spans="1:6" ht="15" customHeight="1" x14ac:dyDescent="0.3">
      <c r="A691" s="21">
        <v>44431</v>
      </c>
      <c r="B691" s="25">
        <f>('Raw Price Data'!B691-'Raw Price Data'!B690)/'Raw Price Data'!B690</f>
        <v>2.840762357316166E-3</v>
      </c>
      <c r="C691" s="25">
        <f>('Raw Price Data'!C691-'Raw Price Data'!C690)/'Raw Price Data'!C690</f>
        <v>-4.228886276298879E-3</v>
      </c>
      <c r="D691" s="25">
        <f>('Raw Price Data'!D691-'Raw Price Data'!D690)/'Raw Price Data'!D690</f>
        <v>-4.9542460803170384E-3</v>
      </c>
      <c r="E691" s="25">
        <f>('Raw Price Data'!E691-'Raw Price Data'!E690)/'Raw Price Data'!E690</f>
        <v>1.2771909907352995E-2</v>
      </c>
      <c r="F691" s="25">
        <f>('Raw Price Data'!F691-'Raw Price Data'!F690)/'Raw Price Data'!F690</f>
        <v>1.9129026927211822E-3</v>
      </c>
    </row>
    <row r="692" spans="1:6" ht="15" customHeight="1" x14ac:dyDescent="0.3">
      <c r="A692" s="19">
        <v>44432</v>
      </c>
      <c r="B692" s="26">
        <f>('Raw Price Data'!B692-'Raw Price Data'!B691)/'Raw Price Data'!B691</f>
        <v>2.1889163576431808E-2</v>
      </c>
      <c r="C692" s="26">
        <f>('Raw Price Data'!C692-'Raw Price Data'!C691)/'Raw Price Data'!C691</f>
        <v>3.1014308874321602E-2</v>
      </c>
      <c r="D692" s="26">
        <f>('Raw Price Data'!D692-'Raw Price Data'!D691)/'Raw Price Data'!D691</f>
        <v>1.3940955951265203E-2</v>
      </c>
      <c r="E692" s="26">
        <f>('Raw Price Data'!E692-'Raw Price Data'!E691)/'Raw Price Data'!E691</f>
        <v>-5.3646135676682083E-3</v>
      </c>
      <c r="F692" s="26">
        <f>('Raw Price Data'!F692-'Raw Price Data'!F691)/'Raw Price Data'!F691</f>
        <v>3.9920474589900789E-3</v>
      </c>
    </row>
    <row r="693" spans="1:6" ht="15" customHeight="1" x14ac:dyDescent="0.3">
      <c r="A693" s="21">
        <v>44433</v>
      </c>
      <c r="B693" s="25">
        <f>('Raw Price Data'!B693-'Raw Price Data'!B692)/'Raw Price Data'!B692</f>
        <v>-4.1328562068443792E-3</v>
      </c>
      <c r="C693" s="25">
        <f>('Raw Price Data'!C693-'Raw Price Data'!C692)/'Raw Price Data'!C692</f>
        <v>1.0682299856429889E-3</v>
      </c>
      <c r="D693" s="25">
        <f>('Raw Price Data'!D693-'Raw Price Data'!D692)/'Raw Price Data'!D692</f>
        <v>-2.7209705372617032E-2</v>
      </c>
      <c r="E693" s="25">
        <f>('Raw Price Data'!E693-'Raw Price Data'!E692)/'Raw Price Data'!E692</f>
        <v>3.2260661313369104E-2</v>
      </c>
      <c r="F693" s="25">
        <f>('Raw Price Data'!F693-'Raw Price Data'!F692)/'Raw Price Data'!F692</f>
        <v>8.2054429779690099E-3</v>
      </c>
    </row>
    <row r="694" spans="1:6" ht="15" customHeight="1" x14ac:dyDescent="0.3">
      <c r="A694" s="19">
        <v>44434</v>
      </c>
      <c r="B694" s="26">
        <f>('Raw Price Data'!B694-'Raw Price Data'!B693)/'Raw Price Data'!B693</f>
        <v>-1.4221367478111252E-2</v>
      </c>
      <c r="C694" s="26">
        <f>('Raw Price Data'!C694-'Raw Price Data'!C693)/'Raw Price Data'!C693</f>
        <v>-2.5012591663039103E-3</v>
      </c>
      <c r="D694" s="26">
        <f>('Raw Price Data'!D694-'Raw Price Data'!D693)/'Raw Price Data'!D693</f>
        <v>-6.5918403705682365E-3</v>
      </c>
      <c r="E694" s="26">
        <f>('Raw Price Data'!E694-'Raw Price Data'!E693)/'Raw Price Data'!E693</f>
        <v>1.1639241987054566E-2</v>
      </c>
      <c r="F694" s="26">
        <f>('Raw Price Data'!F694-'Raw Price Data'!F693)/'Raw Price Data'!F693</f>
        <v>1.7806672838223271E-2</v>
      </c>
    </row>
    <row r="695" spans="1:6" ht="15" customHeight="1" x14ac:dyDescent="0.3">
      <c r="A695" s="21">
        <v>44435</v>
      </c>
      <c r="B695" s="25">
        <f>('Raw Price Data'!B695-'Raw Price Data'!B694)/'Raw Price Data'!B694</f>
        <v>-1.1756853886435938E-2</v>
      </c>
      <c r="C695" s="25">
        <f>('Raw Price Data'!C695-'Raw Price Data'!C694)/'Raw Price Data'!C694</f>
        <v>-2.7813912090921537E-2</v>
      </c>
      <c r="D695" s="25">
        <f>('Raw Price Data'!D695-'Raw Price Data'!D694)/'Raw Price Data'!D694</f>
        <v>-1.3629842180774756E-2</v>
      </c>
      <c r="E695" s="25">
        <f>('Raw Price Data'!E695-'Raw Price Data'!E694)/'Raw Price Data'!E694</f>
        <v>9.5010503189501896E-3</v>
      </c>
      <c r="F695" s="25">
        <f>('Raw Price Data'!F695-'Raw Price Data'!F694)/'Raw Price Data'!F694</f>
        <v>-1.0789158496682741E-3</v>
      </c>
    </row>
    <row r="696" spans="1:6" ht="15" customHeight="1" x14ac:dyDescent="0.3">
      <c r="A696" s="19">
        <v>44438</v>
      </c>
      <c r="B696" s="26">
        <f>('Raw Price Data'!B696-'Raw Price Data'!B695)/'Raw Price Data'!B695</f>
        <v>-2.8728765130656142E-2</v>
      </c>
      <c r="C696" s="26">
        <f>('Raw Price Data'!C696-'Raw Price Data'!C695)/'Raw Price Data'!C695</f>
        <v>-2.4577897498195455E-2</v>
      </c>
      <c r="D696" s="26">
        <f>('Raw Price Data'!D696-'Raw Price Data'!D695)/'Raw Price Data'!D695</f>
        <v>5.7575757575756888E-3</v>
      </c>
      <c r="E696" s="26">
        <f>('Raw Price Data'!E696-'Raw Price Data'!E695)/'Raw Price Data'!E695</f>
        <v>-2.6115841319537366E-2</v>
      </c>
      <c r="F696" s="26">
        <f>('Raw Price Data'!F696-'Raw Price Data'!F695)/'Raw Price Data'!F695</f>
        <v>2.4768932313055384E-2</v>
      </c>
    </row>
    <row r="697" spans="1:6" ht="15" customHeight="1" x14ac:dyDescent="0.3">
      <c r="A697" s="21">
        <v>44439</v>
      </c>
      <c r="B697" s="25">
        <f>('Raw Price Data'!B697-'Raw Price Data'!B696)/'Raw Price Data'!B696</f>
        <v>4.8673513050919801E-3</v>
      </c>
      <c r="C697" s="25">
        <f>('Raw Price Data'!C697-'Raw Price Data'!C696)/'Raw Price Data'!C696</f>
        <v>7.3190982437775281E-3</v>
      </c>
      <c r="D697" s="25">
        <f>('Raw Price Data'!D697-'Raw Price Data'!D696)/'Raw Price Data'!D696</f>
        <v>-4.2181379933710865E-4</v>
      </c>
      <c r="E697" s="25">
        <f>('Raw Price Data'!E697-'Raw Price Data'!E696)/'Raw Price Data'!E696</f>
        <v>9.4091817932335869E-4</v>
      </c>
      <c r="F697" s="25">
        <f>('Raw Price Data'!F697-'Raw Price Data'!F696)/'Raw Price Data'!F696</f>
        <v>-1.3020108489193246E-2</v>
      </c>
    </row>
    <row r="698" spans="1:6" ht="15" customHeight="1" x14ac:dyDescent="0.3">
      <c r="A698" s="19">
        <v>44440</v>
      </c>
      <c r="B698" s="26">
        <f>('Raw Price Data'!B698-'Raw Price Data'!B697)/'Raw Price Data'!B697</f>
        <v>-1.8523447064459565E-2</v>
      </c>
      <c r="C698" s="26">
        <f>('Raw Price Data'!C698-'Raw Price Data'!C697)/'Raw Price Data'!C697</f>
        <v>-3.4134585233433728E-3</v>
      </c>
      <c r="D698" s="26">
        <f>('Raw Price Data'!D698-'Raw Price Data'!D697)/'Raw Price Data'!D697</f>
        <v>1.3744875813841338E-2</v>
      </c>
      <c r="E698" s="26">
        <f>('Raw Price Data'!E698-'Raw Price Data'!E697)/'Raw Price Data'!E697</f>
        <v>6.2081391249852319E-3</v>
      </c>
      <c r="F698" s="26">
        <f>('Raw Price Data'!F698-'Raw Price Data'!F697)/'Raw Price Data'!F697</f>
        <v>8.9897058739098062E-3</v>
      </c>
    </row>
    <row r="699" spans="1:6" ht="15" customHeight="1" x14ac:dyDescent="0.3">
      <c r="A699" s="21">
        <v>44441</v>
      </c>
      <c r="B699" s="25">
        <f>('Raw Price Data'!B699-'Raw Price Data'!B698)/'Raw Price Data'!B698</f>
        <v>-1.6812191550517896E-2</v>
      </c>
      <c r="C699" s="25">
        <f>('Raw Price Data'!C699-'Raw Price Data'!C698)/'Raw Price Data'!C698</f>
        <v>5.5557553310080048E-3</v>
      </c>
      <c r="D699" s="25">
        <f>('Raw Price Data'!D699-'Raw Price Data'!D698)/'Raw Price Data'!D698</f>
        <v>2.9317316841103752E-2</v>
      </c>
      <c r="E699" s="25">
        <f>('Raw Price Data'!E699-'Raw Price Data'!E698)/'Raw Price Data'!E698</f>
        <v>6.9483641176357079E-3</v>
      </c>
      <c r="F699" s="25">
        <f>('Raw Price Data'!F699-'Raw Price Data'!F698)/'Raw Price Data'!F698</f>
        <v>-1.5847704713934201E-2</v>
      </c>
    </row>
    <row r="700" spans="1:6" ht="15" customHeight="1" x14ac:dyDescent="0.3">
      <c r="A700" s="19">
        <v>44442</v>
      </c>
      <c r="B700" s="26">
        <f>('Raw Price Data'!B700-'Raw Price Data'!B699)/'Raw Price Data'!B699</f>
        <v>-2.7028517844337834E-2</v>
      </c>
      <c r="C700" s="26">
        <f>('Raw Price Data'!C700-'Raw Price Data'!C699)/'Raw Price Data'!C699</f>
        <v>-1.1479249736263271E-2</v>
      </c>
      <c r="D700" s="26">
        <f>('Raw Price Data'!D700-'Raw Price Data'!D699)/'Raw Price Data'!D699</f>
        <v>4.6218730140380195E-4</v>
      </c>
      <c r="E700" s="26">
        <f>('Raw Price Data'!E700-'Raw Price Data'!E699)/'Raw Price Data'!E699</f>
        <v>7.2096799134065605E-3</v>
      </c>
      <c r="F700" s="26">
        <f>('Raw Price Data'!F700-'Raw Price Data'!F699)/'Raw Price Data'!F699</f>
        <v>-1.5730553277541658E-2</v>
      </c>
    </row>
    <row r="701" spans="1:6" ht="15" customHeight="1" x14ac:dyDescent="0.3">
      <c r="A701" s="21">
        <v>44445</v>
      </c>
      <c r="B701" s="25">
        <f>('Raw Price Data'!B701-'Raw Price Data'!B700)/'Raw Price Data'!B700</f>
        <v>-1.519360507965292E-2</v>
      </c>
      <c r="C701" s="25">
        <f>('Raw Price Data'!C701-'Raw Price Data'!C700)/'Raw Price Data'!C700</f>
        <v>-2.0620421452473298E-3</v>
      </c>
      <c r="D701" s="25">
        <f>('Raw Price Data'!D701-'Raw Price Data'!D700)/'Raw Price Data'!D700</f>
        <v>8.7197551538951285E-3</v>
      </c>
      <c r="E701" s="25">
        <f>('Raw Price Data'!E701-'Raw Price Data'!E700)/'Raw Price Data'!E700</f>
        <v>2.7826287205663736E-3</v>
      </c>
      <c r="F701" s="25">
        <f>('Raw Price Data'!F701-'Raw Price Data'!F700)/'Raw Price Data'!F700</f>
        <v>5.1074690243529406E-3</v>
      </c>
    </row>
    <row r="702" spans="1:6" ht="15" customHeight="1" x14ac:dyDescent="0.3">
      <c r="A702" s="19">
        <v>44446</v>
      </c>
      <c r="B702" s="26">
        <f>('Raw Price Data'!B702-'Raw Price Data'!B701)/'Raw Price Data'!B701</f>
        <v>8.1745437798629184E-3</v>
      </c>
      <c r="C702" s="26">
        <f>('Raw Price Data'!C702-'Raw Price Data'!C701)/'Raw Price Data'!C701</f>
        <v>-1.0404016602925465E-2</v>
      </c>
      <c r="D702" s="26">
        <f>('Raw Price Data'!D702-'Raw Price Data'!D701)/'Raw Price Data'!D701</f>
        <v>-1.1392260132814341E-2</v>
      </c>
      <c r="E702" s="26">
        <f>('Raw Price Data'!E702-'Raw Price Data'!E701)/'Raw Price Data'!E701</f>
        <v>-2.1586864163508964E-2</v>
      </c>
      <c r="F702" s="26">
        <f>('Raw Price Data'!F702-'Raw Price Data'!F701)/'Raw Price Data'!F701</f>
        <v>8.5203105154896836E-3</v>
      </c>
    </row>
    <row r="703" spans="1:6" ht="15" customHeight="1" x14ac:dyDescent="0.3">
      <c r="A703" s="21">
        <v>44447</v>
      </c>
      <c r="B703" s="25">
        <f>('Raw Price Data'!B703-'Raw Price Data'!B702)/'Raw Price Data'!B702</f>
        <v>-1.7815337178096299E-2</v>
      </c>
      <c r="C703" s="25">
        <f>('Raw Price Data'!C703-'Raw Price Data'!C702)/'Raw Price Data'!C702</f>
        <v>5.797021814385339E-3</v>
      </c>
      <c r="D703" s="25">
        <f>('Raw Price Data'!D703-'Raw Price Data'!D702)/'Raw Price Data'!D702</f>
        <v>-1.6214025131739021E-3</v>
      </c>
      <c r="E703" s="25">
        <f>('Raw Price Data'!E703-'Raw Price Data'!E702)/'Raw Price Data'!E702</f>
        <v>-4.5006454641473986E-2</v>
      </c>
      <c r="F703" s="25">
        <f>('Raw Price Data'!F703-'Raw Price Data'!F702)/'Raw Price Data'!F702</f>
        <v>-6.2068450766648419E-3</v>
      </c>
    </row>
    <row r="704" spans="1:6" ht="15" customHeight="1" x14ac:dyDescent="0.3">
      <c r="A704" s="19">
        <v>44448</v>
      </c>
      <c r="B704" s="26">
        <f>('Raw Price Data'!B704-'Raw Price Data'!B703)/'Raw Price Data'!B703</f>
        <v>-2.3952095808383263E-2</v>
      </c>
      <c r="C704" s="26">
        <f>('Raw Price Data'!C704-'Raw Price Data'!C703)/'Raw Price Data'!C703</f>
        <v>-3.250566800513477E-3</v>
      </c>
      <c r="D704" s="26">
        <f>('Raw Price Data'!D704-'Raw Price Data'!D703)/'Raw Price Data'!D703</f>
        <v>8.120178643931024E-4</v>
      </c>
      <c r="E704" s="26">
        <f>('Raw Price Data'!E704-'Raw Price Data'!E703)/'Raw Price Data'!E703</f>
        <v>-2.0624679979518674E-2</v>
      </c>
      <c r="F704" s="26">
        <f>('Raw Price Data'!F704-'Raw Price Data'!F703)/'Raw Price Data'!F703</f>
        <v>6.6999725470228448E-3</v>
      </c>
    </row>
    <row r="705" spans="1:6" ht="15" customHeight="1" x14ac:dyDescent="0.3">
      <c r="A705" s="21">
        <v>44449</v>
      </c>
      <c r="B705" s="25">
        <f>('Raw Price Data'!B705-'Raw Price Data'!B704)/'Raw Price Data'!B704</f>
        <v>2.7994520221575276E-3</v>
      </c>
      <c r="C705" s="25">
        <f>('Raw Price Data'!C705-'Raw Price Data'!C704)/'Raw Price Data'!C704</f>
        <v>3.3488627021101537E-2</v>
      </c>
      <c r="D705" s="25">
        <f>('Raw Price Data'!D705-'Raw Price Data'!D704)/'Raw Price Data'!D704</f>
        <v>3.4077079107505043E-2</v>
      </c>
      <c r="E705" s="25">
        <f>('Raw Price Data'!E705-'Raw Price Data'!E704)/'Raw Price Data'!E704</f>
        <v>1.9636956794512498E-2</v>
      </c>
      <c r="F705" s="25">
        <f>('Raw Price Data'!F705-'Raw Price Data'!F704)/'Raw Price Data'!F704</f>
        <v>-7.8791841440426103E-3</v>
      </c>
    </row>
    <row r="706" spans="1:6" ht="15" customHeight="1" x14ac:dyDescent="0.3">
      <c r="A706" s="19">
        <v>44452</v>
      </c>
      <c r="B706" s="26">
        <f>('Raw Price Data'!B706-'Raw Price Data'!B705)/'Raw Price Data'!B705</f>
        <v>-4.4547398431931569E-3</v>
      </c>
      <c r="C706" s="26">
        <f>('Raw Price Data'!C706-'Raw Price Data'!C705)/'Raw Price Data'!C705</f>
        <v>-1.1543628906802385E-2</v>
      </c>
      <c r="D706" s="26">
        <f>('Raw Price Data'!D706-'Raw Price Data'!D705)/'Raw Price Data'!D705</f>
        <v>-1.7541893179398058E-2</v>
      </c>
      <c r="E706" s="26">
        <f>('Raw Price Data'!E706-'Raw Price Data'!E705)/'Raw Price Data'!E705</f>
        <v>1.5608015259347404E-2</v>
      </c>
      <c r="F706" s="26">
        <f>('Raw Price Data'!F706-'Raw Price Data'!F705)/'Raw Price Data'!F705</f>
        <v>1.2955479958309727E-2</v>
      </c>
    </row>
    <row r="707" spans="1:6" ht="15" customHeight="1" x14ac:dyDescent="0.3">
      <c r="A707" s="21">
        <v>44453</v>
      </c>
      <c r="B707" s="25">
        <f>('Raw Price Data'!B707-'Raw Price Data'!B706)/'Raw Price Data'!B706</f>
        <v>6.3242049997015316E-3</v>
      </c>
      <c r="C707" s="25">
        <f>('Raw Price Data'!C707-'Raw Price Data'!C706)/'Raw Price Data'!C706</f>
        <v>2.0325494053474041E-2</v>
      </c>
      <c r="D707" s="25">
        <f>('Raw Price Data'!D707-'Raw Price Data'!D706)/'Raw Price Data'!D706</f>
        <v>-1.711351968054828E-3</v>
      </c>
      <c r="E707" s="25">
        <f>('Raw Price Data'!E707-'Raw Price Data'!E706)/'Raw Price Data'!E706</f>
        <v>2.2052586938083152E-2</v>
      </c>
      <c r="F707" s="25">
        <f>('Raw Price Data'!F707-'Raw Price Data'!F706)/'Raw Price Data'!F706</f>
        <v>-1.6428954299975231E-2</v>
      </c>
    </row>
    <row r="708" spans="1:6" ht="15" customHeight="1" x14ac:dyDescent="0.3">
      <c r="A708" s="19">
        <v>44454</v>
      </c>
      <c r="B708" s="26">
        <f>('Raw Price Data'!B708-'Raw Price Data'!B707)/'Raw Price Data'!B707</f>
        <v>1.061243848935804E-2</v>
      </c>
      <c r="C708" s="26">
        <f>('Raw Price Data'!C708-'Raw Price Data'!C707)/'Raw Price Data'!C707</f>
        <v>-1.8001279545673616E-2</v>
      </c>
      <c r="D708" s="26">
        <f>('Raw Price Data'!D708-'Raw Price Data'!D707)/'Raw Price Data'!D707</f>
        <v>6.8571428571431172E-4</v>
      </c>
      <c r="E708" s="26">
        <f>('Raw Price Data'!E708-'Raw Price Data'!E707)/'Raw Price Data'!E707</f>
        <v>6.6785220312191177E-3</v>
      </c>
      <c r="F708" s="26">
        <f>('Raw Price Data'!F708-'Raw Price Data'!F707)/'Raw Price Data'!F707</f>
        <v>2.7035363962474848E-3</v>
      </c>
    </row>
    <row r="709" spans="1:6" ht="15" customHeight="1" x14ac:dyDescent="0.3">
      <c r="A709" s="21">
        <v>44455</v>
      </c>
      <c r="B709" s="25">
        <f>('Raw Price Data'!B709-'Raw Price Data'!B708)/'Raw Price Data'!B708</f>
        <v>1.759943681802249E-4</v>
      </c>
      <c r="C709" s="25">
        <f>('Raw Price Data'!C709-'Raw Price Data'!C708)/'Raw Price Data'!C708</f>
        <v>-7.6127408544475837E-3</v>
      </c>
      <c r="D709" s="25">
        <f>('Raw Price Data'!D709-'Raw Price Data'!D708)/'Raw Price Data'!D708</f>
        <v>-1.1477843764275873E-2</v>
      </c>
      <c r="E709" s="25">
        <f>('Raw Price Data'!E709-'Raw Price Data'!E708)/'Raw Price Data'!E708</f>
        <v>4.7695689722854805E-3</v>
      </c>
      <c r="F709" s="25">
        <f>('Raw Price Data'!F709-'Raw Price Data'!F708)/'Raw Price Data'!F708</f>
        <v>3.6011518075420024E-3</v>
      </c>
    </row>
    <row r="710" spans="1:6" ht="15" customHeight="1" x14ac:dyDescent="0.3">
      <c r="A710" s="19">
        <v>44456</v>
      </c>
      <c r="B710" s="26">
        <f>('Raw Price Data'!B710-'Raw Price Data'!B709)/'Raw Price Data'!B709</f>
        <v>-1.7654994427825792E-2</v>
      </c>
      <c r="C710" s="26">
        <f>('Raw Price Data'!C710-'Raw Price Data'!C709)/'Raw Price Data'!C709</f>
        <v>-1.4245116730817785E-2</v>
      </c>
      <c r="D710" s="26">
        <f>('Raw Price Data'!D710-'Raw Price Data'!D709)/'Raw Price Data'!D709</f>
        <v>5.9499740049677816E-3</v>
      </c>
      <c r="E710" s="26">
        <f>('Raw Price Data'!E710-'Raw Price Data'!E709)/'Raw Price Data'!E709</f>
        <v>8.009220370768787E-4</v>
      </c>
      <c r="F710" s="26">
        <f>('Raw Price Data'!F710-'Raw Price Data'!F709)/'Raw Price Data'!F709</f>
        <v>2.7394465158065108E-3</v>
      </c>
    </row>
    <row r="711" spans="1:6" ht="15" customHeight="1" x14ac:dyDescent="0.3">
      <c r="A711" s="21">
        <v>44459</v>
      </c>
      <c r="B711" s="25">
        <f>('Raw Price Data'!B711-'Raw Price Data'!B710)/'Raw Price Data'!B710</f>
        <v>-1.433006926200028E-3</v>
      </c>
      <c r="C711" s="25">
        <f>('Raw Price Data'!C711-'Raw Price Data'!C710)/'Raw Price Data'!C710</f>
        <v>2.2807721782286614E-2</v>
      </c>
      <c r="D711" s="25">
        <f>('Raw Price Data'!D711-'Raw Price Data'!D710)/'Raw Price Data'!D710</f>
        <v>6.3167566325952483E-4</v>
      </c>
      <c r="E711" s="25">
        <f>('Raw Price Data'!E711-'Raw Price Data'!E710)/'Raw Price Data'!E710</f>
        <v>-3.1796533416614765E-2</v>
      </c>
      <c r="F711" s="25">
        <f>('Raw Price Data'!F711-'Raw Price Data'!F710)/'Raw Price Data'!F710</f>
        <v>3.7259312737576608E-4</v>
      </c>
    </row>
    <row r="712" spans="1:6" ht="15" customHeight="1" x14ac:dyDescent="0.3">
      <c r="A712" s="19">
        <v>44460</v>
      </c>
      <c r="B712" s="26">
        <f>('Raw Price Data'!B712-'Raw Price Data'!B711)/'Raw Price Data'!B711</f>
        <v>7.2949055249940135E-3</v>
      </c>
      <c r="C712" s="26">
        <f>('Raw Price Data'!C712-'Raw Price Data'!C711)/'Raw Price Data'!C711</f>
        <v>8.3041958041959584E-3</v>
      </c>
      <c r="D712" s="26">
        <f>('Raw Price Data'!D712-'Raw Price Data'!D711)/'Raw Price Data'!D711</f>
        <v>2.2381635581060909E-3</v>
      </c>
      <c r="E712" s="26">
        <f>('Raw Price Data'!E712-'Raw Price Data'!E711)/'Raw Price Data'!E711</f>
        <v>3.8304134830555291E-3</v>
      </c>
      <c r="F712" s="26">
        <f>('Raw Price Data'!F712-'Raw Price Data'!F711)/'Raw Price Data'!F711</f>
        <v>-1.0082274330742776E-3</v>
      </c>
    </row>
    <row r="713" spans="1:6" ht="15" customHeight="1" x14ac:dyDescent="0.3">
      <c r="A713" s="21">
        <v>44461</v>
      </c>
      <c r="B713" s="25">
        <f>('Raw Price Data'!B713-'Raw Price Data'!B712)/'Raw Price Data'!B712</f>
        <v>-7.776326724444985E-3</v>
      </c>
      <c r="C713" s="25">
        <f>('Raw Price Data'!C713-'Raw Price Data'!C712)/'Raw Price Data'!C712</f>
        <v>3.0165512238704336E-3</v>
      </c>
      <c r="D713" s="25">
        <f>('Raw Price Data'!D713-'Raw Price Data'!D712)/'Raw Price Data'!D712</f>
        <v>-1.0936784241868969E-2</v>
      </c>
      <c r="E713" s="25">
        <f>('Raw Price Data'!E713-'Raw Price Data'!E712)/'Raw Price Data'!E712</f>
        <v>-1.1748639366979339E-2</v>
      </c>
      <c r="F713" s="25">
        <f>('Raw Price Data'!F713-'Raw Price Data'!F712)/'Raw Price Data'!F712</f>
        <v>-2.8838559387628738E-2</v>
      </c>
    </row>
    <row r="714" spans="1:6" ht="15" customHeight="1" x14ac:dyDescent="0.3">
      <c r="A714" s="19">
        <v>44462</v>
      </c>
      <c r="B714" s="26">
        <f>('Raw Price Data'!B714-'Raw Price Data'!B713)/'Raw Price Data'!B713</f>
        <v>-1.9623093030212389E-2</v>
      </c>
      <c r="C714" s="26">
        <f>('Raw Price Data'!C714-'Raw Price Data'!C713)/'Raw Price Data'!C713</f>
        <v>4.7272983842518591E-3</v>
      </c>
      <c r="D714" s="26">
        <f>('Raw Price Data'!D714-'Raw Price Data'!D713)/'Raw Price Data'!D713</f>
        <v>1.1926127482197664E-2</v>
      </c>
      <c r="E714" s="26">
        <f>('Raw Price Data'!E714-'Raw Price Data'!E713)/'Raw Price Data'!E713</f>
        <v>-1.1034791090879546E-2</v>
      </c>
      <c r="F714" s="26">
        <f>('Raw Price Data'!F714-'Raw Price Data'!F713)/'Raw Price Data'!F713</f>
        <v>-1.6282541867752132E-2</v>
      </c>
    </row>
    <row r="715" spans="1:6" ht="15" customHeight="1" x14ac:dyDescent="0.3">
      <c r="A715" s="21">
        <v>44463</v>
      </c>
      <c r="B715" s="25">
        <f>('Raw Price Data'!B715-'Raw Price Data'!B714)/'Raw Price Data'!B714</f>
        <v>1.5622139500823837E-2</v>
      </c>
      <c r="C715" s="25">
        <f>('Raw Price Data'!C715-'Raw Price Data'!C714)/'Raw Price Data'!C714</f>
        <v>-1.8530547752809101E-2</v>
      </c>
      <c r="D715" s="25">
        <f>('Raw Price Data'!D715-'Raw Price Data'!D714)/'Raw Price Data'!D714</f>
        <v>-1.4245666228044972E-2</v>
      </c>
      <c r="E715" s="25">
        <f>('Raw Price Data'!E715-'Raw Price Data'!E714)/'Raw Price Data'!E714</f>
        <v>-1.8206102948731033E-2</v>
      </c>
      <c r="F715" s="25">
        <f>('Raw Price Data'!F715-'Raw Price Data'!F714)/'Raw Price Data'!F714</f>
        <v>1.1666798455034745E-2</v>
      </c>
    </row>
    <row r="716" spans="1:6" ht="15" customHeight="1" x14ac:dyDescent="0.3">
      <c r="A716" s="19">
        <v>44466</v>
      </c>
      <c r="B716" s="26">
        <f>('Raw Price Data'!B716-'Raw Price Data'!B715)/'Raw Price Data'!B715</f>
        <v>-5.4677642251997633E-3</v>
      </c>
      <c r="C716" s="26">
        <f>('Raw Price Data'!C716-'Raw Price Data'!C715)/'Raw Price Data'!C715</f>
        <v>2.5346796769490962E-2</v>
      </c>
      <c r="D716" s="26">
        <f>('Raw Price Data'!D716-'Raw Price Data'!D715)/'Raw Price Data'!D715</f>
        <v>-5.4556006964596501E-3</v>
      </c>
      <c r="E716" s="26">
        <f>('Raw Price Data'!E716-'Raw Price Data'!E715)/'Raw Price Data'!E715</f>
        <v>-7.953284915967171E-4</v>
      </c>
      <c r="F716" s="26">
        <f>('Raw Price Data'!F716-'Raw Price Data'!F715)/'Raw Price Data'!F715</f>
        <v>8.2362592130930043E-3</v>
      </c>
    </row>
    <row r="717" spans="1:6" ht="15" customHeight="1" x14ac:dyDescent="0.3">
      <c r="A717" s="21">
        <v>44467</v>
      </c>
      <c r="B717" s="25">
        <f>('Raw Price Data'!B717-'Raw Price Data'!B716)/'Raw Price Data'!B716</f>
        <v>-5.3165780570325269E-3</v>
      </c>
      <c r="C717" s="25">
        <f>('Raw Price Data'!C717-'Raw Price Data'!C716)/'Raw Price Data'!C716</f>
        <v>2.5104018561970615E-2</v>
      </c>
      <c r="D717" s="25">
        <f>('Raw Price Data'!D717-'Raw Price Data'!D716)/'Raw Price Data'!D716</f>
        <v>1.371381886087765E-2</v>
      </c>
      <c r="E717" s="25">
        <f>('Raw Price Data'!E717-'Raw Price Data'!E716)/'Raw Price Data'!E716</f>
        <v>1.7783456567729942E-2</v>
      </c>
      <c r="F717" s="25">
        <f>('Raw Price Data'!F717-'Raw Price Data'!F716)/'Raw Price Data'!F716</f>
        <v>1.5753553399021698E-2</v>
      </c>
    </row>
    <row r="718" spans="1:6" ht="15" customHeight="1" x14ac:dyDescent="0.3">
      <c r="A718" s="19">
        <v>44468</v>
      </c>
      <c r="B718" s="26">
        <f>('Raw Price Data'!B718-'Raw Price Data'!B717)/'Raw Price Data'!B717</f>
        <v>5.4664723032072044E-4</v>
      </c>
      <c r="C718" s="26">
        <f>('Raw Price Data'!C718-'Raw Price Data'!C717)/'Raw Price Data'!C717</f>
        <v>-1.7018235038828642E-5</v>
      </c>
      <c r="D718" s="26">
        <f>('Raw Price Data'!D718-'Raw Price Data'!D717)/'Raw Price Data'!D717</f>
        <v>2.2451211789764582E-2</v>
      </c>
      <c r="E718" s="26">
        <f>('Raw Price Data'!E718-'Raw Price Data'!E717)/'Raw Price Data'!E717</f>
        <v>1.5579337312204261E-2</v>
      </c>
      <c r="F718" s="26">
        <f>('Raw Price Data'!F718-'Raw Price Data'!F717)/'Raw Price Data'!F717</f>
        <v>1.0600305093406539E-3</v>
      </c>
    </row>
    <row r="719" spans="1:6" ht="15" customHeight="1" x14ac:dyDescent="0.3">
      <c r="A719" s="21">
        <v>44469</v>
      </c>
      <c r="B719" s="25">
        <f>('Raw Price Data'!B719-'Raw Price Data'!B718)/'Raw Price Data'!B718</f>
        <v>1.4569295210344235E-2</v>
      </c>
      <c r="C719" s="25">
        <f>('Raw Price Data'!C719-'Raw Price Data'!C718)/'Raw Price Data'!C718</f>
        <v>8.3390770854076203E-4</v>
      </c>
      <c r="D719" s="25">
        <f>('Raw Price Data'!D719-'Raw Price Data'!D718)/'Raw Price Data'!D718</f>
        <v>-1.1429536625190029E-2</v>
      </c>
      <c r="E719" s="25">
        <f>('Raw Price Data'!E719-'Raw Price Data'!E718)/'Raw Price Data'!E718</f>
        <v>-1.787342695604606E-2</v>
      </c>
      <c r="F719" s="25">
        <f>('Raw Price Data'!F719-'Raw Price Data'!F718)/'Raw Price Data'!F718</f>
        <v>1.9486816665345113E-2</v>
      </c>
    </row>
    <row r="720" spans="1:6" ht="15" customHeight="1" x14ac:dyDescent="0.3">
      <c r="A720" s="19">
        <v>44470</v>
      </c>
      <c r="B720" s="26">
        <f>('Raw Price Data'!B720-'Raw Price Data'!B719)/'Raw Price Data'!B719</f>
        <v>3.9490217196194374E-3</v>
      </c>
      <c r="C720" s="26">
        <f>('Raw Price Data'!C720-'Raw Price Data'!C719)/'Raw Price Data'!C719</f>
        <v>1.2047578156218782E-2</v>
      </c>
      <c r="D720" s="26">
        <f>('Raw Price Data'!D720-'Raw Price Data'!D719)/'Raw Price Data'!D719</f>
        <v>1.0194783004898006E-2</v>
      </c>
      <c r="E720" s="26">
        <f>('Raw Price Data'!E720-'Raw Price Data'!E719)/'Raw Price Data'!E719</f>
        <v>5.0551944702363471E-3</v>
      </c>
      <c r="F720" s="26">
        <f>('Raw Price Data'!F720-'Raw Price Data'!F719)/'Raw Price Data'!F719</f>
        <v>-1.2213664577978422E-3</v>
      </c>
    </row>
    <row r="721" spans="1:6" ht="15" customHeight="1" x14ac:dyDescent="0.3">
      <c r="A721" s="21">
        <v>44473</v>
      </c>
      <c r="B721" s="25">
        <f>('Raw Price Data'!B721-'Raw Price Data'!B720)/'Raw Price Data'!B720</f>
        <v>-4.2910781333810053E-3</v>
      </c>
      <c r="C721" s="25">
        <f>('Raw Price Data'!C721-'Raw Price Data'!C720)/'Raw Price Data'!C720</f>
        <v>-2.5034863988440434E-3</v>
      </c>
      <c r="D721" s="25">
        <f>('Raw Price Data'!D721-'Raw Price Data'!D720)/'Raw Price Data'!D720</f>
        <v>-9.5844844111188994E-4</v>
      </c>
      <c r="E721" s="25">
        <f>('Raw Price Data'!E721-'Raw Price Data'!E720)/'Raw Price Data'!E720</f>
        <v>-9.2383494149054699E-4</v>
      </c>
      <c r="F721" s="25">
        <f>('Raw Price Data'!F721-'Raw Price Data'!F720)/'Raw Price Data'!F720</f>
        <v>1.2045908395159689E-2</v>
      </c>
    </row>
    <row r="722" spans="1:6" ht="15" customHeight="1" x14ac:dyDescent="0.3">
      <c r="A722" s="19">
        <v>44474</v>
      </c>
      <c r="B722" s="26">
        <f>('Raw Price Data'!B722-'Raw Price Data'!B721)/'Raw Price Data'!B721</f>
        <v>9.8162446878554792E-3</v>
      </c>
      <c r="C722" s="26">
        <f>('Raw Price Data'!C722-'Raw Price Data'!C721)/'Raw Price Data'!C721</f>
        <v>-2.9308718501547897E-3</v>
      </c>
      <c r="D722" s="26">
        <f>('Raw Price Data'!D722-'Raw Price Data'!D721)/'Raw Price Data'!D721</f>
        <v>1.6873589164785607E-2</v>
      </c>
      <c r="E722" s="26">
        <f>('Raw Price Data'!E722-'Raw Price Data'!E721)/'Raw Price Data'!E721</f>
        <v>-3.7542381588410528E-2</v>
      </c>
      <c r="F722" s="26">
        <f>('Raw Price Data'!F722-'Raw Price Data'!F721)/'Raw Price Data'!F721</f>
        <v>-4.9534126531921071E-3</v>
      </c>
    </row>
    <row r="723" spans="1:6" ht="15" customHeight="1" x14ac:dyDescent="0.3">
      <c r="A723" s="21">
        <v>44475</v>
      </c>
      <c r="B723" s="25">
        <f>('Raw Price Data'!B723-'Raw Price Data'!B722)/'Raw Price Data'!B722</f>
        <v>3.0051567779029061E-2</v>
      </c>
      <c r="C723" s="25">
        <f>('Raw Price Data'!C723-'Raw Price Data'!C722)/'Raw Price Data'!C722</f>
        <v>-8.1004831570768536E-3</v>
      </c>
      <c r="D723" s="25">
        <f>('Raw Price Data'!D723-'Raw Price Data'!D722)/'Raw Price Data'!D722</f>
        <v>2.1088850657638904E-3</v>
      </c>
      <c r="E723" s="25">
        <f>('Raw Price Data'!E723-'Raw Price Data'!E722)/'Raw Price Data'!E722</f>
        <v>1.8254408813356701E-2</v>
      </c>
      <c r="F723" s="25">
        <f>('Raw Price Data'!F723-'Raw Price Data'!F722)/'Raw Price Data'!F722</f>
        <v>-5.8890398019203153E-3</v>
      </c>
    </row>
    <row r="724" spans="1:6" ht="15" customHeight="1" x14ac:dyDescent="0.3">
      <c r="A724" s="19">
        <v>44476</v>
      </c>
      <c r="B724" s="26">
        <f>('Raw Price Data'!B724-'Raw Price Data'!B723)/'Raw Price Data'!B723</f>
        <v>1.9564967199907961E-2</v>
      </c>
      <c r="C724" s="26">
        <f>('Raw Price Data'!C724-'Raw Price Data'!C723)/'Raw Price Data'!C723</f>
        <v>-5.5011964676528252E-3</v>
      </c>
      <c r="D724" s="26">
        <f>('Raw Price Data'!D724-'Raw Price Data'!D723)/'Raw Price Data'!D723</f>
        <v>2.7136290635210752E-2</v>
      </c>
      <c r="E724" s="26">
        <f>('Raw Price Data'!E724-'Raw Price Data'!E723)/'Raw Price Data'!E723</f>
        <v>-1.176273247646408E-2</v>
      </c>
      <c r="F724" s="26">
        <f>('Raw Price Data'!F724-'Raw Price Data'!F723)/'Raw Price Data'!F723</f>
        <v>1.0618054051740379E-2</v>
      </c>
    </row>
    <row r="725" spans="1:6" ht="15" customHeight="1" x14ac:dyDescent="0.3">
      <c r="A725" s="21">
        <v>44477</v>
      </c>
      <c r="B725" s="25">
        <f>('Raw Price Data'!B725-'Raw Price Data'!B724)/'Raw Price Data'!B724</f>
        <v>9.5947623885313717E-3</v>
      </c>
      <c r="C725" s="25">
        <f>('Raw Price Data'!C725-'Raw Price Data'!C724)/'Raw Price Data'!C724</f>
        <v>-7.8007929236274974E-3</v>
      </c>
      <c r="D725" s="25">
        <f>('Raw Price Data'!D725-'Raw Price Data'!D724)/'Raw Price Data'!D724</f>
        <v>2.4532269369709449E-2</v>
      </c>
      <c r="E725" s="25">
        <f>('Raw Price Data'!E725-'Raw Price Data'!E724)/'Raw Price Data'!E724</f>
        <v>1.1457184078757605E-2</v>
      </c>
      <c r="F725" s="25">
        <f>('Raw Price Data'!F725-'Raw Price Data'!F724)/'Raw Price Data'!F724</f>
        <v>-1.6042330201347217E-2</v>
      </c>
    </row>
    <row r="726" spans="1:6" ht="15" customHeight="1" x14ac:dyDescent="0.3">
      <c r="A726" s="19">
        <v>44480</v>
      </c>
      <c r="B726" s="26">
        <f>('Raw Price Data'!B726-'Raw Price Data'!B725)/'Raw Price Data'!B725</f>
        <v>-1.5205724508050083E-2</v>
      </c>
      <c r="C726" s="26">
        <f>('Raw Price Data'!C726-'Raw Price Data'!C725)/'Raw Price Data'!C725</f>
        <v>1.3463131731565787E-2</v>
      </c>
      <c r="D726" s="26">
        <f>('Raw Price Data'!D726-'Raw Price Data'!D725)/'Raw Price Data'!D725</f>
        <v>-1.4893169140090581E-2</v>
      </c>
      <c r="E726" s="26">
        <f>('Raw Price Data'!E726-'Raw Price Data'!E725)/'Raw Price Data'!E725</f>
        <v>-1.4473905017620477E-2</v>
      </c>
      <c r="F726" s="26">
        <f>('Raw Price Data'!F726-'Raw Price Data'!F725)/'Raw Price Data'!F725</f>
        <v>1.7648904751038908E-2</v>
      </c>
    </row>
    <row r="727" spans="1:6" ht="15" customHeight="1" x14ac:dyDescent="0.3">
      <c r="A727" s="21">
        <v>44481</v>
      </c>
      <c r="B727" s="25">
        <f>('Raw Price Data'!B727-'Raw Price Data'!B726)/'Raw Price Data'!B726</f>
        <v>5.2282016348773885E-2</v>
      </c>
      <c r="C727" s="25">
        <f>('Raw Price Data'!C727-'Raw Price Data'!C726)/'Raw Price Data'!C726</f>
        <v>-5.1944955378431003E-3</v>
      </c>
      <c r="D727" s="25">
        <f>('Raw Price Data'!D727-'Raw Price Data'!D726)/'Raw Price Data'!D726</f>
        <v>-4.7545274854425253E-3</v>
      </c>
      <c r="E727" s="25">
        <f>('Raw Price Data'!E727-'Raw Price Data'!E726)/'Raw Price Data'!E726</f>
        <v>1.5176024860584895E-2</v>
      </c>
      <c r="F727" s="25">
        <f>('Raw Price Data'!F727-'Raw Price Data'!F726)/'Raw Price Data'!F726</f>
        <v>2.1249239035689732E-2</v>
      </c>
    </row>
    <row r="728" spans="1:6" ht="15" customHeight="1" x14ac:dyDescent="0.3">
      <c r="A728" s="19">
        <v>44482</v>
      </c>
      <c r="B728" s="26">
        <f>('Raw Price Data'!B728-'Raw Price Data'!B727)/'Raw Price Data'!B727</f>
        <v>-1.62917408426391E-2</v>
      </c>
      <c r="C728" s="26">
        <f>('Raw Price Data'!C728-'Raw Price Data'!C727)/'Raw Price Data'!C727</f>
        <v>-6.9593056102447391E-3</v>
      </c>
      <c r="D728" s="26">
        <f>('Raw Price Data'!D728-'Raw Price Data'!D727)/'Raw Price Data'!D727</f>
        <v>-1.1433172302737648E-2</v>
      </c>
      <c r="E728" s="26">
        <f>('Raw Price Data'!E728-'Raw Price Data'!E727)/'Raw Price Data'!E727</f>
        <v>2.4069608973687009E-2</v>
      </c>
      <c r="F728" s="26">
        <f>('Raw Price Data'!F728-'Raw Price Data'!F727)/'Raw Price Data'!F727</f>
        <v>2.8435774118851291E-4</v>
      </c>
    </row>
    <row r="729" spans="1:6" ht="15" customHeight="1" x14ac:dyDescent="0.3">
      <c r="A729" s="21">
        <v>44483</v>
      </c>
      <c r="B729" s="25">
        <f>('Raw Price Data'!B729-'Raw Price Data'!B728)/'Raw Price Data'!B728</f>
        <v>-4.8258842884562406E-3</v>
      </c>
      <c r="C729" s="25">
        <f>('Raw Price Data'!C729-'Raw Price Data'!C728)/'Raw Price Data'!C728</f>
        <v>-1.0456085303726334E-2</v>
      </c>
      <c r="D729" s="25">
        <f>('Raw Price Data'!D729-'Raw Price Data'!D728)/'Raw Price Data'!D728</f>
        <v>-8.687625563338036E-4</v>
      </c>
      <c r="E729" s="25">
        <f>('Raw Price Data'!E729-'Raw Price Data'!E728)/'Raw Price Data'!E728</f>
        <v>5.4050733984398712E-3</v>
      </c>
      <c r="F729" s="25">
        <f>('Raw Price Data'!F729-'Raw Price Data'!F728)/'Raw Price Data'!F728</f>
        <v>1.5988739339894406E-2</v>
      </c>
    </row>
    <row r="730" spans="1:6" ht="15" customHeight="1" x14ac:dyDescent="0.3">
      <c r="A730" s="19">
        <v>44484</v>
      </c>
      <c r="B730" s="26">
        <f>('Raw Price Data'!B730-'Raw Price Data'!B729)/'Raw Price Data'!B729</f>
        <v>-9.3679396043422538E-3</v>
      </c>
      <c r="C730" s="26">
        <f>('Raw Price Data'!C730-'Raw Price Data'!C729)/'Raw Price Data'!C729</f>
        <v>-2.5854559392313375E-2</v>
      </c>
      <c r="D730" s="26">
        <f>('Raw Price Data'!D730-'Raw Price Data'!D729)/'Raw Price Data'!D729</f>
        <v>-2.8259333731862339E-2</v>
      </c>
      <c r="E730" s="26">
        <f>('Raw Price Data'!E730-'Raw Price Data'!E729)/'Raw Price Data'!E729</f>
        <v>1.0752031278636507E-2</v>
      </c>
      <c r="F730" s="26">
        <f>('Raw Price Data'!F730-'Raw Price Data'!F729)/'Raw Price Data'!F729</f>
        <v>-5.7194228998654851E-3</v>
      </c>
    </row>
    <row r="731" spans="1:6" ht="15" customHeight="1" x14ac:dyDescent="0.3">
      <c r="A731" s="21">
        <v>44487</v>
      </c>
      <c r="B731" s="25">
        <f>('Raw Price Data'!B731-'Raw Price Data'!B730)/'Raw Price Data'!B730</f>
        <v>2.286254658730592E-2</v>
      </c>
      <c r="C731" s="25">
        <f>('Raw Price Data'!C731-'Raw Price Data'!C730)/'Raw Price Data'!C730</f>
        <v>2.8114604571305983E-2</v>
      </c>
      <c r="D731" s="25">
        <f>('Raw Price Data'!D731-'Raw Price Data'!D730)/'Raw Price Data'!D730</f>
        <v>-2.5949331692858423E-2</v>
      </c>
      <c r="E731" s="25">
        <f>('Raw Price Data'!E731-'Raw Price Data'!E730)/'Raw Price Data'!E730</f>
        <v>-1.1866626372519479E-2</v>
      </c>
      <c r="F731" s="25">
        <f>('Raw Price Data'!F731-'Raw Price Data'!F730)/'Raw Price Data'!F730</f>
        <v>-2.4547034599661072E-3</v>
      </c>
    </row>
    <row r="732" spans="1:6" ht="15" customHeight="1" x14ac:dyDescent="0.3">
      <c r="A732" s="19">
        <v>44488</v>
      </c>
      <c r="B732" s="26">
        <f>('Raw Price Data'!B732-'Raw Price Data'!B731)/'Raw Price Data'!B731</f>
        <v>6.1453121601043915E-3</v>
      </c>
      <c r="C732" s="26">
        <f>('Raw Price Data'!C732-'Raw Price Data'!C731)/'Raw Price Data'!C731</f>
        <v>9.5588491110879248E-3</v>
      </c>
      <c r="D732" s="26">
        <f>('Raw Price Data'!D732-'Raw Price Data'!D731)/'Raw Price Data'!D731</f>
        <v>1.6478153528162169E-2</v>
      </c>
      <c r="E732" s="26">
        <f>('Raw Price Data'!E732-'Raw Price Data'!E731)/'Raw Price Data'!E731</f>
        <v>-5.5254251111201318E-3</v>
      </c>
      <c r="F732" s="26">
        <f>('Raw Price Data'!F732-'Raw Price Data'!F731)/'Raw Price Data'!F731</f>
        <v>3.0501382911979577E-3</v>
      </c>
    </row>
    <row r="733" spans="1:6" ht="15" customHeight="1" x14ac:dyDescent="0.3">
      <c r="A733" s="21">
        <v>44489</v>
      </c>
      <c r="B733" s="25">
        <f>('Raw Price Data'!B733-'Raw Price Data'!B732)/'Raw Price Data'!B732</f>
        <v>-1.9458407653640312E-2</v>
      </c>
      <c r="C733" s="25">
        <f>('Raw Price Data'!C733-'Raw Price Data'!C732)/'Raw Price Data'!C732</f>
        <v>1.5886827889826101E-2</v>
      </c>
      <c r="D733" s="25">
        <f>('Raw Price Data'!D733-'Raw Price Data'!D732)/'Raw Price Data'!D732</f>
        <v>5.7614098508812148E-3</v>
      </c>
      <c r="E733" s="25">
        <f>('Raw Price Data'!E733-'Raw Price Data'!E732)/'Raw Price Data'!E732</f>
        <v>-2.0666324961558142E-2</v>
      </c>
      <c r="F733" s="25">
        <f>('Raw Price Data'!F733-'Raw Price Data'!F732)/'Raw Price Data'!F732</f>
        <v>-5.9174269191829042E-3</v>
      </c>
    </row>
    <row r="734" spans="1:6" ht="15" customHeight="1" x14ac:dyDescent="0.3">
      <c r="A734" s="19">
        <v>44490</v>
      </c>
      <c r="B734" s="26">
        <f>('Raw Price Data'!B734-'Raw Price Data'!B733)/'Raw Price Data'!B733</f>
        <v>4.0240339562316839E-3</v>
      </c>
      <c r="C734" s="26">
        <f>('Raw Price Data'!C734-'Raw Price Data'!C733)/'Raw Price Data'!C733</f>
        <v>-8.7520671670272346E-3</v>
      </c>
      <c r="D734" s="26">
        <f>('Raw Price Data'!D734-'Raw Price Data'!D733)/'Raw Price Data'!D733</f>
        <v>1.2243064135684639E-2</v>
      </c>
      <c r="E734" s="26">
        <f>('Raw Price Data'!E734-'Raw Price Data'!E733)/'Raw Price Data'!E733</f>
        <v>2.0369711306969164E-2</v>
      </c>
      <c r="F734" s="26">
        <f>('Raw Price Data'!F734-'Raw Price Data'!F733)/'Raw Price Data'!F733</f>
        <v>8.3389847481588359E-3</v>
      </c>
    </row>
    <row r="735" spans="1:6" ht="15" customHeight="1" x14ac:dyDescent="0.3">
      <c r="A735" s="21">
        <v>44491</v>
      </c>
      <c r="B735" s="25">
        <f>('Raw Price Data'!B735-'Raw Price Data'!B734)/'Raw Price Data'!B734</f>
        <v>7.9060063687274966E-3</v>
      </c>
      <c r="C735" s="25">
        <f>('Raw Price Data'!C735-'Raw Price Data'!C734)/'Raw Price Data'!C734</f>
        <v>2.6291248513470752E-2</v>
      </c>
      <c r="D735" s="25">
        <f>('Raw Price Data'!D735-'Raw Price Data'!D734)/'Raw Price Data'!D734</f>
        <v>-1.381491344873507E-2</v>
      </c>
      <c r="E735" s="25">
        <f>('Raw Price Data'!E735-'Raw Price Data'!E734)/'Raw Price Data'!E734</f>
        <v>2.2897004513746461E-2</v>
      </c>
      <c r="F735" s="25">
        <f>('Raw Price Data'!F735-'Raw Price Data'!F734)/'Raw Price Data'!F734</f>
        <v>1.0485452593546689E-2</v>
      </c>
    </row>
    <row r="736" spans="1:6" ht="15" customHeight="1" x14ac:dyDescent="0.3">
      <c r="A736" s="19">
        <v>44494</v>
      </c>
      <c r="B736" s="26">
        <f>('Raw Price Data'!B736-'Raw Price Data'!B735)/'Raw Price Data'!B735</f>
        <v>-4.0854123542869592E-3</v>
      </c>
      <c r="C736" s="26">
        <f>('Raw Price Data'!C736-'Raw Price Data'!C735)/'Raw Price Data'!C735</f>
        <v>3.1594918136649804E-3</v>
      </c>
      <c r="D736" s="26">
        <f>('Raw Price Data'!D736-'Raw Price Data'!D735)/'Raw Price Data'!D735</f>
        <v>-1.6202531645569593E-2</v>
      </c>
      <c r="E736" s="26">
        <f>('Raw Price Data'!E736-'Raw Price Data'!E735)/'Raw Price Data'!E735</f>
        <v>-8.5847240051348476E-3</v>
      </c>
      <c r="F736" s="26">
        <f>('Raw Price Data'!F736-'Raw Price Data'!F735)/'Raw Price Data'!F735</f>
        <v>7.7330190607482396E-3</v>
      </c>
    </row>
    <row r="737" spans="1:6" ht="15" customHeight="1" x14ac:dyDescent="0.3">
      <c r="A737" s="21">
        <v>44495</v>
      </c>
      <c r="B737" s="25">
        <f>('Raw Price Data'!B737-'Raw Price Data'!B736)/'Raw Price Data'!B736</f>
        <v>-1.6627468139802114E-2</v>
      </c>
      <c r="C737" s="25">
        <f>('Raw Price Data'!C737-'Raw Price Data'!C736)/'Raw Price Data'!C736</f>
        <v>2.6218473428346021E-2</v>
      </c>
      <c r="D737" s="25">
        <f>('Raw Price Data'!D737-'Raw Price Data'!D736)/'Raw Price Data'!D736</f>
        <v>-2.6305255332533194E-3</v>
      </c>
      <c r="E737" s="25">
        <f>('Raw Price Data'!E737-'Raw Price Data'!E736)/'Raw Price Data'!E736</f>
        <v>1.1734239702193919E-3</v>
      </c>
      <c r="F737" s="25">
        <f>('Raw Price Data'!F737-'Raw Price Data'!F736)/'Raw Price Data'!F736</f>
        <v>-5.4587894731392174E-3</v>
      </c>
    </row>
    <row r="738" spans="1:6" ht="15" customHeight="1" x14ac:dyDescent="0.3">
      <c r="A738" s="19">
        <v>44496</v>
      </c>
      <c r="B738" s="26">
        <f>('Raw Price Data'!B738-'Raw Price Data'!B737)/'Raw Price Data'!B737</f>
        <v>-9.7335780632960677E-3</v>
      </c>
      <c r="C738" s="26">
        <f>('Raw Price Data'!C738-'Raw Price Data'!C737)/'Raw Price Data'!C737</f>
        <v>3.5630415418238495E-4</v>
      </c>
      <c r="D738" s="26">
        <f>('Raw Price Data'!D738-'Raw Price Data'!D737)/'Raw Price Data'!D737</f>
        <v>2.2189094662003351E-2</v>
      </c>
      <c r="E738" s="26">
        <f>('Raw Price Data'!E738-'Raw Price Data'!E737)/'Raw Price Data'!E737</f>
        <v>-1.2124641312694499E-2</v>
      </c>
      <c r="F738" s="26">
        <f>('Raw Price Data'!F738-'Raw Price Data'!F737)/'Raw Price Data'!F737</f>
        <v>-1.6915568601799217E-2</v>
      </c>
    </row>
    <row r="739" spans="1:6" ht="15" customHeight="1" x14ac:dyDescent="0.3">
      <c r="A739" s="21">
        <v>44497</v>
      </c>
      <c r="B739" s="25">
        <f>('Raw Price Data'!B739-'Raw Price Data'!B738)/'Raw Price Data'!B738</f>
        <v>-5.7290496517635467E-3</v>
      </c>
      <c r="C739" s="25">
        <f>('Raw Price Data'!C739-'Raw Price Data'!C738)/'Raw Price Data'!C738</f>
        <v>-1.9427849822721609E-4</v>
      </c>
      <c r="D739" s="25">
        <f>('Raw Price Data'!D739-'Raw Price Data'!D738)/'Raw Price Data'!D738</f>
        <v>1.5705631590756178E-3</v>
      </c>
      <c r="E739" s="25">
        <f>('Raw Price Data'!E739-'Raw Price Data'!E738)/'Raw Price Data'!E738</f>
        <v>-2.426052448553781E-2</v>
      </c>
      <c r="F739" s="25">
        <f>('Raw Price Data'!F739-'Raw Price Data'!F738)/'Raw Price Data'!F738</f>
        <v>5.083776604255282E-3</v>
      </c>
    </row>
    <row r="740" spans="1:6" ht="15" customHeight="1" x14ac:dyDescent="0.3">
      <c r="A740" s="19">
        <v>44498</v>
      </c>
      <c r="B740" s="26">
        <f>('Raw Price Data'!B740-'Raw Price Data'!B739)/'Raw Price Data'!B739</f>
        <v>6.2139871200985884E-4</v>
      </c>
      <c r="C740" s="26">
        <f>('Raw Price Data'!C740-'Raw Price Data'!C739)/'Raw Price Data'!C739</f>
        <v>-8.7118451947210684E-3</v>
      </c>
      <c r="D740" s="26">
        <f>('Raw Price Data'!D740-'Raw Price Data'!D739)/'Raw Price Data'!D739</f>
        <v>3.3042114695340692E-3</v>
      </c>
      <c r="E740" s="26">
        <f>('Raw Price Data'!E740-'Raw Price Data'!E739)/'Raw Price Data'!E739</f>
        <v>-9.2452830188679766E-3</v>
      </c>
      <c r="F740" s="26">
        <f>('Raw Price Data'!F740-'Raw Price Data'!F739)/'Raw Price Data'!F739</f>
        <v>-3.6556556389514285E-3</v>
      </c>
    </row>
    <row r="741" spans="1:6" ht="15" customHeight="1" x14ac:dyDescent="0.3">
      <c r="A741" s="21">
        <v>44501</v>
      </c>
      <c r="B741" s="25">
        <f>('Raw Price Data'!B741-'Raw Price Data'!B740)/'Raw Price Data'!B740</f>
        <v>-6.8875966804042166E-3</v>
      </c>
      <c r="C741" s="25">
        <f>('Raw Price Data'!C741-'Raw Price Data'!C740)/'Raw Price Data'!C740</f>
        <v>1.9602398026692678E-3</v>
      </c>
      <c r="D741" s="25">
        <f>('Raw Price Data'!D741-'Raw Price Data'!D740)/'Raw Price Data'!D740</f>
        <v>1.8922690482835534E-2</v>
      </c>
      <c r="E741" s="25">
        <f>('Raw Price Data'!E741-'Raw Price Data'!E740)/'Raw Price Data'!E740</f>
        <v>-2.2154510252015428E-2</v>
      </c>
      <c r="F741" s="25">
        <f>('Raw Price Data'!F741-'Raw Price Data'!F740)/'Raw Price Data'!F740</f>
        <v>-1.7976209785475459E-2</v>
      </c>
    </row>
    <row r="742" spans="1:6" ht="15" customHeight="1" x14ac:dyDescent="0.3">
      <c r="A742" s="19">
        <v>44502</v>
      </c>
      <c r="B742" s="26">
        <f>('Raw Price Data'!B742-'Raw Price Data'!B741)/'Raw Price Data'!B741</f>
        <v>1.0516741515547691E-2</v>
      </c>
      <c r="C742" s="26">
        <f>('Raw Price Data'!C742-'Raw Price Data'!C741)/'Raw Price Data'!C741</f>
        <v>4.5649444870142887E-3</v>
      </c>
      <c r="D742" s="26">
        <f>('Raw Price Data'!D742-'Raw Price Data'!D741)/'Raw Price Data'!D741</f>
        <v>6.354771556919013E-3</v>
      </c>
      <c r="E742" s="26">
        <f>('Raw Price Data'!E742-'Raw Price Data'!E741)/'Raw Price Data'!E741</f>
        <v>-3.6181078507746961E-2</v>
      </c>
      <c r="F742" s="26">
        <f>('Raw Price Data'!F742-'Raw Price Data'!F741)/'Raw Price Data'!F741</f>
        <v>-1.3301559617009946E-2</v>
      </c>
    </row>
    <row r="743" spans="1:6" ht="15" customHeight="1" x14ac:dyDescent="0.3">
      <c r="A743" s="21">
        <v>44503</v>
      </c>
      <c r="B743" s="25">
        <f>('Raw Price Data'!B743-'Raw Price Data'!B742)/'Raw Price Data'!B742</f>
        <v>-1.2826282628262834E-2</v>
      </c>
      <c r="C743" s="25">
        <f>('Raw Price Data'!C743-'Raw Price Data'!C742)/'Raw Price Data'!C742</f>
        <v>2.6924387750133946E-2</v>
      </c>
      <c r="D743" s="25">
        <f>('Raw Price Data'!D743-'Raw Price Data'!D742)/'Raw Price Data'!D742</f>
        <v>3.2661948829614739E-3</v>
      </c>
      <c r="E743" s="25">
        <f>('Raw Price Data'!E743-'Raw Price Data'!E742)/'Raw Price Data'!E742</f>
        <v>6.0619667714415038E-3</v>
      </c>
      <c r="F743" s="25">
        <f>('Raw Price Data'!F743-'Raw Price Data'!F742)/'Raw Price Data'!F742</f>
        <v>-2.8786707487068433E-3</v>
      </c>
    </row>
    <row r="744" spans="1:6" ht="15" customHeight="1" x14ac:dyDescent="0.3">
      <c r="A744" s="19">
        <v>44504</v>
      </c>
      <c r="B744" s="26">
        <f>('Raw Price Data'!B744-'Raw Price Data'!B743)/'Raw Price Data'!B743</f>
        <v>-2.3706405288351932E-2</v>
      </c>
      <c r="C744" s="26">
        <f>('Raw Price Data'!C744-'Raw Price Data'!C743)/'Raw Price Data'!C743</f>
        <v>2.7751438144004138E-2</v>
      </c>
      <c r="D744" s="26">
        <f>('Raw Price Data'!D744-'Raw Price Data'!D743)/'Raw Price Data'!D743</f>
        <v>7.1622354856212319E-3</v>
      </c>
      <c r="E744" s="26">
        <f>('Raw Price Data'!E744-'Raw Price Data'!E743)/'Raw Price Data'!E743</f>
        <v>-1.8344119616157169E-2</v>
      </c>
      <c r="F744" s="26">
        <f>('Raw Price Data'!F744-'Raw Price Data'!F743)/'Raw Price Data'!F743</f>
        <v>1.7633920628881552E-2</v>
      </c>
    </row>
    <row r="745" spans="1:6" ht="15" customHeight="1" x14ac:dyDescent="0.3">
      <c r="A745" s="21">
        <v>44505</v>
      </c>
      <c r="B745" s="25">
        <f>('Raw Price Data'!B745-'Raw Price Data'!B744)/'Raw Price Data'!B744</f>
        <v>-9.9229512024281378E-3</v>
      </c>
      <c r="C745" s="25">
        <f>('Raw Price Data'!C745-'Raw Price Data'!C744)/'Raw Price Data'!C744</f>
        <v>2.1835404108745834E-3</v>
      </c>
      <c r="D745" s="25">
        <f>('Raw Price Data'!D745-'Raw Price Data'!D744)/'Raw Price Data'!D744</f>
        <v>-2.6398017455016112E-3</v>
      </c>
      <c r="E745" s="25">
        <f>('Raw Price Data'!E745-'Raw Price Data'!E744)/'Raw Price Data'!E744</f>
        <v>-3.1826861871416375E-4</v>
      </c>
      <c r="F745" s="25">
        <f>('Raw Price Data'!F745-'Raw Price Data'!F744)/'Raw Price Data'!F744</f>
        <v>4.677602066043696E-3</v>
      </c>
    </row>
    <row r="746" spans="1:6" ht="15" customHeight="1" x14ac:dyDescent="0.3">
      <c r="A746" s="19">
        <v>44508</v>
      </c>
      <c r="B746" s="26">
        <f>('Raw Price Data'!B746-'Raw Price Data'!B745)/'Raw Price Data'!B745</f>
        <v>1.9042565735172677E-2</v>
      </c>
      <c r="C746" s="26">
        <f>('Raw Price Data'!C746-'Raw Price Data'!C745)/'Raw Price Data'!C745</f>
        <v>2.2094700340626595E-2</v>
      </c>
      <c r="D746" s="26">
        <f>('Raw Price Data'!D746-'Raw Price Data'!D745)/'Raw Price Data'!D745</f>
        <v>2.5171501107329967E-2</v>
      </c>
      <c r="E746" s="26">
        <f>('Raw Price Data'!E746-'Raw Price Data'!E745)/'Raw Price Data'!E745</f>
        <v>-4.9733933688088428E-2</v>
      </c>
      <c r="F746" s="26">
        <f>('Raw Price Data'!F746-'Raw Price Data'!F745)/'Raw Price Data'!F745</f>
        <v>-9.6179609637192104E-3</v>
      </c>
    </row>
    <row r="747" spans="1:6" ht="15" customHeight="1" x14ac:dyDescent="0.3">
      <c r="A747" s="21">
        <v>44509</v>
      </c>
      <c r="B747" s="25">
        <f>('Raw Price Data'!B747-'Raw Price Data'!B746)/'Raw Price Data'!B746</f>
        <v>-7.6366792016198627E-3</v>
      </c>
      <c r="C747" s="25">
        <f>('Raw Price Data'!C747-'Raw Price Data'!C746)/'Raw Price Data'!C746</f>
        <v>-4.7339898519830621E-2</v>
      </c>
      <c r="D747" s="25">
        <f>('Raw Price Data'!D747-'Raw Price Data'!D746)/'Raw Price Data'!D746</f>
        <v>-1.2118657463511765E-3</v>
      </c>
      <c r="E747" s="25">
        <f>('Raw Price Data'!E747-'Raw Price Data'!E746)/'Raw Price Data'!E746</f>
        <v>2.1298489960992328E-3</v>
      </c>
      <c r="F747" s="25">
        <f>('Raw Price Data'!F747-'Raw Price Data'!F746)/'Raw Price Data'!F746</f>
        <v>-1.1882911278347291E-2</v>
      </c>
    </row>
    <row r="748" spans="1:6" ht="15" customHeight="1" x14ac:dyDescent="0.3">
      <c r="A748" s="19">
        <v>44510</v>
      </c>
      <c r="B748" s="26">
        <f>('Raw Price Data'!B748-'Raw Price Data'!B747)/'Raw Price Data'!B747</f>
        <v>3.2763947997434879E-2</v>
      </c>
      <c r="C748" s="26">
        <f>('Raw Price Data'!C748-'Raw Price Data'!C747)/'Raw Price Data'!C747</f>
        <v>-7.6977017199675243E-3</v>
      </c>
      <c r="D748" s="26">
        <f>('Raw Price Data'!D748-'Raw Price Data'!D747)/'Raw Price Data'!D747</f>
        <v>-1.0972779067313846E-2</v>
      </c>
      <c r="E748" s="26">
        <f>('Raw Price Data'!E748-'Raw Price Data'!E747)/'Raw Price Data'!E747</f>
        <v>-1.2584774094946943E-2</v>
      </c>
      <c r="F748" s="26">
        <f>('Raw Price Data'!F748-'Raw Price Data'!F747)/'Raw Price Data'!F747</f>
        <v>-1.0900765328745211E-2</v>
      </c>
    </row>
    <row r="749" spans="1:6" ht="15" customHeight="1" x14ac:dyDescent="0.3">
      <c r="A749" s="21">
        <v>44511</v>
      </c>
      <c r="B749" s="25">
        <f>('Raw Price Data'!B749-'Raw Price Data'!B748)/'Raw Price Data'!B748</f>
        <v>7.112616426756934E-3</v>
      </c>
      <c r="C749" s="25">
        <f>('Raw Price Data'!C749-'Raw Price Data'!C748)/'Raw Price Data'!C748</f>
        <v>5.0022232103156599E-3</v>
      </c>
      <c r="D749" s="25">
        <f>('Raw Price Data'!D749-'Raw Price Data'!D748)/'Raw Price Data'!D748</f>
        <v>1.114785577128229E-2</v>
      </c>
      <c r="E749" s="25">
        <f>('Raw Price Data'!E749-'Raw Price Data'!E748)/'Raw Price Data'!E748</f>
        <v>-1.1342475029625862E-2</v>
      </c>
      <c r="F749" s="25">
        <f>('Raw Price Data'!F749-'Raw Price Data'!F748)/'Raw Price Data'!F748</f>
        <v>-1.1207594962966765E-2</v>
      </c>
    </row>
    <row r="750" spans="1:6" ht="15" customHeight="1" x14ac:dyDescent="0.3">
      <c r="A750" s="19">
        <v>44512</v>
      </c>
      <c r="B750" s="26">
        <f>('Raw Price Data'!B750-'Raw Price Data'!B749)/'Raw Price Data'!B749</f>
        <v>-1.5806288885152141E-2</v>
      </c>
      <c r="C750" s="26">
        <f>('Raw Price Data'!C750-'Raw Price Data'!C749)/'Raw Price Data'!C749</f>
        <v>1.6235561805742059E-2</v>
      </c>
      <c r="D750" s="26">
        <f>('Raw Price Data'!D750-'Raw Price Data'!D749)/'Raw Price Data'!D749</f>
        <v>1.5297779184470147E-2</v>
      </c>
      <c r="E750" s="26">
        <f>('Raw Price Data'!E750-'Raw Price Data'!E749)/'Raw Price Data'!E749</f>
        <v>1.6927592954990255E-2</v>
      </c>
      <c r="F750" s="26">
        <f>('Raw Price Data'!F750-'Raw Price Data'!F749)/'Raw Price Data'!F749</f>
        <v>2.1741061095249736E-3</v>
      </c>
    </row>
    <row r="751" spans="1:6" ht="15" customHeight="1" x14ac:dyDescent="0.3">
      <c r="A751" s="21">
        <v>44515</v>
      </c>
      <c r="B751" s="25">
        <f>('Raw Price Data'!B751-'Raw Price Data'!B750)/'Raw Price Data'!B750</f>
        <v>-1.1276268580215215E-2</v>
      </c>
      <c r="C751" s="25">
        <f>('Raw Price Data'!C751-'Raw Price Data'!C750)/'Raw Price Data'!C750</f>
        <v>8.0619455954723425E-3</v>
      </c>
      <c r="D751" s="25">
        <f>('Raw Price Data'!D751-'Raw Price Data'!D750)/'Raw Price Data'!D750</f>
        <v>-7.0140801163817443E-3</v>
      </c>
      <c r="E751" s="25">
        <f>('Raw Price Data'!E751-'Raw Price Data'!E750)/'Raw Price Data'!E750</f>
        <v>-1.8522082170692739E-3</v>
      </c>
      <c r="F751" s="25">
        <f>('Raw Price Data'!F751-'Raw Price Data'!F750)/'Raw Price Data'!F750</f>
        <v>1.2971447418061059E-2</v>
      </c>
    </row>
    <row r="752" spans="1:6" ht="15" customHeight="1" x14ac:dyDescent="0.3">
      <c r="A752" s="19">
        <v>44516</v>
      </c>
      <c r="B752" s="26">
        <f>('Raw Price Data'!B752-'Raw Price Data'!B751)/'Raw Price Data'!B751</f>
        <v>3.686423593110917E-3</v>
      </c>
      <c r="C752" s="26">
        <f>('Raw Price Data'!C752-'Raw Price Data'!C751)/'Raw Price Data'!C751</f>
        <v>-3.9331821757437635E-4</v>
      </c>
      <c r="D752" s="26">
        <f>('Raw Price Data'!D752-'Raw Price Data'!D751)/'Raw Price Data'!D751</f>
        <v>1.1772708246128086E-2</v>
      </c>
      <c r="E752" s="26">
        <f>('Raw Price Data'!E752-'Raw Price Data'!E751)/'Raw Price Data'!E751</f>
        <v>6.1453187130979916E-3</v>
      </c>
      <c r="F752" s="26">
        <f>('Raw Price Data'!F752-'Raw Price Data'!F751)/'Raw Price Data'!F751</f>
        <v>3.104748762093491E-2</v>
      </c>
    </row>
    <row r="753" spans="1:6" ht="15" customHeight="1" x14ac:dyDescent="0.3">
      <c r="A753" s="21">
        <v>44517</v>
      </c>
      <c r="B753" s="25">
        <f>('Raw Price Data'!B753-'Raw Price Data'!B752)/'Raw Price Data'!B752</f>
        <v>-1.5954088952654238E-2</v>
      </c>
      <c r="C753" s="25">
        <f>('Raw Price Data'!C753-'Raw Price Data'!C752)/'Raw Price Data'!C752</f>
        <v>-7.545422983451143E-3</v>
      </c>
      <c r="D753" s="25">
        <f>('Raw Price Data'!D753-'Raw Price Data'!D752)/'Raw Price Data'!D752</f>
        <v>1.7376014893726976E-2</v>
      </c>
      <c r="E753" s="25">
        <f>('Raw Price Data'!E753-'Raw Price Data'!E752)/'Raw Price Data'!E752</f>
        <v>1.4850299401197714E-3</v>
      </c>
      <c r="F753" s="25">
        <f>('Raw Price Data'!F753-'Raw Price Data'!F752)/'Raw Price Data'!F752</f>
        <v>2.0374576508606999E-2</v>
      </c>
    </row>
    <row r="754" spans="1:6" ht="15" customHeight="1" x14ac:dyDescent="0.3">
      <c r="A754" s="19">
        <v>44518</v>
      </c>
      <c r="B754" s="26">
        <f>('Raw Price Data'!B754-'Raw Price Data'!B753)/'Raw Price Data'!B753</f>
        <v>3.3183647285239384E-2</v>
      </c>
      <c r="C754" s="26">
        <f>('Raw Price Data'!C754-'Raw Price Data'!C753)/'Raw Price Data'!C753</f>
        <v>-1.3510887225292787E-2</v>
      </c>
      <c r="D754" s="26">
        <f>('Raw Price Data'!D754-'Raw Price Data'!D753)/'Raw Price Data'!D753</f>
        <v>-5.2406852030701993E-2</v>
      </c>
      <c r="E754" s="26">
        <f>('Raw Price Data'!E754-'Raw Price Data'!E753)/'Raw Price Data'!E753</f>
        <v>9.5666315890175074E-3</v>
      </c>
      <c r="F754" s="26">
        <f>('Raw Price Data'!F754-'Raw Price Data'!F753)/'Raw Price Data'!F753</f>
        <v>-5.1127931136836302E-3</v>
      </c>
    </row>
    <row r="755" spans="1:6" ht="15" customHeight="1" x14ac:dyDescent="0.3">
      <c r="A755" s="21">
        <v>44519</v>
      </c>
      <c r="B755" s="25">
        <f>('Raw Price Data'!B755-'Raw Price Data'!B754)/'Raw Price Data'!B754</f>
        <v>-1.3377737638293094E-2</v>
      </c>
      <c r="C755" s="25">
        <f>('Raw Price Data'!C755-'Raw Price Data'!C754)/'Raw Price Data'!C754</f>
        <v>3.4145265132112884E-2</v>
      </c>
      <c r="D755" s="25">
        <f>('Raw Price Data'!D755-'Raw Price Data'!D754)/'Raw Price Data'!D754</f>
        <v>-2.6767514215212857E-2</v>
      </c>
      <c r="E755" s="25">
        <f>('Raw Price Data'!E755-'Raw Price Data'!E754)/'Raw Price Data'!E754</f>
        <v>-1.4474556998010077E-2</v>
      </c>
      <c r="F755" s="25">
        <f>('Raw Price Data'!F755-'Raw Price Data'!F754)/'Raw Price Data'!F754</f>
        <v>1.1015234684695218E-2</v>
      </c>
    </row>
    <row r="756" spans="1:6" ht="15" customHeight="1" x14ac:dyDescent="0.3">
      <c r="A756" s="19">
        <v>44522</v>
      </c>
      <c r="B756" s="26">
        <f>('Raw Price Data'!B756-'Raw Price Data'!B755)/'Raw Price Data'!B755</f>
        <v>9.7259568625208369E-3</v>
      </c>
      <c r="C756" s="26">
        <f>('Raw Price Data'!C756-'Raw Price Data'!C755)/'Raw Price Data'!C755</f>
        <v>2.0383747866374057E-2</v>
      </c>
      <c r="D756" s="26">
        <f>('Raw Price Data'!D756-'Raw Price Data'!D755)/'Raw Price Data'!D755</f>
        <v>6.7243565011299057E-3</v>
      </c>
      <c r="E756" s="26">
        <f>('Raw Price Data'!E756-'Raw Price Data'!E755)/'Raw Price Data'!E755</f>
        <v>2.4037883704724103E-4</v>
      </c>
      <c r="F756" s="26">
        <f>('Raw Price Data'!F756-'Raw Price Data'!F755)/'Raw Price Data'!F755</f>
        <v>1.4748430443260348E-3</v>
      </c>
    </row>
    <row r="757" spans="1:6" ht="15" customHeight="1" x14ac:dyDescent="0.3">
      <c r="A757" s="21">
        <v>44523</v>
      </c>
      <c r="B757" s="25">
        <f>('Raw Price Data'!B757-'Raw Price Data'!B756)/'Raw Price Data'!B756</f>
        <v>2.0567737548869598E-2</v>
      </c>
      <c r="C757" s="25">
        <f>('Raw Price Data'!C757-'Raw Price Data'!C756)/'Raw Price Data'!C756</f>
        <v>2.3665678418603998E-2</v>
      </c>
      <c r="D757" s="25">
        <f>('Raw Price Data'!D757-'Raw Price Data'!D756)/'Raw Price Data'!D756</f>
        <v>-1.4289624965781624E-2</v>
      </c>
      <c r="E757" s="25">
        <f>('Raw Price Data'!E757-'Raw Price Data'!E756)/'Raw Price Data'!E756</f>
        <v>-3.9172334238542581E-3</v>
      </c>
      <c r="F757" s="25">
        <f>('Raw Price Data'!F757-'Raw Price Data'!F756)/'Raw Price Data'!F756</f>
        <v>2.0097832853023405E-2</v>
      </c>
    </row>
    <row r="758" spans="1:6" ht="15" customHeight="1" x14ac:dyDescent="0.3">
      <c r="A758" s="19">
        <v>44524</v>
      </c>
      <c r="B758" s="26">
        <f>('Raw Price Data'!B758-'Raw Price Data'!B757)/'Raw Price Data'!B757</f>
        <v>-1.221407950255379E-3</v>
      </c>
      <c r="C758" s="26">
        <f>('Raw Price Data'!C758-'Raw Price Data'!C757)/'Raw Price Data'!C757</f>
        <v>7.805888704076106E-4</v>
      </c>
      <c r="D758" s="26">
        <f>('Raw Price Data'!D758-'Raw Price Data'!D757)/'Raw Price Data'!D757</f>
        <v>2.6994001333037181E-2</v>
      </c>
      <c r="E758" s="26">
        <f>('Raw Price Data'!E758-'Raw Price Data'!E757)/'Raw Price Data'!E757</f>
        <v>1.3872804477900019E-2</v>
      </c>
      <c r="F758" s="26">
        <f>('Raw Price Data'!F758-'Raw Price Data'!F757)/'Raw Price Data'!F757</f>
        <v>6.1938968812383748E-3</v>
      </c>
    </row>
    <row r="759" spans="1:6" ht="15" customHeight="1" x14ac:dyDescent="0.3">
      <c r="A759" s="21">
        <v>44525</v>
      </c>
      <c r="B759" s="25">
        <f>('Raw Price Data'!B759-'Raw Price Data'!B758)/'Raw Price Data'!B758</f>
        <v>-1.3451917732073462E-2</v>
      </c>
      <c r="C759" s="25">
        <f>('Raw Price Data'!C759-'Raw Price Data'!C758)/'Raw Price Data'!C758</f>
        <v>-8.8276244141037158E-3</v>
      </c>
      <c r="D759" s="25">
        <f>('Raw Price Data'!D759-'Raw Price Data'!D758)/'Raw Price Data'!D758</f>
        <v>5.4624121146565219E-3</v>
      </c>
      <c r="E759" s="25">
        <f>('Raw Price Data'!E759-'Raw Price Data'!E758)/'Raw Price Data'!E758</f>
        <v>-1.0422863669895047E-2</v>
      </c>
      <c r="F759" s="25">
        <f>('Raw Price Data'!F759-'Raw Price Data'!F758)/'Raw Price Data'!F758</f>
        <v>-5.2592749736401758E-3</v>
      </c>
    </row>
    <row r="760" spans="1:6" ht="15" customHeight="1" x14ac:dyDescent="0.3">
      <c r="A760" s="19">
        <v>44526</v>
      </c>
      <c r="B760" s="26">
        <f>('Raw Price Data'!B760-'Raw Price Data'!B759)/'Raw Price Data'!B759</f>
        <v>-3.4933513635337851E-3</v>
      </c>
      <c r="C760" s="26">
        <f>('Raw Price Data'!C760-'Raw Price Data'!C759)/'Raw Price Data'!C759</f>
        <v>1.0377136469273011E-2</v>
      </c>
      <c r="D760" s="26">
        <f>('Raw Price Data'!D760-'Raw Price Data'!D759)/'Raw Price Data'!D759</f>
        <v>-1.1833682964875417E-3</v>
      </c>
      <c r="E760" s="26">
        <f>('Raw Price Data'!E760-'Raw Price Data'!E759)/'Raw Price Data'!E759</f>
        <v>1.4716845016231824E-2</v>
      </c>
      <c r="F760" s="26">
        <f>('Raw Price Data'!F760-'Raw Price Data'!F759)/'Raw Price Data'!F759</f>
        <v>1.1290565589303133E-2</v>
      </c>
    </row>
    <row r="761" spans="1:6" ht="15" customHeight="1" x14ac:dyDescent="0.3">
      <c r="A761" s="21">
        <v>44529</v>
      </c>
      <c r="B761" s="25">
        <f>('Raw Price Data'!B761-'Raw Price Data'!B760)/'Raw Price Data'!B760</f>
        <v>5.3714802668776915E-3</v>
      </c>
      <c r="C761" s="25">
        <f>('Raw Price Data'!C761-'Raw Price Data'!C760)/'Raw Price Data'!C760</f>
        <v>1.6013626140062983E-4</v>
      </c>
      <c r="D761" s="25">
        <f>('Raw Price Data'!D761-'Raw Price Data'!D760)/'Raw Price Data'!D760</f>
        <v>1.3463299046798428E-3</v>
      </c>
      <c r="E761" s="25">
        <f>('Raw Price Data'!E761-'Raw Price Data'!E760)/'Raw Price Data'!E760</f>
        <v>1.0450979927482919E-2</v>
      </c>
      <c r="F761" s="25">
        <f>('Raw Price Data'!F761-'Raw Price Data'!F760)/'Raw Price Data'!F760</f>
        <v>-8.6229833751466194E-3</v>
      </c>
    </row>
    <row r="762" spans="1:6" ht="15" customHeight="1" x14ac:dyDescent="0.3">
      <c r="A762" s="19">
        <v>44530</v>
      </c>
      <c r="B762" s="26">
        <f>('Raw Price Data'!B762-'Raw Price Data'!B761)/'Raw Price Data'!B761</f>
        <v>1.2428997244249524E-2</v>
      </c>
      <c r="C762" s="26">
        <f>('Raw Price Data'!C762-'Raw Price Data'!C761)/'Raw Price Data'!C761</f>
        <v>-1.6666060187038054E-3</v>
      </c>
      <c r="D762" s="26">
        <f>('Raw Price Data'!D762-'Raw Price Data'!D761)/'Raw Price Data'!D761</f>
        <v>-5.5932021082069055E-3</v>
      </c>
      <c r="E762" s="26">
        <f>('Raw Price Data'!E762-'Raw Price Data'!E761)/'Raw Price Data'!E761</f>
        <v>-1.0507059430554947E-2</v>
      </c>
      <c r="F762" s="26">
        <f>('Raw Price Data'!F762-'Raw Price Data'!F761)/'Raw Price Data'!F761</f>
        <v>-6.7691217476741174E-3</v>
      </c>
    </row>
    <row r="763" spans="1:6" ht="15" customHeight="1" x14ac:dyDescent="0.3">
      <c r="A763" s="21">
        <v>44531</v>
      </c>
      <c r="B763" s="25">
        <f>('Raw Price Data'!B763-'Raw Price Data'!B762)/'Raw Price Data'!B762</f>
        <v>1.1109876680368215E-3</v>
      </c>
      <c r="C763" s="25">
        <f>('Raw Price Data'!C763-'Raw Price Data'!C762)/'Raw Price Data'!C762</f>
        <v>1.6037790867209082E-4</v>
      </c>
      <c r="D763" s="25">
        <f>('Raw Price Data'!D763-'Raw Price Data'!D762)/'Raw Price Data'!D762</f>
        <v>-9.680908599242791E-3</v>
      </c>
      <c r="E763" s="25">
        <f>('Raw Price Data'!E763-'Raw Price Data'!E762)/'Raw Price Data'!E762</f>
        <v>1.422137947380896E-2</v>
      </c>
      <c r="F763" s="25">
        <f>('Raw Price Data'!F763-'Raw Price Data'!F762)/'Raw Price Data'!F762</f>
        <v>-3.1933522014950589E-3</v>
      </c>
    </row>
    <row r="764" spans="1:6" ht="15" customHeight="1" x14ac:dyDescent="0.3">
      <c r="A764" s="19">
        <v>44532</v>
      </c>
      <c r="B764" s="26">
        <f>('Raw Price Data'!B764-'Raw Price Data'!B763)/'Raw Price Data'!B763</f>
        <v>-1.9087781600266328E-2</v>
      </c>
      <c r="C764" s="26">
        <f>('Raw Price Data'!C764-'Raw Price Data'!C763)/'Raw Price Data'!C763</f>
        <v>-1.0568667181737343E-2</v>
      </c>
      <c r="D764" s="26">
        <f>('Raw Price Data'!D764-'Raw Price Data'!D763)/'Raw Price Data'!D763</f>
        <v>2.2937032384904564E-3</v>
      </c>
      <c r="E764" s="26">
        <f>('Raw Price Data'!E764-'Raw Price Data'!E763)/'Raw Price Data'!E763</f>
        <v>-7.0810937134843958E-3</v>
      </c>
      <c r="F764" s="26">
        <f>('Raw Price Data'!F764-'Raw Price Data'!F763)/'Raw Price Data'!F763</f>
        <v>-2.6789516621430619E-3</v>
      </c>
    </row>
    <row r="765" spans="1:6" ht="15" customHeight="1" x14ac:dyDescent="0.3">
      <c r="A765" s="21">
        <v>44533</v>
      </c>
      <c r="B765" s="25">
        <f>('Raw Price Data'!B765-'Raw Price Data'!B764)/'Raw Price Data'!B764</f>
        <v>9.0507976015384421E-4</v>
      </c>
      <c r="C765" s="25">
        <f>('Raw Price Data'!C765-'Raw Price Data'!C764)/'Raw Price Data'!C764</f>
        <v>-1.4777381618882006E-2</v>
      </c>
      <c r="D765" s="25">
        <f>('Raw Price Data'!D765-'Raw Price Data'!D764)/'Raw Price Data'!D764</f>
        <v>1.6182640440254994E-2</v>
      </c>
      <c r="E765" s="25">
        <f>('Raw Price Data'!E765-'Raw Price Data'!E764)/'Raw Price Data'!E764</f>
        <v>-1.1627085932167481E-2</v>
      </c>
      <c r="F765" s="25">
        <f>('Raw Price Data'!F765-'Raw Price Data'!F764)/'Raw Price Data'!F764</f>
        <v>-2.3250579576402676E-2</v>
      </c>
    </row>
    <row r="766" spans="1:6" ht="15" customHeight="1" x14ac:dyDescent="0.3">
      <c r="A766" s="19">
        <v>44536</v>
      </c>
      <c r="B766" s="26">
        <f>('Raw Price Data'!B766-'Raw Price Data'!B765)/'Raw Price Data'!B765</f>
        <v>-9.0426133152480739E-3</v>
      </c>
      <c r="C766" s="26">
        <f>('Raw Price Data'!C766-'Raw Price Data'!C765)/'Raw Price Data'!C765</f>
        <v>-3.6787247087676812E-3</v>
      </c>
      <c r="D766" s="26">
        <f>('Raw Price Data'!D766-'Raw Price Data'!D765)/'Raw Price Data'!D765</f>
        <v>-2.3967828418230558E-2</v>
      </c>
      <c r="E766" s="26">
        <f>('Raw Price Data'!E766-'Raw Price Data'!E765)/'Raw Price Data'!E765</f>
        <v>-1.4645298025861534E-2</v>
      </c>
      <c r="F766" s="26">
        <f>('Raw Price Data'!F766-'Raw Price Data'!F765)/'Raw Price Data'!F765</f>
        <v>1.1845945862905881E-2</v>
      </c>
    </row>
    <row r="767" spans="1:6" ht="15" customHeight="1" x14ac:dyDescent="0.3">
      <c r="A767" s="21">
        <v>44537</v>
      </c>
      <c r="B767" s="25">
        <f>('Raw Price Data'!B767-'Raw Price Data'!B766)/'Raw Price Data'!B766</f>
        <v>-2.9941827306946504E-2</v>
      </c>
      <c r="C767" s="25">
        <f>('Raw Price Data'!C767-'Raw Price Data'!C766)/'Raw Price Data'!C766</f>
        <v>-2.3842401500938071E-2</v>
      </c>
      <c r="D767" s="25">
        <f>('Raw Price Data'!D767-'Raw Price Data'!D766)/'Raw Price Data'!D766</f>
        <v>4.2300719661594807E-3</v>
      </c>
      <c r="E767" s="25">
        <f>('Raw Price Data'!E767-'Raw Price Data'!E766)/'Raw Price Data'!E766</f>
        <v>-1.9817294214316761E-2</v>
      </c>
      <c r="F767" s="25">
        <f>('Raw Price Data'!F767-'Raw Price Data'!F766)/'Raw Price Data'!F766</f>
        <v>3.0634910272229633E-2</v>
      </c>
    </row>
    <row r="768" spans="1:6" ht="15" customHeight="1" x14ac:dyDescent="0.3">
      <c r="A768" s="19">
        <v>44538</v>
      </c>
      <c r="B768" s="26">
        <f>('Raw Price Data'!B768-'Raw Price Data'!B767)/'Raw Price Data'!B767</f>
        <v>-9.3479922394026898E-3</v>
      </c>
      <c r="C768" s="26">
        <f>('Raw Price Data'!C768-'Raw Price Data'!C767)/'Raw Price Data'!C767</f>
        <v>1.1147586355354301E-2</v>
      </c>
      <c r="D768" s="26">
        <f>('Raw Price Data'!D768-'Raw Price Data'!D767)/'Raw Price Data'!D767</f>
        <v>-6.7286652078775606E-3</v>
      </c>
      <c r="E768" s="26">
        <f>('Raw Price Data'!E768-'Raw Price Data'!E767)/'Raw Price Data'!E767</f>
        <v>6.336604369051712E-3</v>
      </c>
      <c r="F768" s="26">
        <f>('Raw Price Data'!F768-'Raw Price Data'!F767)/'Raw Price Data'!F767</f>
        <v>-1.3694807505617343E-2</v>
      </c>
    </row>
    <row r="769" spans="1:6" ht="15" customHeight="1" x14ac:dyDescent="0.3">
      <c r="A769" s="21">
        <v>44539</v>
      </c>
      <c r="B769" s="25">
        <f>('Raw Price Data'!B769-'Raw Price Data'!B768)/'Raw Price Data'!B768</f>
        <v>-1.9525222551928737E-2</v>
      </c>
      <c r="C769" s="25">
        <f>('Raw Price Data'!C769-'Raw Price Data'!C768)/'Raw Price Data'!C768</f>
        <v>1.5388943378724641E-2</v>
      </c>
      <c r="D769" s="25">
        <f>('Raw Price Data'!D769-'Raw Price Data'!D768)/'Raw Price Data'!D768</f>
        <v>1.7624056837582927E-3</v>
      </c>
      <c r="E769" s="25">
        <f>('Raw Price Data'!E769-'Raw Price Data'!E768)/'Raw Price Data'!E768</f>
        <v>-3.2341051084160068E-3</v>
      </c>
      <c r="F769" s="25">
        <f>('Raw Price Data'!F769-'Raw Price Data'!F768)/'Raw Price Data'!F768</f>
        <v>1.5698378782971267E-2</v>
      </c>
    </row>
    <row r="770" spans="1:6" ht="15" customHeight="1" x14ac:dyDescent="0.3">
      <c r="A770" s="19">
        <v>44540</v>
      </c>
      <c r="B770" s="26">
        <f>('Raw Price Data'!B770-'Raw Price Data'!B769)/'Raw Price Data'!B769</f>
        <v>8.474063313358789E-3</v>
      </c>
      <c r="C770" s="26">
        <f>('Raw Price Data'!C770-'Raw Price Data'!C769)/'Raw Price Data'!C769</f>
        <v>-1.298419283098828E-2</v>
      </c>
      <c r="D770" s="26">
        <f>('Raw Price Data'!D770-'Raw Price Data'!D769)/'Raw Price Data'!D769</f>
        <v>-1.1435482984221146E-2</v>
      </c>
      <c r="E770" s="26">
        <f>('Raw Price Data'!E770-'Raw Price Data'!E769)/'Raw Price Data'!E769</f>
        <v>-5.3093429688075323E-3</v>
      </c>
      <c r="F770" s="26">
        <f>('Raw Price Data'!F770-'Raw Price Data'!F769)/'Raw Price Data'!F769</f>
        <v>-1.8890826208432285E-2</v>
      </c>
    </row>
    <row r="771" spans="1:6" ht="15" customHeight="1" x14ac:dyDescent="0.3">
      <c r="A771" s="21">
        <v>44543</v>
      </c>
      <c r="B771" s="25">
        <f>('Raw Price Data'!B771-'Raw Price Data'!B770)/'Raw Price Data'!B770</f>
        <v>2.7249264750014955E-2</v>
      </c>
      <c r="C771" s="25">
        <f>('Raw Price Data'!C771-'Raw Price Data'!C770)/'Raw Price Data'!C770</f>
        <v>-3.1635726369933198E-2</v>
      </c>
      <c r="D771" s="25">
        <f>('Raw Price Data'!D771-'Raw Price Data'!D770)/'Raw Price Data'!D770</f>
        <v>2.6694844558144137E-3</v>
      </c>
      <c r="E771" s="25">
        <f>('Raw Price Data'!E771-'Raw Price Data'!E770)/'Raw Price Data'!E770</f>
        <v>1.6606123508043517E-2</v>
      </c>
      <c r="F771" s="25">
        <f>('Raw Price Data'!F771-'Raw Price Data'!F770)/'Raw Price Data'!F770</f>
        <v>-5.7575688799225543E-4</v>
      </c>
    </row>
    <row r="772" spans="1:6" ht="15" customHeight="1" x14ac:dyDescent="0.3">
      <c r="A772" s="19">
        <v>44544</v>
      </c>
      <c r="B772" s="26">
        <f>('Raw Price Data'!B772-'Raw Price Data'!B771)/'Raw Price Data'!B771</f>
        <v>2.6059012562080094E-2</v>
      </c>
      <c r="C772" s="26">
        <f>('Raw Price Data'!C772-'Raw Price Data'!C771)/'Raw Price Data'!C771</f>
        <v>7.5366451744317275E-3</v>
      </c>
      <c r="D772" s="26">
        <f>('Raw Price Data'!D772-'Raw Price Data'!D771)/'Raw Price Data'!D771</f>
        <v>-1.6473459426479556E-2</v>
      </c>
      <c r="E772" s="26">
        <f>('Raw Price Data'!E772-'Raw Price Data'!E771)/'Raw Price Data'!E771</f>
        <v>1.7137023262597563E-2</v>
      </c>
      <c r="F772" s="26">
        <f>('Raw Price Data'!F772-'Raw Price Data'!F771)/'Raw Price Data'!F771</f>
        <v>-9.0556667812844074E-3</v>
      </c>
    </row>
    <row r="773" spans="1:6" ht="15" customHeight="1" x14ac:dyDescent="0.3">
      <c r="A773" s="21">
        <v>44545</v>
      </c>
      <c r="B773" s="25">
        <f>('Raw Price Data'!B773-'Raw Price Data'!B772)/'Raw Price Data'!B772</f>
        <v>-7.6305449575764664E-3</v>
      </c>
      <c r="C773" s="25">
        <f>('Raw Price Data'!C773-'Raw Price Data'!C772)/'Raw Price Data'!C772</f>
        <v>4.8054119202208812E-3</v>
      </c>
      <c r="D773" s="25">
        <f>('Raw Price Data'!D773-'Raw Price Data'!D772)/'Raw Price Data'!D772</f>
        <v>5.6395217685649262E-5</v>
      </c>
      <c r="E773" s="25">
        <f>('Raw Price Data'!E773-'Raw Price Data'!E772)/'Raw Price Data'!E772</f>
        <v>2.5571169104291968E-3</v>
      </c>
      <c r="F773" s="25">
        <f>('Raw Price Data'!F773-'Raw Price Data'!F772)/'Raw Price Data'!F772</f>
        <v>2.4895058087746956E-3</v>
      </c>
    </row>
    <row r="774" spans="1:6" ht="15" customHeight="1" x14ac:dyDescent="0.3">
      <c r="A774" s="19">
        <v>44546</v>
      </c>
      <c r="B774" s="26">
        <f>('Raw Price Data'!B774-'Raw Price Data'!B773)/'Raw Price Data'!B773</f>
        <v>-6.1398978596432065E-3</v>
      </c>
      <c r="C774" s="26">
        <f>('Raw Price Data'!C774-'Raw Price Data'!C773)/'Raw Price Data'!C773</f>
        <v>9.5184293817665447E-4</v>
      </c>
      <c r="D774" s="26">
        <f>('Raw Price Data'!D774-'Raw Price Data'!D773)/'Raw Price Data'!D773</f>
        <v>-3.7218744713247895E-3</v>
      </c>
      <c r="E774" s="26">
        <f>('Raw Price Data'!E774-'Raw Price Data'!E773)/'Raw Price Data'!E773</f>
        <v>-3.6089723725298534E-2</v>
      </c>
      <c r="F774" s="26">
        <f>('Raw Price Data'!F774-'Raw Price Data'!F773)/'Raw Price Data'!F773</f>
        <v>6.288642207529201E-3</v>
      </c>
    </row>
    <row r="775" spans="1:6" ht="15" customHeight="1" x14ac:dyDescent="0.3">
      <c r="A775" s="21">
        <v>44547</v>
      </c>
      <c r="B775" s="25">
        <f>('Raw Price Data'!B775-'Raw Price Data'!B774)/'Raw Price Data'!B774</f>
        <v>9.8729792147806469E-3</v>
      </c>
      <c r="C775" s="25">
        <f>('Raw Price Data'!C775-'Raw Price Data'!C774)/'Raw Price Data'!C774</f>
        <v>-2.2938475097799754E-2</v>
      </c>
      <c r="D775" s="25">
        <f>('Raw Price Data'!D775-'Raw Price Data'!D774)/'Raw Price Data'!D774</f>
        <v>-2.581083375785348E-2</v>
      </c>
      <c r="E775" s="25">
        <f>('Raw Price Data'!E775-'Raw Price Data'!E774)/'Raw Price Data'!E774</f>
        <v>9.6446323911268811E-3</v>
      </c>
      <c r="F775" s="25">
        <f>('Raw Price Data'!F775-'Raw Price Data'!F774)/'Raw Price Data'!F774</f>
        <v>-1.4295906359305999E-2</v>
      </c>
    </row>
    <row r="776" spans="1:6" ht="15" customHeight="1" x14ac:dyDescent="0.3">
      <c r="A776" s="19">
        <v>44550</v>
      </c>
      <c r="B776" s="26">
        <f>('Raw Price Data'!B776-'Raw Price Data'!B775)/'Raw Price Data'!B775</f>
        <v>1.5036304385112317E-2</v>
      </c>
      <c r="C776" s="26">
        <f>('Raw Price Data'!C776-'Raw Price Data'!C775)/'Raw Price Data'!C775</f>
        <v>-3.3233369468028712E-2</v>
      </c>
      <c r="D776" s="26">
        <f>('Raw Price Data'!D776-'Raw Price Data'!D775)/'Raw Price Data'!D775</f>
        <v>6.9722851664632416E-3</v>
      </c>
      <c r="E776" s="26">
        <f>('Raw Price Data'!E776-'Raw Price Data'!E775)/'Raw Price Data'!E775</f>
        <v>-3.6544443627991183E-2</v>
      </c>
      <c r="F776" s="26">
        <f>('Raw Price Data'!F776-'Raw Price Data'!F775)/'Raw Price Data'!F775</f>
        <v>-1.4988960480584916E-3</v>
      </c>
    </row>
    <row r="777" spans="1:6" ht="15" customHeight="1" x14ac:dyDescent="0.3">
      <c r="A777" s="21">
        <v>44551</v>
      </c>
      <c r="B777" s="25">
        <f>('Raw Price Data'!B777-'Raw Price Data'!B776)/'Raw Price Data'!B776</f>
        <v>-5.5198828433028601E-3</v>
      </c>
      <c r="C777" s="25">
        <f>('Raw Price Data'!C777-'Raw Price Data'!C776)/'Raw Price Data'!C776</f>
        <v>3.078270406534685E-2</v>
      </c>
      <c r="D777" s="25">
        <f>('Raw Price Data'!D777-'Raw Price Data'!D776)/'Raw Price Data'!D776</f>
        <v>-4.3852057007674076E-2</v>
      </c>
      <c r="E777" s="25">
        <f>('Raw Price Data'!E777-'Raw Price Data'!E776)/'Raw Price Data'!E776</f>
        <v>-1.6397610270751355E-2</v>
      </c>
      <c r="F777" s="25">
        <f>('Raw Price Data'!F777-'Raw Price Data'!F776)/'Raw Price Data'!F776</f>
        <v>8.7142250251551288E-3</v>
      </c>
    </row>
    <row r="778" spans="1:6" ht="15" customHeight="1" x14ac:dyDescent="0.3">
      <c r="A778" s="19">
        <v>44552</v>
      </c>
      <c r="B778" s="26">
        <f>('Raw Price Data'!B778-'Raw Price Data'!B777)/'Raw Price Data'!B777</f>
        <v>-1.6425011327593569E-3</v>
      </c>
      <c r="C778" s="26">
        <f>('Raw Price Data'!C778-'Raw Price Data'!C777)/'Raw Price Data'!C777</f>
        <v>-3.2158170557409732E-3</v>
      </c>
      <c r="D778" s="26">
        <f>('Raw Price Data'!D778-'Raw Price Data'!D777)/'Raw Price Data'!D777</f>
        <v>-5.5518677207170106E-3</v>
      </c>
      <c r="E778" s="26">
        <f>('Raw Price Data'!E778-'Raw Price Data'!E777)/'Raw Price Data'!E777</f>
        <v>-2.5588007237010916E-3</v>
      </c>
      <c r="F778" s="26">
        <f>('Raw Price Data'!F778-'Raw Price Data'!F777)/'Raw Price Data'!F777</f>
        <v>-1.0168567327740779E-2</v>
      </c>
    </row>
    <row r="779" spans="1:6" ht="15" customHeight="1" x14ac:dyDescent="0.3">
      <c r="A779" s="21">
        <v>44553</v>
      </c>
      <c r="B779" s="25">
        <f>('Raw Price Data'!B779-'Raw Price Data'!B778)/'Raw Price Data'!B778</f>
        <v>3.0918477335905078E-2</v>
      </c>
      <c r="C779" s="25">
        <f>('Raw Price Data'!C779-'Raw Price Data'!C778)/'Raw Price Data'!C778</f>
        <v>9.4873939538774703E-3</v>
      </c>
      <c r="D779" s="25">
        <f>('Raw Price Data'!D779-'Raw Price Data'!D778)/'Raw Price Data'!D778</f>
        <v>-2.3059651677892975E-2</v>
      </c>
      <c r="E779" s="25">
        <f>('Raw Price Data'!E779-'Raw Price Data'!E778)/'Raw Price Data'!E778</f>
        <v>2.9462828120546104E-2</v>
      </c>
      <c r="F779" s="25">
        <f>('Raw Price Data'!F779-'Raw Price Data'!F778)/'Raw Price Data'!F778</f>
        <v>1.4411813133190994E-2</v>
      </c>
    </row>
    <row r="780" spans="1:6" ht="15" customHeight="1" x14ac:dyDescent="0.3">
      <c r="A780" s="19">
        <v>44554</v>
      </c>
      <c r="B780" s="26">
        <f>('Raw Price Data'!B780-'Raw Price Data'!B779)/'Raw Price Data'!B779</f>
        <v>-1.2106537530266282E-3</v>
      </c>
      <c r="C780" s="26">
        <f>('Raw Price Data'!C780-'Raw Price Data'!C779)/'Raw Price Data'!C779</f>
        <v>-6.5495636254590795E-4</v>
      </c>
      <c r="D780" s="26">
        <f>('Raw Price Data'!D780-'Raw Price Data'!D779)/'Raw Price Data'!D779</f>
        <v>4.4723274737561262E-3</v>
      </c>
      <c r="E780" s="26">
        <f>('Raw Price Data'!E780-'Raw Price Data'!E779)/'Raw Price Data'!E779</f>
        <v>-4.641562625855819E-2</v>
      </c>
      <c r="F780" s="26">
        <f>('Raw Price Data'!F780-'Raw Price Data'!F779)/'Raw Price Data'!F779</f>
        <v>1.4926618121637989E-2</v>
      </c>
    </row>
    <row r="781" spans="1:6" ht="15" customHeight="1" x14ac:dyDescent="0.3">
      <c r="A781" s="21">
        <v>44557</v>
      </c>
      <c r="B781" s="25">
        <f>('Raw Price Data'!B781-'Raw Price Data'!B780)/'Raw Price Data'!B780</f>
        <v>-6.3911845730027358E-3</v>
      </c>
      <c r="C781" s="25">
        <f>('Raw Price Data'!C781-'Raw Price Data'!C780)/'Raw Price Data'!C780</f>
        <v>7.8962121870138884E-3</v>
      </c>
      <c r="D781" s="25">
        <f>('Raw Price Data'!D781-'Raw Price Data'!D780)/'Raw Price Data'!D780</f>
        <v>-4.9471275740523863E-3</v>
      </c>
      <c r="E781" s="25">
        <f>('Raw Price Data'!E781-'Raw Price Data'!E780)/'Raw Price Data'!E780</f>
        <v>-2.8455284552845458E-2</v>
      </c>
      <c r="F781" s="25">
        <f>('Raw Price Data'!F781-'Raw Price Data'!F780)/'Raw Price Data'!F780</f>
        <v>-5.0187251637392773E-3</v>
      </c>
    </row>
    <row r="782" spans="1:6" ht="15" customHeight="1" x14ac:dyDescent="0.3">
      <c r="A782" s="19">
        <v>44558</v>
      </c>
      <c r="B782" s="26">
        <f>('Raw Price Data'!B782-'Raw Price Data'!B781)/'Raw Price Data'!B781</f>
        <v>1.9962293445712834E-3</v>
      </c>
      <c r="C782" s="26">
        <f>('Raw Price Data'!C782-'Raw Price Data'!C781)/'Raw Price Data'!C781</f>
        <v>-2.1951850081868948E-2</v>
      </c>
      <c r="D782" s="26">
        <f>('Raw Price Data'!D782-'Raw Price Data'!D781)/'Raw Price Data'!D781</f>
        <v>1.3299359890622179E-2</v>
      </c>
      <c r="E782" s="26">
        <f>('Raw Price Data'!E782-'Raw Price Data'!E781)/'Raw Price Data'!E781</f>
        <v>-1.3041351953485875E-2</v>
      </c>
      <c r="F782" s="26">
        <f>('Raw Price Data'!F782-'Raw Price Data'!F781)/'Raw Price Data'!F781</f>
        <v>1.6437570507024692E-2</v>
      </c>
    </row>
    <row r="783" spans="1:6" ht="15" customHeight="1" x14ac:dyDescent="0.3">
      <c r="A783" s="21">
        <v>44559</v>
      </c>
      <c r="B783" s="25">
        <f>('Raw Price Data'!B783-'Raw Price Data'!B782)/'Raw Price Data'!B782</f>
        <v>8.3563918096293266E-3</v>
      </c>
      <c r="C783" s="25">
        <f>('Raw Price Data'!C783-'Raw Price Data'!C782)/'Raw Price Data'!C782</f>
        <v>-7.2652413870444507E-3</v>
      </c>
      <c r="D783" s="25">
        <f>('Raw Price Data'!D783-'Raw Price Data'!D782)/'Raw Price Data'!D782</f>
        <v>-2.8212204845140016E-3</v>
      </c>
      <c r="E783" s="25">
        <f>('Raw Price Data'!E783-'Raw Price Data'!E782)/'Raw Price Data'!E782</f>
        <v>1.3516489566701605E-2</v>
      </c>
      <c r="F783" s="25">
        <f>('Raw Price Data'!F783-'Raw Price Data'!F782)/'Raw Price Data'!F782</f>
        <v>-2.1681504713224851E-2</v>
      </c>
    </row>
    <row r="784" spans="1:6" ht="15" customHeight="1" x14ac:dyDescent="0.3">
      <c r="A784" s="19">
        <v>44560</v>
      </c>
      <c r="B784" s="26">
        <f>('Raw Price Data'!B784-'Raw Price Data'!B783)/'Raw Price Data'!B783</f>
        <v>-1.3885077657647774E-2</v>
      </c>
      <c r="C784" s="26">
        <f>('Raw Price Data'!C784-'Raw Price Data'!C783)/'Raw Price Data'!C783</f>
        <v>-2.3310794455113103E-2</v>
      </c>
      <c r="D784" s="26">
        <f>('Raw Price Data'!D784-'Raw Price Data'!D783)/'Raw Price Data'!D783</f>
        <v>-2.9522110830923782E-3</v>
      </c>
      <c r="E784" s="26">
        <f>('Raw Price Data'!E784-'Raw Price Data'!E783)/'Raw Price Data'!E783</f>
        <v>-3.0366406822935073E-2</v>
      </c>
      <c r="F784" s="26">
        <f>('Raw Price Data'!F784-'Raw Price Data'!F783)/'Raw Price Data'!F783</f>
        <v>-6.6121863332734279E-3</v>
      </c>
    </row>
    <row r="785" spans="1:6" ht="15" customHeight="1" x14ac:dyDescent="0.3">
      <c r="A785" s="21">
        <v>44561</v>
      </c>
      <c r="B785" s="25">
        <f>('Raw Price Data'!B785-'Raw Price Data'!B784)/'Raw Price Data'!B784</f>
        <v>-3.1166518254675101E-3</v>
      </c>
      <c r="C785" s="25">
        <f>('Raw Price Data'!C785-'Raw Price Data'!C784)/'Raw Price Data'!C784</f>
        <v>-1.8579866991614697E-2</v>
      </c>
      <c r="D785" s="25">
        <f>('Raw Price Data'!D785-'Raw Price Data'!D784)/'Raw Price Data'!D784</f>
        <v>1.8074147184010722E-2</v>
      </c>
      <c r="E785" s="25">
        <f>('Raw Price Data'!E785-'Raw Price Data'!E784)/'Raw Price Data'!E784</f>
        <v>-1.4622258326563844E-2</v>
      </c>
      <c r="F785" s="25">
        <f>('Raw Price Data'!F785-'Raw Price Data'!F784)/'Raw Price Data'!F784</f>
        <v>6.4281828847878942E-3</v>
      </c>
    </row>
    <row r="786" spans="1:6" ht="15" customHeight="1" x14ac:dyDescent="0.3">
      <c r="A786" s="19">
        <v>44564</v>
      </c>
      <c r="B786" s="26">
        <f>('Raw Price Data'!B786-'Raw Price Data'!B785)/'Raw Price Data'!B785</f>
        <v>-1.5855292541313105E-2</v>
      </c>
      <c r="C786" s="26">
        <f>('Raw Price Data'!C786-'Raw Price Data'!C785)/'Raw Price Data'!C785</f>
        <v>-1.191117546045329E-2</v>
      </c>
      <c r="D786" s="26">
        <f>('Raw Price Data'!D786-'Raw Price Data'!D785)/'Raw Price Data'!D785</f>
        <v>-6.9074163839068494E-3</v>
      </c>
      <c r="E786" s="26">
        <f>('Raw Price Data'!E786-'Raw Price Data'!E785)/'Raw Price Data'!E785</f>
        <v>2.3395968956988995E-2</v>
      </c>
      <c r="F786" s="26">
        <f>('Raw Price Data'!F786-'Raw Price Data'!F785)/'Raw Price Data'!F785</f>
        <v>1.108747729858465E-2</v>
      </c>
    </row>
    <row r="787" spans="1:6" ht="15" customHeight="1" x14ac:dyDescent="0.3">
      <c r="A787" s="21">
        <v>44565</v>
      </c>
      <c r="B787" s="25">
        <f>('Raw Price Data'!B787-'Raw Price Data'!B786)/'Raw Price Data'!B786</f>
        <v>-3.5171318357159324E-3</v>
      </c>
      <c r="C787" s="25">
        <f>('Raw Price Data'!C787-'Raw Price Data'!C786)/'Raw Price Data'!C786</f>
        <v>-3.1274226663599761E-2</v>
      </c>
      <c r="D787" s="25">
        <f>('Raw Price Data'!D787-'Raw Price Data'!D786)/'Raw Price Data'!D786</f>
        <v>-1.220256253813925E-4</v>
      </c>
      <c r="E787" s="25">
        <f>('Raw Price Data'!E787-'Raw Price Data'!E786)/'Raw Price Data'!E786</f>
        <v>1.7138888888888933E-2</v>
      </c>
      <c r="F787" s="25">
        <f>('Raw Price Data'!F787-'Raw Price Data'!F786)/'Raw Price Data'!F786</f>
        <v>1.2848713582568731E-2</v>
      </c>
    </row>
    <row r="788" spans="1:6" ht="15" customHeight="1" x14ac:dyDescent="0.3">
      <c r="A788" s="19">
        <v>44566</v>
      </c>
      <c r="B788" s="26">
        <f>('Raw Price Data'!B788-'Raw Price Data'!B787)/'Raw Price Data'!B787</f>
        <v>2.6357736536490924E-2</v>
      </c>
      <c r="C788" s="26">
        <f>('Raw Price Data'!C788-'Raw Price Data'!C787)/'Raw Price Data'!C787</f>
        <v>-7.5367162078972269E-3</v>
      </c>
      <c r="D788" s="26">
        <f>('Raw Price Data'!D788-'Raw Price Data'!D787)/'Raw Price Data'!D787</f>
        <v>2.2882597022211376E-2</v>
      </c>
      <c r="E788" s="26">
        <f>('Raw Price Data'!E788-'Raw Price Data'!E787)/'Raw Price Data'!E787</f>
        <v>-1.1033126689788951E-2</v>
      </c>
      <c r="F788" s="26">
        <f>('Raw Price Data'!F788-'Raw Price Data'!F787)/'Raw Price Data'!F787</f>
        <v>1.1464759581515759E-2</v>
      </c>
    </row>
    <row r="789" spans="1:6" ht="15" customHeight="1" x14ac:dyDescent="0.3">
      <c r="A789" s="21">
        <v>44567</v>
      </c>
      <c r="B789" s="25">
        <f>('Raw Price Data'!B789-'Raw Price Data'!B788)/'Raw Price Data'!B788</f>
        <v>1.0594042930833639E-2</v>
      </c>
      <c r="C789" s="25">
        <f>('Raw Price Data'!C789-'Raw Price Data'!C788)/'Raw Price Data'!C788</f>
        <v>-1.1944742275349364E-2</v>
      </c>
      <c r="D789" s="25">
        <f>('Raw Price Data'!D789-'Raw Price Data'!D788)/'Raw Price Data'!D788</f>
        <v>1.0797589930203438E-2</v>
      </c>
      <c r="E789" s="25">
        <f>('Raw Price Data'!E789-'Raw Price Data'!E788)/'Raw Price Data'!E788</f>
        <v>1.9633833153839819E-2</v>
      </c>
      <c r="F789" s="25">
        <f>('Raw Price Data'!F789-'Raw Price Data'!F788)/'Raw Price Data'!F788</f>
        <v>8.037815773180748E-4</v>
      </c>
    </row>
    <row r="790" spans="1:6" ht="15" customHeight="1" x14ac:dyDescent="0.3">
      <c r="A790" s="19">
        <v>44568</v>
      </c>
      <c r="B790" s="26">
        <f>('Raw Price Data'!B790-'Raw Price Data'!B789)/'Raw Price Data'!B789</f>
        <v>-9.8792535675070467E-4</v>
      </c>
      <c r="C790" s="26">
        <f>('Raw Price Data'!C790-'Raw Price Data'!C789)/'Raw Price Data'!C789</f>
        <v>-2.033092686426604E-2</v>
      </c>
      <c r="D790" s="26">
        <f>('Raw Price Data'!D790-'Raw Price Data'!D789)/'Raw Price Data'!D789</f>
        <v>3.1633616619452395E-2</v>
      </c>
      <c r="E790" s="26">
        <f>('Raw Price Data'!E790-'Raw Price Data'!E789)/'Raw Price Data'!E789</f>
        <v>2.0853645325533037E-3</v>
      </c>
      <c r="F790" s="26">
        <f>('Raw Price Data'!F790-'Raw Price Data'!F789)/'Raw Price Data'!F789</f>
        <v>8.1641834794008595E-3</v>
      </c>
    </row>
    <row r="791" spans="1:6" ht="15" customHeight="1" x14ac:dyDescent="0.3">
      <c r="A791" s="21">
        <v>44571</v>
      </c>
      <c r="B791" s="25">
        <f>('Raw Price Data'!B791-'Raw Price Data'!B790)/'Raw Price Data'!B790</f>
        <v>-1.2635974068783713E-2</v>
      </c>
      <c r="C791" s="25">
        <f>('Raw Price Data'!C791-'Raw Price Data'!C790)/'Raw Price Data'!C790</f>
        <v>-1.7484758051228343E-3</v>
      </c>
      <c r="D791" s="25">
        <f>('Raw Price Data'!D791-'Raw Price Data'!D790)/'Raw Price Data'!D790</f>
        <v>7.6659038901600394E-3</v>
      </c>
      <c r="E791" s="25">
        <f>('Raw Price Data'!E791-'Raw Price Data'!E790)/'Raw Price Data'!E790</f>
        <v>-1.664819869733242E-2</v>
      </c>
      <c r="F791" s="25">
        <f>('Raw Price Data'!F791-'Raw Price Data'!F790)/'Raw Price Data'!F790</f>
        <v>6.9746294779315411E-4</v>
      </c>
    </row>
    <row r="792" spans="1:6" ht="15" customHeight="1" x14ac:dyDescent="0.3">
      <c r="A792" s="19">
        <v>44572</v>
      </c>
      <c r="B792" s="26">
        <f>('Raw Price Data'!B792-'Raw Price Data'!B791)/'Raw Price Data'!B791</f>
        <v>-3.9505898063655013E-3</v>
      </c>
      <c r="C792" s="26">
        <f>('Raw Price Data'!C792-'Raw Price Data'!C791)/'Raw Price Data'!C791</f>
        <v>3.9432538263323489E-4</v>
      </c>
      <c r="D792" s="26">
        <f>('Raw Price Data'!D792-'Raw Price Data'!D791)/'Raw Price Data'!D791</f>
        <v>-7.948223004428167E-3</v>
      </c>
      <c r="E792" s="26">
        <f>('Raw Price Data'!E792-'Raw Price Data'!E791)/'Raw Price Data'!E791</f>
        <v>-1.2999862580733868E-2</v>
      </c>
      <c r="F792" s="26">
        <f>('Raw Price Data'!F792-'Raw Price Data'!F791)/'Raw Price Data'!F791</f>
        <v>-1.6289274050717097E-2</v>
      </c>
    </row>
    <row r="793" spans="1:6" ht="15" customHeight="1" x14ac:dyDescent="0.3">
      <c r="A793" s="21">
        <v>44573</v>
      </c>
      <c r="B793" s="25">
        <f>('Raw Price Data'!B793-'Raw Price Data'!B792)/'Raw Price Data'!B792</f>
        <v>1.4859505055583469E-2</v>
      </c>
      <c r="C793" s="25">
        <f>('Raw Price Data'!C793-'Raw Price Data'!C792)/'Raw Price Data'!C792</f>
        <v>-1.4162618021816889E-2</v>
      </c>
      <c r="D793" s="25">
        <f>('Raw Price Data'!D793-'Raw Price Data'!D792)/'Raw Price Data'!D792</f>
        <v>1.728282018999646E-2</v>
      </c>
      <c r="E793" s="25">
        <f>('Raw Price Data'!E793-'Raw Price Data'!E792)/'Raw Price Data'!E792</f>
        <v>-1.1388950768545422E-2</v>
      </c>
      <c r="F793" s="25">
        <f>('Raw Price Data'!F793-'Raw Price Data'!F792)/'Raw Price Data'!F792</f>
        <v>1.0609038309514105E-2</v>
      </c>
    </row>
    <row r="794" spans="1:6" ht="15" customHeight="1" x14ac:dyDescent="0.3">
      <c r="A794" s="19">
        <v>44574</v>
      </c>
      <c r="B794" s="26">
        <f>('Raw Price Data'!B794-'Raw Price Data'!B793)/'Raw Price Data'!B793</f>
        <v>-7.4861011724554703E-3</v>
      </c>
      <c r="C794" s="26">
        <f>('Raw Price Data'!C794-'Raw Price Data'!C793)/'Raw Price Data'!C793</f>
        <v>3.6077920870333305E-2</v>
      </c>
      <c r="D794" s="26">
        <f>('Raw Price Data'!D794-'Raw Price Data'!D793)/'Raw Price Data'!D793</f>
        <v>1.490774077407744E-2</v>
      </c>
      <c r="E794" s="26">
        <f>('Raw Price Data'!E794-'Raw Price Data'!E793)/'Raw Price Data'!E793</f>
        <v>-1.9913810100554864E-2</v>
      </c>
      <c r="F794" s="26">
        <f>('Raw Price Data'!F794-'Raw Price Data'!F793)/'Raw Price Data'!F793</f>
        <v>6.8118476802150772E-3</v>
      </c>
    </row>
    <row r="795" spans="1:6" ht="15" customHeight="1" x14ac:dyDescent="0.3">
      <c r="A795" s="21">
        <v>44575</v>
      </c>
      <c r="B795" s="25">
        <f>('Raw Price Data'!B795-'Raw Price Data'!B794)/'Raw Price Data'!B794</f>
        <v>2.0409295102878415E-2</v>
      </c>
      <c r="C795" s="25">
        <f>('Raw Price Data'!C795-'Raw Price Data'!C794)/'Raw Price Data'!C794</f>
        <v>1.3264527709221425E-2</v>
      </c>
      <c r="D795" s="25">
        <f>('Raw Price Data'!D795-'Raw Price Data'!D794)/'Raw Price Data'!D794</f>
        <v>-3.8800509949558706E-3</v>
      </c>
      <c r="E795" s="25">
        <f>('Raw Price Data'!E795-'Raw Price Data'!E794)/'Raw Price Data'!E794</f>
        <v>9.1389814921255513E-3</v>
      </c>
      <c r="F795" s="25">
        <f>('Raw Price Data'!F795-'Raw Price Data'!F794)/'Raw Price Data'!F794</f>
        <v>-1.0733489920500964E-3</v>
      </c>
    </row>
    <row r="796" spans="1:6" ht="15" customHeight="1" x14ac:dyDescent="0.3">
      <c r="A796" s="19">
        <v>44578</v>
      </c>
      <c r="B796" s="26">
        <f>('Raw Price Data'!B796-'Raw Price Data'!B795)/'Raw Price Data'!B795</f>
        <v>-1.869666829719005E-2</v>
      </c>
      <c r="C796" s="26">
        <f>('Raw Price Data'!C796-'Raw Price Data'!C795)/'Raw Price Data'!C795</f>
        <v>2.0380326474938655E-2</v>
      </c>
      <c r="D796" s="26">
        <f>('Raw Price Data'!D796-'Raw Price Data'!D795)/'Raw Price Data'!D795</f>
        <v>8.9032329864781826E-3</v>
      </c>
      <c r="E796" s="26">
        <f>('Raw Price Data'!E796-'Raw Price Data'!E795)/'Raw Price Data'!E795</f>
        <v>1.9564845930398145E-2</v>
      </c>
      <c r="F796" s="26">
        <f>('Raw Price Data'!F796-'Raw Price Data'!F795)/'Raw Price Data'!F795</f>
        <v>-6.1896002019990615E-3</v>
      </c>
    </row>
    <row r="797" spans="1:6" ht="15" customHeight="1" x14ac:dyDescent="0.3">
      <c r="A797" s="21">
        <v>44579</v>
      </c>
      <c r="B797" s="25">
        <f>('Raw Price Data'!B797-'Raw Price Data'!B796)/'Raw Price Data'!B796</f>
        <v>-3.7108834117973739E-3</v>
      </c>
      <c r="C797" s="25">
        <f>('Raw Price Data'!C797-'Raw Price Data'!C796)/'Raw Price Data'!C796</f>
        <v>-5.1907919863893775E-3</v>
      </c>
      <c r="D797" s="25">
        <f>('Raw Price Data'!D797-'Raw Price Data'!D796)/'Raw Price Data'!D796</f>
        <v>-8.8246649385029284E-4</v>
      </c>
      <c r="E797" s="25">
        <f>('Raw Price Data'!E797-'Raw Price Data'!E796)/'Raw Price Data'!E796</f>
        <v>-2.673109689673471E-2</v>
      </c>
      <c r="F797" s="25">
        <f>('Raw Price Data'!F797-'Raw Price Data'!F796)/'Raw Price Data'!F796</f>
        <v>2.2434321608682108E-2</v>
      </c>
    </row>
    <row r="798" spans="1:6" ht="15" customHeight="1" x14ac:dyDescent="0.3">
      <c r="A798" s="19">
        <v>44580</v>
      </c>
      <c r="B798" s="26">
        <f>('Raw Price Data'!B798-'Raw Price Data'!B797)/'Raw Price Data'!B797</f>
        <v>2.4460751612185933E-2</v>
      </c>
      <c r="C798" s="26">
        <f>('Raw Price Data'!C798-'Raw Price Data'!C797)/'Raw Price Data'!C797</f>
        <v>1.63516744324032E-2</v>
      </c>
      <c r="D798" s="26">
        <f>('Raw Price Data'!D798-'Raw Price Data'!D797)/'Raw Price Data'!D797</f>
        <v>8.225227711840909E-3</v>
      </c>
      <c r="E798" s="26">
        <f>('Raw Price Data'!E798-'Raw Price Data'!E797)/'Raw Price Data'!E797</f>
        <v>1.3058202272988208E-2</v>
      </c>
      <c r="F798" s="26">
        <f>('Raw Price Data'!F798-'Raw Price Data'!F797)/'Raw Price Data'!F797</f>
        <v>-1.0207102648836432E-2</v>
      </c>
    </row>
    <row r="799" spans="1:6" ht="15" customHeight="1" x14ac:dyDescent="0.3">
      <c r="A799" s="21">
        <v>44581</v>
      </c>
      <c r="B799" s="25">
        <f>('Raw Price Data'!B799-'Raw Price Data'!B798)/'Raw Price Data'!B798</f>
        <v>-2.7512481007162977E-2</v>
      </c>
      <c r="C799" s="25">
        <f>('Raw Price Data'!C799-'Raw Price Data'!C798)/'Raw Price Data'!C798</f>
        <v>1.4096840659340722E-2</v>
      </c>
      <c r="D799" s="25">
        <f>('Raw Price Data'!D799-'Raw Price Data'!D798)/'Raw Price Data'!D798</f>
        <v>8.760402978538383E-4</v>
      </c>
      <c r="E799" s="25">
        <f>('Raw Price Data'!E799-'Raw Price Data'!E798)/'Raw Price Data'!E798</f>
        <v>-1.9264001813082555E-2</v>
      </c>
      <c r="F799" s="25">
        <f>('Raw Price Data'!F799-'Raw Price Data'!F798)/'Raw Price Data'!F798</f>
        <v>1.1756817539037452E-3</v>
      </c>
    </row>
    <row r="800" spans="1:6" ht="15" customHeight="1" x14ac:dyDescent="0.3">
      <c r="A800" s="19">
        <v>44582</v>
      </c>
      <c r="B800" s="26">
        <f>('Raw Price Data'!B800-'Raw Price Data'!B799)/'Raw Price Data'!B799</f>
        <v>1.6795937726689306E-2</v>
      </c>
      <c r="C800" s="26">
        <f>('Raw Price Data'!C800-'Raw Price Data'!C799)/'Raw Price Data'!C799</f>
        <v>-1.7363403938301072E-2</v>
      </c>
      <c r="D800" s="26">
        <f>('Raw Price Data'!D800-'Raw Price Data'!D799)/'Raw Price Data'!D799</f>
        <v>-1.6411378555799309E-3</v>
      </c>
      <c r="E800" s="26">
        <f>('Raw Price Data'!E800-'Raw Price Data'!E799)/'Raw Price Data'!E799</f>
        <v>-8.9546202952136764E-4</v>
      </c>
      <c r="F800" s="26">
        <f>('Raw Price Data'!F800-'Raw Price Data'!F799)/'Raw Price Data'!F799</f>
        <v>-7.6018407282375262E-3</v>
      </c>
    </row>
    <row r="801" spans="1:6" ht="15" customHeight="1" x14ac:dyDescent="0.3">
      <c r="A801" s="21">
        <v>44585</v>
      </c>
      <c r="B801" s="25">
        <f>('Raw Price Data'!B801-'Raw Price Data'!B800)/'Raw Price Data'!B800</f>
        <v>-2.5299089013280568E-2</v>
      </c>
      <c r="C801" s="25">
        <f>('Raw Price Data'!C801-'Raw Price Data'!C800)/'Raw Price Data'!C800</f>
        <v>-1.1441273013931105E-2</v>
      </c>
      <c r="D801" s="25">
        <f>('Raw Price Data'!D801-'Raw Price Data'!D800)/'Raw Price Data'!D800</f>
        <v>2.7013698630137025E-2</v>
      </c>
      <c r="E801" s="25">
        <f>('Raw Price Data'!E801-'Raw Price Data'!E800)/'Raw Price Data'!E800</f>
        <v>6.2160286804671481E-3</v>
      </c>
      <c r="F801" s="25">
        <f>('Raw Price Data'!F801-'Raw Price Data'!F800)/'Raw Price Data'!F800</f>
        <v>-2.6088262761466026E-4</v>
      </c>
    </row>
    <row r="802" spans="1:6" ht="15" customHeight="1" x14ac:dyDescent="0.3">
      <c r="A802" s="19">
        <v>44586</v>
      </c>
      <c r="B802" s="26">
        <f>('Raw Price Data'!B802-'Raw Price Data'!B801)/'Raw Price Data'!B801</f>
        <v>-9.5715331343964813E-4</v>
      </c>
      <c r="C802" s="26">
        <f>('Raw Price Data'!C802-'Raw Price Data'!C801)/'Raw Price Data'!C801</f>
        <v>5.2011887435398967E-2</v>
      </c>
      <c r="D802" s="26">
        <f>('Raw Price Data'!D802-'Raw Price Data'!D801)/'Raw Price Data'!D801</f>
        <v>7.5761617670596351E-3</v>
      </c>
      <c r="E802" s="26">
        <f>('Raw Price Data'!E802-'Raw Price Data'!E801)/'Raw Price Data'!E801</f>
        <v>1.9653478148435571E-2</v>
      </c>
      <c r="F802" s="26">
        <f>('Raw Price Data'!F802-'Raw Price Data'!F801)/'Raw Price Data'!F801</f>
        <v>1.3239404745407909E-2</v>
      </c>
    </row>
    <row r="803" spans="1:6" ht="15" customHeight="1" x14ac:dyDescent="0.3">
      <c r="A803" s="21">
        <v>44587</v>
      </c>
      <c r="B803" s="25">
        <f>('Raw Price Data'!B803-'Raw Price Data'!B802)/'Raw Price Data'!B802</f>
        <v>-2.085211902614994E-3</v>
      </c>
      <c r="C803" s="25">
        <f>('Raw Price Data'!C803-'Raw Price Data'!C802)/'Raw Price Data'!C802</f>
        <v>-6.6522520731333292E-3</v>
      </c>
      <c r="D803" s="25">
        <f>('Raw Price Data'!D803-'Raw Price Data'!D802)/'Raw Price Data'!D802</f>
        <v>-2.0545406407201459E-2</v>
      </c>
      <c r="E803" s="25">
        <f>('Raw Price Data'!E803-'Raw Price Data'!E802)/'Raw Price Data'!E802</f>
        <v>0</v>
      </c>
      <c r="F803" s="25">
        <f>('Raw Price Data'!F803-'Raw Price Data'!F802)/'Raw Price Data'!F802</f>
        <v>5.0049545793140688E-3</v>
      </c>
    </row>
    <row r="804" spans="1:6" ht="15" customHeight="1" x14ac:dyDescent="0.3">
      <c r="A804" s="19">
        <v>44588</v>
      </c>
      <c r="B804" s="26">
        <f>('Raw Price Data'!B804-'Raw Price Data'!B803)/'Raw Price Data'!B803</f>
        <v>1.1746766815383818E-2</v>
      </c>
      <c r="C804" s="26">
        <f>('Raw Price Data'!C804-'Raw Price Data'!C803)/'Raw Price Data'!C803</f>
        <v>9.1820395636654697E-3</v>
      </c>
      <c r="D804" s="26">
        <f>('Raw Price Data'!D804-'Raw Price Data'!D803)/'Raw Price Data'!D803</f>
        <v>3.6762718278640148E-3</v>
      </c>
      <c r="E804" s="26">
        <f>('Raw Price Data'!E804-'Raw Price Data'!E803)/'Raw Price Data'!E803</f>
        <v>5.1849973229632683E-3</v>
      </c>
      <c r="F804" s="26">
        <f>('Raw Price Data'!F804-'Raw Price Data'!F803)/'Raw Price Data'!F803</f>
        <v>-3.132070131476968E-3</v>
      </c>
    </row>
    <row r="805" spans="1:6" ht="15" customHeight="1" x14ac:dyDescent="0.3">
      <c r="A805" s="21">
        <v>44589</v>
      </c>
      <c r="B805" s="25">
        <f>('Raw Price Data'!B805-'Raw Price Data'!B804)/'Raw Price Data'!B804</f>
        <v>-4.3371476416410884E-2</v>
      </c>
      <c r="C805" s="25">
        <f>('Raw Price Data'!C805-'Raw Price Data'!C804)/'Raw Price Data'!C804</f>
        <v>-3.1898453834011522E-3</v>
      </c>
      <c r="D805" s="25">
        <f>('Raw Price Data'!D805-'Raw Price Data'!D804)/'Raw Price Data'!D804</f>
        <v>-4.309183948289854E-3</v>
      </c>
      <c r="E805" s="25">
        <f>('Raw Price Data'!E805-'Raw Price Data'!E804)/'Raw Price Data'!E804</f>
        <v>3.1257884556082069E-2</v>
      </c>
      <c r="F805" s="25">
        <f>('Raw Price Data'!F805-'Raw Price Data'!F804)/'Raw Price Data'!F804</f>
        <v>9.5806167991564425E-3</v>
      </c>
    </row>
    <row r="806" spans="1:6" ht="15" customHeight="1" x14ac:dyDescent="0.3">
      <c r="A806" s="19">
        <v>44592</v>
      </c>
      <c r="B806" s="26">
        <f>('Raw Price Data'!B806-'Raw Price Data'!B805)/'Raw Price Data'!B805</f>
        <v>-2.6257439607888903E-2</v>
      </c>
      <c r="C806" s="26">
        <f>('Raw Price Data'!C806-'Raw Price Data'!C805)/'Raw Price Data'!C805</f>
        <v>1.5254138928728428E-2</v>
      </c>
      <c r="D806" s="26">
        <f>('Raw Price Data'!D806-'Raw Price Data'!D805)/'Raw Price Data'!D805</f>
        <v>5.3015958885583893E-3</v>
      </c>
      <c r="E806" s="26">
        <f>('Raw Price Data'!E806-'Raw Price Data'!E805)/'Raw Price Data'!E805</f>
        <v>3.1017234817593563E-2</v>
      </c>
      <c r="F806" s="26">
        <f>('Raw Price Data'!F806-'Raw Price Data'!F805)/'Raw Price Data'!F805</f>
        <v>1.0920035219338734E-2</v>
      </c>
    </row>
    <row r="807" spans="1:6" ht="15" customHeight="1" x14ac:dyDescent="0.3">
      <c r="A807" s="21">
        <v>44593</v>
      </c>
      <c r="B807" s="25">
        <f>('Raw Price Data'!B807-'Raw Price Data'!B806)/'Raw Price Data'!B806</f>
        <v>-7.5503355704697444E-3</v>
      </c>
      <c r="C807" s="25">
        <f>('Raw Price Data'!C807-'Raw Price Data'!C806)/'Raw Price Data'!C806</f>
        <v>-1.6943893257555343E-2</v>
      </c>
      <c r="D807" s="25">
        <f>('Raw Price Data'!D807-'Raw Price Data'!D806)/'Raw Price Data'!D806</f>
        <v>4.1973847064521392E-3</v>
      </c>
      <c r="E807" s="25">
        <f>('Raw Price Data'!E807-'Raw Price Data'!E806)/'Raw Price Data'!E806</f>
        <v>2.0381258733883561E-2</v>
      </c>
      <c r="F807" s="25">
        <f>('Raw Price Data'!F807-'Raw Price Data'!F806)/'Raw Price Data'!F806</f>
        <v>-4.0264172543551181E-4</v>
      </c>
    </row>
    <row r="808" spans="1:6" ht="15" customHeight="1" x14ac:dyDescent="0.3">
      <c r="A808" s="19">
        <v>44594</v>
      </c>
      <c r="B808" s="26">
        <f>('Raw Price Data'!B808-'Raw Price Data'!B807)/'Raw Price Data'!B807</f>
        <v>8.4530853761614758E-4</v>
      </c>
      <c r="C808" s="26">
        <f>('Raw Price Data'!C808-'Raw Price Data'!C807)/'Raw Price Data'!C807</f>
        <v>-1.7136259427850041E-2</v>
      </c>
      <c r="D808" s="26">
        <f>('Raw Price Data'!D808-'Raw Price Data'!D807)/'Raw Price Data'!D807</f>
        <v>6.1625850704676985E-3</v>
      </c>
      <c r="E808" s="26">
        <f>('Raw Price Data'!E808-'Raw Price Data'!E807)/'Raw Price Data'!E807</f>
        <v>1.4651162790697716E-2</v>
      </c>
      <c r="F808" s="26">
        <f>('Raw Price Data'!F808-'Raw Price Data'!F807)/'Raw Price Data'!F807</f>
        <v>-4.5211027682427315E-3</v>
      </c>
    </row>
    <row r="809" spans="1:6" ht="15" customHeight="1" x14ac:dyDescent="0.3">
      <c r="A809" s="21">
        <v>44595</v>
      </c>
      <c r="B809" s="25">
        <f>('Raw Price Data'!B809-'Raw Price Data'!B808)/'Raw Price Data'!B808</f>
        <v>-1.2065637065637066E-2</v>
      </c>
      <c r="C809" s="25">
        <f>('Raw Price Data'!C809-'Raw Price Data'!C808)/'Raw Price Data'!C808</f>
        <v>2.060426790619067E-2</v>
      </c>
      <c r="D809" s="25">
        <f>('Raw Price Data'!D809-'Raw Price Data'!D808)/'Raw Price Data'!D808</f>
        <v>-2.636344269279926E-2</v>
      </c>
      <c r="E809" s="25">
        <f>('Raw Price Data'!E809-'Raw Price Data'!E808)/'Raw Price Data'!E808</f>
        <v>1.0084804033921561E-2</v>
      </c>
      <c r="F809" s="25">
        <f>('Raw Price Data'!F809-'Raw Price Data'!F808)/'Raw Price Data'!F808</f>
        <v>-7.8655941398757569E-3</v>
      </c>
    </row>
    <row r="810" spans="1:6" ht="15" customHeight="1" x14ac:dyDescent="0.3">
      <c r="A810" s="19">
        <v>44596</v>
      </c>
      <c r="B810" s="26">
        <f>('Raw Price Data'!B810-'Raw Price Data'!B809)/'Raw Price Data'!B809</f>
        <v>-2.7479237909134625E-3</v>
      </c>
      <c r="C810" s="26">
        <f>('Raw Price Data'!C810-'Raw Price Data'!C809)/'Raw Price Data'!C809</f>
        <v>4.0989375884996375E-3</v>
      </c>
      <c r="D810" s="26">
        <f>('Raw Price Data'!D810-'Raw Price Data'!D809)/'Raw Price Data'!D809</f>
        <v>-2.4287511624090572E-2</v>
      </c>
      <c r="E810" s="26">
        <f>('Raw Price Data'!E810-'Raw Price Data'!E809)/'Raw Price Data'!E809</f>
        <v>3.1439880997403191E-2</v>
      </c>
      <c r="F810" s="26">
        <f>('Raw Price Data'!F810-'Raw Price Data'!F809)/'Raw Price Data'!F809</f>
        <v>-2.1111143845295399E-2</v>
      </c>
    </row>
    <row r="811" spans="1:6" ht="15" customHeight="1" x14ac:dyDescent="0.3">
      <c r="A811" s="21">
        <v>44599</v>
      </c>
      <c r="B811" s="25">
        <f>('Raw Price Data'!B811-'Raw Price Data'!B810)/'Raw Price Data'!B810</f>
        <v>-1.6104341436531722E-2</v>
      </c>
      <c r="C811" s="25">
        <f>('Raw Price Data'!C811-'Raw Price Data'!C810)/'Raw Price Data'!C810</f>
        <v>-4.3106434214649741E-2</v>
      </c>
      <c r="D811" s="25">
        <f>('Raw Price Data'!D811-'Raw Price Data'!D810)/'Raw Price Data'!D810</f>
        <v>2.2425295733587487E-2</v>
      </c>
      <c r="E811" s="25">
        <f>('Raw Price Data'!E811-'Raw Price Data'!E810)/'Raw Price Data'!E810</f>
        <v>1.4421901735516933E-2</v>
      </c>
      <c r="F811" s="25">
        <f>('Raw Price Data'!F811-'Raw Price Data'!F810)/'Raw Price Data'!F810</f>
        <v>1.7943230510350582E-2</v>
      </c>
    </row>
    <row r="812" spans="1:6" ht="15" customHeight="1" x14ac:dyDescent="0.3">
      <c r="A812" s="19">
        <v>44600</v>
      </c>
      <c r="B812" s="26">
        <f>('Raw Price Data'!B812-'Raw Price Data'!B811)/'Raw Price Data'!B811</f>
        <v>-5.2900174259397203E-3</v>
      </c>
      <c r="C812" s="26">
        <f>('Raw Price Data'!C812-'Raw Price Data'!C811)/'Raw Price Data'!C811</f>
        <v>1.0083512164853123E-3</v>
      </c>
      <c r="D812" s="26">
        <f>('Raw Price Data'!D812-'Raw Price Data'!D811)/'Raw Price Data'!D811</f>
        <v>0</v>
      </c>
      <c r="E812" s="26">
        <f>('Raw Price Data'!E812-'Raw Price Data'!E811)/'Raw Price Data'!E811</f>
        <v>-1.2337349397590373E-2</v>
      </c>
      <c r="F812" s="26">
        <f>('Raw Price Data'!F812-'Raw Price Data'!F811)/'Raw Price Data'!F811</f>
        <v>-7.6792189847526829E-3</v>
      </c>
    </row>
    <row r="813" spans="1:6" ht="15" customHeight="1" x14ac:dyDescent="0.3">
      <c r="A813" s="21">
        <v>44601</v>
      </c>
      <c r="B813" s="25">
        <f>('Raw Price Data'!B813-'Raw Price Data'!B812)/'Raw Price Data'!B812</f>
        <v>-1.138709879246713E-2</v>
      </c>
      <c r="C813" s="25">
        <f>('Raw Price Data'!C813-'Raw Price Data'!C812)/'Raw Price Data'!C812</f>
        <v>-2.6173502772324649E-3</v>
      </c>
      <c r="D813" s="25">
        <f>('Raw Price Data'!D813-'Raw Price Data'!D812)/'Raw Price Data'!D812</f>
        <v>2.1494763393101867E-2</v>
      </c>
      <c r="E813" s="25">
        <f>('Raw Price Data'!E813-'Raw Price Data'!E812)/'Raw Price Data'!E812</f>
        <v>2.4885332292377813E-3</v>
      </c>
      <c r="F813" s="25">
        <f>('Raw Price Data'!F813-'Raw Price Data'!F812)/'Raw Price Data'!F812</f>
        <v>-1.2785861795622702E-2</v>
      </c>
    </row>
    <row r="814" spans="1:6" ht="15" customHeight="1" x14ac:dyDescent="0.3">
      <c r="A814" s="19">
        <v>44602</v>
      </c>
      <c r="B814" s="26">
        <f>('Raw Price Data'!B814-'Raw Price Data'!B813)/'Raw Price Data'!B813</f>
        <v>3.6706537560914658E-3</v>
      </c>
      <c r="C814" s="26">
        <f>('Raw Price Data'!C814-'Raw Price Data'!C813)/'Raw Price Data'!C813</f>
        <v>1.312972618348817E-2</v>
      </c>
      <c r="D814" s="26">
        <f>('Raw Price Data'!D814-'Raw Price Data'!D813)/'Raw Price Data'!D813</f>
        <v>8.6961189543185609E-3</v>
      </c>
      <c r="E814" s="26">
        <f>('Raw Price Data'!E814-'Raw Price Data'!E813)/'Raw Price Data'!E813</f>
        <v>8.2258457045509756E-3</v>
      </c>
      <c r="F814" s="26">
        <f>('Raw Price Data'!F814-'Raw Price Data'!F813)/'Raw Price Data'!F813</f>
        <v>-9.2778776716243416E-3</v>
      </c>
    </row>
    <row r="815" spans="1:6" ht="15" customHeight="1" x14ac:dyDescent="0.3">
      <c r="A815" s="21">
        <v>44603</v>
      </c>
      <c r="B815" s="25">
        <f>('Raw Price Data'!B815-'Raw Price Data'!B814)/'Raw Price Data'!B814</f>
        <v>8.3864051957877796E-3</v>
      </c>
      <c r="C815" s="25">
        <f>('Raw Price Data'!C815-'Raw Price Data'!C814)/'Raw Price Data'!C814</f>
        <v>6.2625143782217086E-3</v>
      </c>
      <c r="D815" s="25">
        <f>('Raw Price Data'!D815-'Raw Price Data'!D814)/'Raw Price Data'!D814</f>
        <v>-7.9825448352934918E-3</v>
      </c>
      <c r="E815" s="25">
        <f>('Raw Price Data'!E815-'Raw Price Data'!E814)/'Raw Price Data'!E814</f>
        <v>-2.5827942454378656E-2</v>
      </c>
      <c r="F815" s="25">
        <f>('Raw Price Data'!F815-'Raw Price Data'!F814)/'Raw Price Data'!F814</f>
        <v>-1.2550315654053821E-2</v>
      </c>
    </row>
    <row r="816" spans="1:6" ht="15" customHeight="1" x14ac:dyDescent="0.3">
      <c r="A816" s="19">
        <v>44606</v>
      </c>
      <c r="B816" s="26">
        <f>('Raw Price Data'!B816-'Raw Price Data'!B815)/'Raw Price Data'!B815</f>
        <v>2.0197598799399814E-2</v>
      </c>
      <c r="C816" s="26">
        <f>('Raw Price Data'!C816-'Raw Price Data'!C815)/'Raw Price Data'!C815</f>
        <v>6.6299745977984144E-3</v>
      </c>
      <c r="D816" s="26">
        <f>('Raw Price Data'!D816-'Raw Price Data'!D815)/'Raw Price Data'!D815</f>
        <v>-2.623249825653123E-2</v>
      </c>
      <c r="E816" s="26">
        <f>('Raw Price Data'!E816-'Raw Price Data'!E815)/'Raw Price Data'!E815</f>
        <v>-1.0456415084989273E-2</v>
      </c>
      <c r="F816" s="26">
        <f>('Raw Price Data'!F816-'Raw Price Data'!F815)/'Raw Price Data'!F815</f>
        <v>1.2942567997223053E-2</v>
      </c>
    </row>
    <row r="817" spans="1:6" ht="15" customHeight="1" x14ac:dyDescent="0.3">
      <c r="A817" s="21">
        <v>44607</v>
      </c>
      <c r="B817" s="25">
        <f>('Raw Price Data'!B817-'Raw Price Data'!B816)/'Raw Price Data'!B816</f>
        <v>-8.8262335274287319E-3</v>
      </c>
      <c r="C817" s="25">
        <f>('Raw Price Data'!C817-'Raw Price Data'!C816)/'Raw Price Data'!C816</f>
        <v>2.1365544274622645E-3</v>
      </c>
      <c r="D817" s="25">
        <f>('Raw Price Data'!D817-'Raw Price Data'!D816)/'Raw Price Data'!D816</f>
        <v>8.4839136183340238E-3</v>
      </c>
      <c r="E817" s="25">
        <f>('Raw Price Data'!E817-'Raw Price Data'!E816)/'Raw Price Data'!E816</f>
        <v>3.2802483974358886E-2</v>
      </c>
      <c r="F817" s="25">
        <f>('Raw Price Data'!F817-'Raw Price Data'!F816)/'Raw Price Data'!F816</f>
        <v>-6.1947791892700166E-4</v>
      </c>
    </row>
    <row r="818" spans="1:6" ht="15" customHeight="1" x14ac:dyDescent="0.3">
      <c r="A818" s="19">
        <v>44608</v>
      </c>
      <c r="B818" s="26">
        <f>('Raw Price Data'!B818-'Raw Price Data'!B817)/'Raw Price Data'!B817</f>
        <v>-4.081380248593139E-3</v>
      </c>
      <c r="C818" s="26">
        <f>('Raw Price Data'!C818-'Raw Price Data'!C817)/'Raw Price Data'!C817</f>
        <v>5.7161083458540781E-3</v>
      </c>
      <c r="D818" s="26">
        <f>('Raw Price Data'!D818-'Raw Price Data'!D817)/'Raw Price Data'!D817</f>
        <v>8.5217961324156131E-3</v>
      </c>
      <c r="E818" s="26">
        <f>('Raw Price Data'!E818-'Raw Price Data'!E817)/'Raw Price Data'!E817</f>
        <v>-2.0995975367308267E-2</v>
      </c>
      <c r="F818" s="26">
        <f>('Raw Price Data'!F818-'Raw Price Data'!F817)/'Raw Price Data'!F817</f>
        <v>-1.0717806310774821E-2</v>
      </c>
    </row>
    <row r="819" spans="1:6" ht="15" customHeight="1" x14ac:dyDescent="0.3">
      <c r="A819" s="21">
        <v>44609</v>
      </c>
      <c r="B819" s="25">
        <f>('Raw Price Data'!B819-'Raw Price Data'!B818)/'Raw Price Data'!B818</f>
        <v>9.9348028562556089E-4</v>
      </c>
      <c r="C819" s="25">
        <f>('Raw Price Data'!C819-'Raw Price Data'!C818)/'Raw Price Data'!C818</f>
        <v>-1.9738269709058814E-2</v>
      </c>
      <c r="D819" s="25">
        <f>('Raw Price Data'!D819-'Raw Price Data'!D818)/'Raw Price Data'!D818</f>
        <v>2.80034665800021E-2</v>
      </c>
      <c r="E819" s="25">
        <f>('Raw Price Data'!E819-'Raw Price Data'!E818)/'Raw Price Data'!E818</f>
        <v>1.0104011887072769E-2</v>
      </c>
      <c r="F819" s="25">
        <f>('Raw Price Data'!F819-'Raw Price Data'!F818)/'Raw Price Data'!F818</f>
        <v>-8.7796283117446833E-3</v>
      </c>
    </row>
    <row r="820" spans="1:6" ht="15" customHeight="1" x14ac:dyDescent="0.3">
      <c r="A820" s="19">
        <v>44610</v>
      </c>
      <c r="B820" s="26">
        <f>('Raw Price Data'!B820-'Raw Price Data'!B819)/'Raw Price Data'!B819</f>
        <v>-3.7838843744185447E-3</v>
      </c>
      <c r="C820" s="26">
        <f>('Raw Price Data'!C820-'Raw Price Data'!C819)/'Raw Price Data'!C819</f>
        <v>-1.3775723055179573E-2</v>
      </c>
      <c r="D820" s="26">
        <f>('Raw Price Data'!D820-'Raw Price Data'!D819)/'Raw Price Data'!D819</f>
        <v>-2.7925601981137107E-3</v>
      </c>
      <c r="E820" s="26">
        <f>('Raw Price Data'!E820-'Raw Price Data'!E819)/'Raw Price Data'!E819</f>
        <v>6.3989408649603157E-3</v>
      </c>
      <c r="F820" s="26">
        <f>('Raw Price Data'!F820-'Raw Price Data'!F819)/'Raw Price Data'!F819</f>
        <v>-1.0989289776450946E-2</v>
      </c>
    </row>
    <row r="821" spans="1:6" ht="15" customHeight="1" x14ac:dyDescent="0.3">
      <c r="A821" s="21">
        <v>44613</v>
      </c>
      <c r="B821" s="25">
        <f>('Raw Price Data'!B821-'Raw Price Data'!B820)/'Raw Price Data'!B820</f>
        <v>-3.7359900373600419E-4</v>
      </c>
      <c r="C821" s="25">
        <f>('Raw Price Data'!C821-'Raw Price Data'!C820)/'Raw Price Data'!C820</f>
        <v>-1.443432468597557E-2</v>
      </c>
      <c r="D821" s="25">
        <f>('Raw Price Data'!D821-'Raw Price Data'!D820)/'Raw Price Data'!D820</f>
        <v>1.5851209975695413E-3</v>
      </c>
      <c r="E821" s="25">
        <f>('Raw Price Data'!E821-'Raw Price Data'!E820)/'Raw Price Data'!E820</f>
        <v>1.8709347365343874E-2</v>
      </c>
      <c r="F821" s="25">
        <f>('Raw Price Data'!F821-'Raw Price Data'!F820)/'Raw Price Data'!F820</f>
        <v>1.3108369245502297E-2</v>
      </c>
    </row>
    <row r="822" spans="1:6" ht="15" customHeight="1" x14ac:dyDescent="0.3">
      <c r="A822" s="19">
        <v>44614</v>
      </c>
      <c r="B822" s="26">
        <f>('Raw Price Data'!B822-'Raw Price Data'!B821)/'Raw Price Data'!B821</f>
        <v>-2.1365391802665869E-2</v>
      </c>
      <c r="C822" s="26">
        <f>('Raw Price Data'!C822-'Raw Price Data'!C821)/'Raw Price Data'!C821</f>
        <v>-2.3063514448639359E-2</v>
      </c>
      <c r="D822" s="26">
        <f>('Raw Price Data'!D822-'Raw Price Data'!D821)/'Raw Price Data'!D821</f>
        <v>-2.8064992614475592E-2</v>
      </c>
      <c r="E822" s="26">
        <f>('Raw Price Data'!E822-'Raw Price Data'!E821)/'Raw Price Data'!E821</f>
        <v>-1.4204749264653125E-2</v>
      </c>
      <c r="F822" s="26">
        <f>('Raw Price Data'!F822-'Raw Price Data'!F821)/'Raw Price Data'!F821</f>
        <v>-1.5840395054059521E-2</v>
      </c>
    </row>
    <row r="823" spans="1:6" ht="15" customHeight="1" x14ac:dyDescent="0.3">
      <c r="A823" s="21">
        <v>44615</v>
      </c>
      <c r="B823" s="25">
        <f>('Raw Price Data'!B823-'Raw Price Data'!B822)/'Raw Price Data'!B822</f>
        <v>5.4738718095600864E-3</v>
      </c>
      <c r="C823" s="25">
        <f>('Raw Price Data'!C823-'Raw Price Data'!C822)/'Raw Price Data'!C822</f>
        <v>1.4498341253474467E-2</v>
      </c>
      <c r="D823" s="25">
        <f>('Raw Price Data'!D823-'Raw Price Data'!D822)/'Raw Price Data'!D822</f>
        <v>-9.1728180633955589E-3</v>
      </c>
      <c r="E823" s="25">
        <f>('Raw Price Data'!E823-'Raw Price Data'!E822)/'Raw Price Data'!E822</f>
        <v>-1.4215365208742725E-2</v>
      </c>
      <c r="F823" s="25">
        <f>('Raw Price Data'!F823-'Raw Price Data'!F822)/'Raw Price Data'!F822</f>
        <v>1.2872165079299929E-3</v>
      </c>
    </row>
    <row r="824" spans="1:6" ht="15" customHeight="1" x14ac:dyDescent="0.3">
      <c r="A824" s="19">
        <v>44616</v>
      </c>
      <c r="B824" s="26">
        <f>('Raw Price Data'!B824-'Raw Price Data'!B823)/'Raw Price Data'!B823</f>
        <v>-1.2344115971386901E-2</v>
      </c>
      <c r="C824" s="26">
        <f>('Raw Price Data'!C824-'Raw Price Data'!C823)/'Raw Price Data'!C823</f>
        <v>1.9602817573599003E-2</v>
      </c>
      <c r="D824" s="26">
        <f>('Raw Price Data'!D824-'Raw Price Data'!D823)/'Raw Price Data'!D823</f>
        <v>4.2728019720624545E-3</v>
      </c>
      <c r="E824" s="26">
        <f>('Raw Price Data'!E824-'Raw Price Data'!E823)/'Raw Price Data'!E823</f>
        <v>1.4764869453946471E-3</v>
      </c>
      <c r="F824" s="26">
        <f>('Raw Price Data'!F824-'Raw Price Data'!F823)/'Raw Price Data'!F823</f>
        <v>5.9023641145855045E-3</v>
      </c>
    </row>
    <row r="825" spans="1:6" ht="15" customHeight="1" x14ac:dyDescent="0.3">
      <c r="A825" s="21">
        <v>44617</v>
      </c>
      <c r="B825" s="25">
        <f>('Raw Price Data'!B825-'Raw Price Data'!B824)/'Raw Price Data'!B824</f>
        <v>-1.2947058069478337E-2</v>
      </c>
      <c r="C825" s="25">
        <f>('Raw Price Data'!C825-'Raw Price Data'!C824)/'Raw Price Data'!C824</f>
        <v>1.1424608850171053E-2</v>
      </c>
      <c r="D825" s="25">
        <f>('Raw Price Data'!D825-'Raw Price Data'!D824)/'Raw Price Data'!D824</f>
        <v>-5.1273659521083627E-3</v>
      </c>
      <c r="E825" s="25">
        <f>('Raw Price Data'!E825-'Raw Price Data'!E824)/'Raw Price Data'!E824</f>
        <v>-1.1401331793498398E-2</v>
      </c>
      <c r="F825" s="25">
        <f>('Raw Price Data'!F825-'Raw Price Data'!F824)/'Raw Price Data'!F824</f>
        <v>4.532026876700946E-3</v>
      </c>
    </row>
    <row r="826" spans="1:6" ht="15" customHeight="1" x14ac:dyDescent="0.3">
      <c r="A826" s="19">
        <v>44620</v>
      </c>
      <c r="B826" s="26">
        <f>('Raw Price Data'!B826-'Raw Price Data'!B825)/'Raw Price Data'!B825</f>
        <v>-2.1688311688311711E-2</v>
      </c>
      <c r="C826" s="26">
        <f>('Raw Price Data'!C826-'Raw Price Data'!C825)/'Raw Price Data'!C825</f>
        <v>-1.0010027167624964E-2</v>
      </c>
      <c r="D826" s="26">
        <f>('Raw Price Data'!D826-'Raw Price Data'!D825)/'Raw Price Data'!D825</f>
        <v>-1.3377926421404672E-2</v>
      </c>
      <c r="E826" s="26">
        <f>('Raw Price Data'!E826-'Raw Price Data'!E825)/'Raw Price Data'!E825</f>
        <v>2.9726841150299596E-2</v>
      </c>
      <c r="F826" s="26">
        <f>('Raw Price Data'!F826-'Raw Price Data'!F825)/'Raw Price Data'!F825</f>
        <v>2.9221122527621052E-3</v>
      </c>
    </row>
    <row r="827" spans="1:6" ht="15" customHeight="1" x14ac:dyDescent="0.3">
      <c r="A827" s="21">
        <v>44621</v>
      </c>
      <c r="B827" s="25">
        <f>('Raw Price Data'!B827-'Raw Price Data'!B826)/'Raw Price Data'!B826</f>
        <v>1.6394530731448288E-2</v>
      </c>
      <c r="C827" s="25">
        <f>('Raw Price Data'!C827-'Raw Price Data'!C826)/'Raw Price Data'!C826</f>
        <v>-8.8733064969917317E-3</v>
      </c>
      <c r="D827" s="25">
        <f>('Raw Price Data'!D827-'Raw Price Data'!D826)/'Raw Price Data'!D826</f>
        <v>2.2728535704362344E-2</v>
      </c>
      <c r="E827" s="25">
        <f>('Raw Price Data'!E827-'Raw Price Data'!E826)/'Raw Price Data'!E826</f>
        <v>3.9103043761616364E-3</v>
      </c>
      <c r="F827" s="25">
        <f>('Raw Price Data'!F827-'Raw Price Data'!F826)/'Raw Price Data'!F826</f>
        <v>-1.2207956130800249E-3</v>
      </c>
    </row>
    <row r="828" spans="1:6" ht="15" customHeight="1" x14ac:dyDescent="0.3">
      <c r="A828" s="19">
        <v>44622</v>
      </c>
      <c r="B828" s="26">
        <f>('Raw Price Data'!B828-'Raw Price Data'!B827)/'Raw Price Data'!B827</f>
        <v>-1.6325997518448377E-3</v>
      </c>
      <c r="C828" s="26">
        <f>('Raw Price Data'!C828-'Raw Price Data'!C827)/'Raw Price Data'!C827</f>
        <v>-7.1709319591230988E-3</v>
      </c>
      <c r="D828" s="26">
        <f>('Raw Price Data'!D828-'Raw Price Data'!D827)/'Raw Price Data'!D827</f>
        <v>2.5646598565529227E-2</v>
      </c>
      <c r="E828" s="26">
        <f>('Raw Price Data'!E828-'Raw Price Data'!E827)/'Raw Price Data'!E827</f>
        <v>1.6614171335144545E-2</v>
      </c>
      <c r="F828" s="26">
        <f>('Raw Price Data'!F828-'Raw Price Data'!F827)/'Raw Price Data'!F827</f>
        <v>-2.6275167905913069E-2</v>
      </c>
    </row>
    <row r="829" spans="1:6" ht="15" customHeight="1" x14ac:dyDescent="0.3">
      <c r="A829" s="21">
        <v>44623</v>
      </c>
      <c r="B829" s="25">
        <f>('Raw Price Data'!B829-'Raw Price Data'!B828)/'Raw Price Data'!B828</f>
        <v>1.6287284144427063E-2</v>
      </c>
      <c r="C829" s="25">
        <f>('Raw Price Data'!C829-'Raw Price Data'!C828)/'Raw Price Data'!C828</f>
        <v>2.0225391267627943E-2</v>
      </c>
      <c r="D829" s="25">
        <f>('Raw Price Data'!D829-'Raw Price Data'!D828)/'Raw Price Data'!D828</f>
        <v>-1.6422970968425484E-2</v>
      </c>
      <c r="E829" s="25">
        <f>('Raw Price Data'!E829-'Raw Price Data'!E828)/'Raw Price Data'!E828</f>
        <v>-1.8352963435977462E-2</v>
      </c>
      <c r="F829" s="25">
        <f>('Raw Price Data'!F829-'Raw Price Data'!F828)/'Raw Price Data'!F828</f>
        <v>1.6663071179987137E-4</v>
      </c>
    </row>
    <row r="830" spans="1:6" ht="15" customHeight="1" x14ac:dyDescent="0.3">
      <c r="A830" s="19">
        <v>44624</v>
      </c>
      <c r="B830" s="26">
        <f>('Raw Price Data'!B830-'Raw Price Data'!B829)/'Raw Price Data'!B829</f>
        <v>4.0548368410889841E-3</v>
      </c>
      <c r="C830" s="26">
        <f>('Raw Price Data'!C830-'Raw Price Data'!C829)/'Raw Price Data'!C829</f>
        <v>9.8906594922737543E-3</v>
      </c>
      <c r="D830" s="26">
        <f>('Raw Price Data'!D830-'Raw Price Data'!D829)/'Raw Price Data'!D829</f>
        <v>1.9390283313584706E-3</v>
      </c>
      <c r="E830" s="26">
        <f>('Raw Price Data'!E830-'Raw Price Data'!E829)/'Raw Price Data'!E829</f>
        <v>1.1636871777574288E-2</v>
      </c>
      <c r="F830" s="26">
        <f>('Raw Price Data'!F830-'Raw Price Data'!F829)/'Raw Price Data'!F829</f>
        <v>-5.2730811336820782E-3</v>
      </c>
    </row>
    <row r="831" spans="1:6" ht="15" customHeight="1" x14ac:dyDescent="0.3">
      <c r="A831" s="21">
        <v>44627</v>
      </c>
      <c r="B831" s="25">
        <f>('Raw Price Data'!B831-'Raw Price Data'!B830)/'Raw Price Data'!B830</f>
        <v>-2.326923076923074E-2</v>
      </c>
      <c r="C831" s="25">
        <f>('Raw Price Data'!C831-'Raw Price Data'!C830)/'Raw Price Data'!C830</f>
        <v>3.1259872774623144E-2</v>
      </c>
      <c r="D831" s="25">
        <f>('Raw Price Data'!D831-'Raw Price Data'!D830)/'Raw Price Data'!D830</f>
        <v>-6.3434039350607823E-3</v>
      </c>
      <c r="E831" s="25">
        <f>('Raw Price Data'!E831-'Raw Price Data'!E830)/'Raw Price Data'!E830</f>
        <v>4.7512443735263969E-2</v>
      </c>
      <c r="F831" s="25">
        <f>('Raw Price Data'!F831-'Raw Price Data'!F830)/'Raw Price Data'!F830</f>
        <v>-1.4619769388865531E-2</v>
      </c>
    </row>
    <row r="832" spans="1:6" ht="15" customHeight="1" x14ac:dyDescent="0.3">
      <c r="A832" s="19">
        <v>44628</v>
      </c>
      <c r="B832" s="26">
        <f>('Raw Price Data'!B832-'Raw Price Data'!B831)/'Raw Price Data'!B831</f>
        <v>-1.4701056638445948E-2</v>
      </c>
      <c r="C832" s="26">
        <f>('Raw Price Data'!C832-'Raw Price Data'!C831)/'Raw Price Data'!C831</f>
        <v>-1.6501622838974682E-2</v>
      </c>
      <c r="D832" s="26">
        <f>('Raw Price Data'!D832-'Raw Price Data'!D831)/'Raw Price Data'!D831</f>
        <v>2.3750270504219791E-2</v>
      </c>
      <c r="E832" s="26">
        <f>('Raw Price Data'!E832-'Raw Price Data'!E831)/'Raw Price Data'!E831</f>
        <v>-5.4565296471433304E-4</v>
      </c>
      <c r="F832" s="26">
        <f>('Raw Price Data'!F832-'Raw Price Data'!F831)/'Raw Price Data'!F831</f>
        <v>1.6767522808143441E-2</v>
      </c>
    </row>
    <row r="833" spans="1:6" ht="15" customHeight="1" x14ac:dyDescent="0.3">
      <c r="A833" s="21">
        <v>44629</v>
      </c>
      <c r="B833" s="25">
        <f>('Raw Price Data'!B833-'Raw Price Data'!B832)/'Raw Price Data'!B832</f>
        <v>1.0790648104975719E-2</v>
      </c>
      <c r="C833" s="25">
        <f>('Raw Price Data'!C833-'Raw Price Data'!C832)/'Raw Price Data'!C832</f>
        <v>-3.3843226724362763E-3</v>
      </c>
      <c r="D833" s="25">
        <f>('Raw Price Data'!D833-'Raw Price Data'!D832)/'Raw Price Data'!D832</f>
        <v>4.1748137187550627E-3</v>
      </c>
      <c r="E833" s="25">
        <f>('Raw Price Data'!E833-'Raw Price Data'!E832)/'Raw Price Data'!E832</f>
        <v>-2.0723384895359447E-2</v>
      </c>
      <c r="F833" s="25">
        <f>('Raw Price Data'!F833-'Raw Price Data'!F832)/'Raw Price Data'!F832</f>
        <v>1.4614455307825729E-2</v>
      </c>
    </row>
    <row r="834" spans="1:6" ht="15" customHeight="1" x14ac:dyDescent="0.3">
      <c r="A834" s="19">
        <v>44630</v>
      </c>
      <c r="B834" s="26">
        <f>('Raw Price Data'!B834-'Raw Price Data'!B833)/'Raw Price Data'!B833</f>
        <v>-1.0280065897858334E-2</v>
      </c>
      <c r="C834" s="26">
        <f>('Raw Price Data'!C834-'Raw Price Data'!C833)/'Raw Price Data'!C833</f>
        <v>-2.1641986467422891E-2</v>
      </c>
      <c r="D834" s="26">
        <f>('Raw Price Data'!D834-'Raw Price Data'!D833)/'Raw Price Data'!D833</f>
        <v>9.7884433217555258E-3</v>
      </c>
      <c r="E834" s="26">
        <f>('Raw Price Data'!E834-'Raw Price Data'!E833)/'Raw Price Data'!E833</f>
        <v>2.1998188111222026E-2</v>
      </c>
      <c r="F834" s="26">
        <f>('Raw Price Data'!F834-'Raw Price Data'!F833)/'Raw Price Data'!F833</f>
        <v>-3.8756234626232942E-3</v>
      </c>
    </row>
    <row r="835" spans="1:6" ht="15" customHeight="1" x14ac:dyDescent="0.3">
      <c r="A835" s="21">
        <v>44631</v>
      </c>
      <c r="B835" s="25">
        <f>('Raw Price Data'!B835-'Raw Price Data'!B834)/'Raw Price Data'!B834</f>
        <v>-1.478127704907117E-2</v>
      </c>
      <c r="C835" s="25">
        <f>('Raw Price Data'!C835-'Raw Price Data'!C834)/'Raw Price Data'!C834</f>
        <v>-2.4400141600255561E-2</v>
      </c>
      <c r="D835" s="25">
        <f>('Raw Price Data'!D835-'Raw Price Data'!D834)/'Raw Price Data'!D834</f>
        <v>-1.4331874087971649E-2</v>
      </c>
      <c r="E835" s="25">
        <f>('Raw Price Data'!E835-'Raw Price Data'!E834)/'Raw Price Data'!E834</f>
        <v>-8.4780434584961397E-3</v>
      </c>
      <c r="F835" s="25">
        <f>('Raw Price Data'!F835-'Raw Price Data'!F834)/'Raw Price Data'!F834</f>
        <v>4.4099802273307072E-3</v>
      </c>
    </row>
    <row r="836" spans="1:6" ht="15" customHeight="1" x14ac:dyDescent="0.3">
      <c r="A836" s="19">
        <v>44634</v>
      </c>
      <c r="B836" s="26">
        <f>('Raw Price Data'!B836-'Raw Price Data'!B835)/'Raw Price Data'!B835</f>
        <v>-2.1626005271338324E-3</v>
      </c>
      <c r="C836" s="26">
        <f>('Raw Price Data'!C836-'Raw Price Data'!C835)/'Raw Price Data'!C835</f>
        <v>-2.1505756993796636E-3</v>
      </c>
      <c r="D836" s="26">
        <f>('Raw Price Data'!D836-'Raw Price Data'!D835)/'Raw Price Data'!D835</f>
        <v>2.130809496113785E-2</v>
      </c>
      <c r="E836" s="26">
        <f>('Raw Price Data'!E836-'Raw Price Data'!E835)/'Raw Price Data'!E835</f>
        <v>-2.3886481901749114E-2</v>
      </c>
      <c r="F836" s="26">
        <f>('Raw Price Data'!F836-'Raw Price Data'!F835)/'Raw Price Data'!F835</f>
        <v>3.9977164494014311E-4</v>
      </c>
    </row>
    <row r="837" spans="1:6" ht="15" customHeight="1" x14ac:dyDescent="0.3">
      <c r="A837" s="21">
        <v>44635</v>
      </c>
      <c r="B837" s="25">
        <f>('Raw Price Data'!B837-'Raw Price Data'!B836)/'Raw Price Data'!B836</f>
        <v>-2.167287504232937E-3</v>
      </c>
      <c r="C837" s="25">
        <f>('Raw Price Data'!C837-'Raw Price Data'!C836)/'Raw Price Data'!C836</f>
        <v>-5.3215077605321508E-3</v>
      </c>
      <c r="D837" s="25">
        <f>('Raw Price Data'!D837-'Raw Price Data'!D836)/'Raw Price Data'!D836</f>
        <v>-4.2969558914888384E-3</v>
      </c>
      <c r="E837" s="25">
        <f>('Raw Price Data'!E837-'Raw Price Data'!E836)/'Raw Price Data'!E836</f>
        <v>-2.0830887015335489E-2</v>
      </c>
      <c r="F837" s="25">
        <f>('Raw Price Data'!F837-'Raw Price Data'!F836)/'Raw Price Data'!F836</f>
        <v>-2.1071050007071494E-2</v>
      </c>
    </row>
    <row r="838" spans="1:6" ht="15" customHeight="1" x14ac:dyDescent="0.3">
      <c r="A838" s="19">
        <v>44636</v>
      </c>
      <c r="B838" s="26">
        <f>('Raw Price Data'!B838-'Raw Price Data'!B837)/'Raw Price Data'!B837</f>
        <v>-1.3710717437046155E-2</v>
      </c>
      <c r="C838" s="26">
        <f>('Raw Price Data'!C838-'Raw Price Data'!C837)/'Raw Price Data'!C837</f>
        <v>-8.4529647793134353E-3</v>
      </c>
      <c r="D838" s="26">
        <f>('Raw Price Data'!D838-'Raw Price Data'!D837)/'Raw Price Data'!D837</f>
        <v>2.9740550096188836E-2</v>
      </c>
      <c r="E838" s="26">
        <f>('Raw Price Data'!E838-'Raw Price Data'!E837)/'Raw Price Data'!E837</f>
        <v>-2.1849666618698166E-2</v>
      </c>
      <c r="F838" s="26">
        <f>('Raw Price Data'!F838-'Raw Price Data'!F837)/'Raw Price Data'!F837</f>
        <v>-4.5179705963598795E-3</v>
      </c>
    </row>
    <row r="839" spans="1:6" ht="15" customHeight="1" x14ac:dyDescent="0.3">
      <c r="A839" s="21">
        <v>44637</v>
      </c>
      <c r="B839" s="25">
        <f>('Raw Price Data'!B839-'Raw Price Data'!B838)/'Raw Price Data'!B838</f>
        <v>-4.1979216846742386E-3</v>
      </c>
      <c r="C839" s="25">
        <f>('Raw Price Data'!C839-'Raw Price Data'!C838)/'Raw Price Data'!C838</f>
        <v>-2.6474343986618996E-2</v>
      </c>
      <c r="D839" s="25">
        <f>('Raw Price Data'!D839-'Raw Price Data'!D838)/'Raw Price Data'!D838</f>
        <v>1.7571320373642965E-2</v>
      </c>
      <c r="E839" s="25">
        <f>('Raw Price Data'!E839-'Raw Price Data'!E838)/'Raw Price Data'!E838</f>
        <v>1.0347448691856968E-2</v>
      </c>
      <c r="F839" s="25">
        <f>('Raw Price Data'!F839-'Raw Price Data'!F838)/'Raw Price Data'!F838</f>
        <v>1.022918771687039E-2</v>
      </c>
    </row>
    <row r="840" spans="1:6" ht="15" customHeight="1" x14ac:dyDescent="0.3">
      <c r="A840" s="19">
        <v>44638</v>
      </c>
      <c r="B840" s="26">
        <f>('Raw Price Data'!B840-'Raw Price Data'!B839)/'Raw Price Data'!B839</f>
        <v>-6.2888735314443446E-3</v>
      </c>
      <c r="C840" s="26">
        <f>('Raw Price Data'!C840-'Raw Price Data'!C839)/'Raw Price Data'!C839</f>
        <v>4.0643647582627529E-3</v>
      </c>
      <c r="D840" s="26">
        <f>('Raw Price Data'!D840-'Raw Price Data'!D839)/'Raw Price Data'!D839</f>
        <v>-9.8248399741973393E-3</v>
      </c>
      <c r="E840" s="26">
        <f>('Raw Price Data'!E840-'Raw Price Data'!E839)/'Raw Price Data'!E839</f>
        <v>-1.5580633418274519E-2</v>
      </c>
      <c r="F840" s="26">
        <f>('Raw Price Data'!F840-'Raw Price Data'!F839)/'Raw Price Data'!F839</f>
        <v>-8.9946328681242145E-4</v>
      </c>
    </row>
    <row r="841" spans="1:6" ht="15" customHeight="1" x14ac:dyDescent="0.3">
      <c r="A841" s="21">
        <v>44641</v>
      </c>
      <c r="B841" s="25">
        <f>('Raw Price Data'!B841-'Raw Price Data'!B840)/'Raw Price Data'!B840</f>
        <v>-3.5607483135127647E-2</v>
      </c>
      <c r="C841" s="25">
        <f>('Raw Price Data'!C841-'Raw Price Data'!C840)/'Raw Price Data'!C840</f>
        <v>-4.4067048151759589E-3</v>
      </c>
      <c r="D841" s="25">
        <f>('Raw Price Data'!D841-'Raw Price Data'!D840)/'Raw Price Data'!D840</f>
        <v>8.669506389376044E-3</v>
      </c>
      <c r="E841" s="25">
        <f>('Raw Price Data'!E841-'Raw Price Data'!E840)/'Raw Price Data'!E840</f>
        <v>-1.5950496758129255E-2</v>
      </c>
      <c r="F841" s="25">
        <f>('Raw Price Data'!F841-'Raw Price Data'!F840)/'Raw Price Data'!F840</f>
        <v>-1.0953831222586599E-2</v>
      </c>
    </row>
    <row r="842" spans="1:6" ht="15" customHeight="1" x14ac:dyDescent="0.3">
      <c r="A842" s="19">
        <v>44642</v>
      </c>
      <c r="B842" s="26">
        <f>('Raw Price Data'!B842-'Raw Price Data'!B841)/'Raw Price Data'!B841</f>
        <v>7.2834787625298868E-3</v>
      </c>
      <c r="C842" s="26">
        <f>('Raw Price Data'!C842-'Raw Price Data'!C841)/'Raw Price Data'!C841</f>
        <v>1.6734584499949082E-2</v>
      </c>
      <c r="D842" s="26">
        <f>('Raw Price Data'!D842-'Raw Price Data'!D841)/'Raw Price Data'!D841</f>
        <v>4.2229729729729446E-3</v>
      </c>
      <c r="E842" s="26">
        <f>('Raw Price Data'!E842-'Raw Price Data'!E841)/'Raw Price Data'!E841</f>
        <v>-6.5637839462872145E-3</v>
      </c>
      <c r="F842" s="26">
        <f>('Raw Price Data'!F842-'Raw Price Data'!F841)/'Raw Price Data'!F841</f>
        <v>1.3182870298875961E-2</v>
      </c>
    </row>
    <row r="843" spans="1:6" ht="15" customHeight="1" x14ac:dyDescent="0.3">
      <c r="A843" s="21">
        <v>44643</v>
      </c>
      <c r="B843" s="25">
        <f>('Raw Price Data'!B843-'Raw Price Data'!B842)/'Raw Price Data'!B842</f>
        <v>-1.0882016036655284E-2</v>
      </c>
      <c r="C843" s="25">
        <f>('Raw Price Data'!C843-'Raw Price Data'!C842)/'Raw Price Data'!C842</f>
        <v>1.0297191674997869E-2</v>
      </c>
      <c r="D843" s="25">
        <f>('Raw Price Data'!D843-'Raw Price Data'!D842)/'Raw Price Data'!D842</f>
        <v>-3.0673329045663908E-3</v>
      </c>
      <c r="E843" s="25">
        <f>('Raw Price Data'!E843-'Raw Price Data'!E842)/'Raw Price Data'!E842</f>
        <v>8.5237302668078763E-3</v>
      </c>
      <c r="F843" s="25">
        <f>('Raw Price Data'!F843-'Raw Price Data'!F842)/'Raw Price Data'!F842</f>
        <v>4.3182435775054109E-3</v>
      </c>
    </row>
    <row r="844" spans="1:6" ht="15" customHeight="1" x14ac:dyDescent="0.3">
      <c r="A844" s="19">
        <v>44644</v>
      </c>
      <c r="B844" s="26">
        <f>('Raw Price Data'!B844-'Raw Price Data'!B843)/'Raw Price Data'!B843</f>
        <v>1.838448176027788E-2</v>
      </c>
      <c r="C844" s="26">
        <f>('Raw Price Data'!C844-'Raw Price Data'!C843)/'Raw Price Data'!C843</f>
        <v>-2.2534476399521584E-2</v>
      </c>
      <c r="D844" s="26">
        <f>('Raw Price Data'!D844-'Raw Price Data'!D843)/'Raw Price Data'!D843</f>
        <v>1.22078308768796E-2</v>
      </c>
      <c r="E844" s="26">
        <f>('Raw Price Data'!E844-'Raw Price Data'!E843)/'Raw Price Data'!E843</f>
        <v>1.7303460692138325E-2</v>
      </c>
      <c r="F844" s="26">
        <f>('Raw Price Data'!F844-'Raw Price Data'!F843)/'Raw Price Data'!F843</f>
        <v>-1.2792578331642317E-2</v>
      </c>
    </row>
    <row r="845" spans="1:6" ht="15" customHeight="1" x14ac:dyDescent="0.3">
      <c r="A845" s="21">
        <v>44645</v>
      </c>
      <c r="B845" s="25">
        <f>('Raw Price Data'!B845-'Raw Price Data'!B844)/'Raw Price Data'!B844</f>
        <v>-1.5636105188343914E-2</v>
      </c>
      <c r="C845" s="25">
        <f>('Raw Price Data'!C845-'Raw Price Data'!C844)/'Raw Price Data'!C844</f>
        <v>7.5742237110935397E-3</v>
      </c>
      <c r="D845" s="25">
        <f>('Raw Price Data'!D845-'Raw Price Data'!D844)/'Raw Price Data'!D844</f>
        <v>0</v>
      </c>
      <c r="E845" s="25">
        <f>('Raw Price Data'!E845-'Raw Price Data'!E844)/'Raw Price Data'!E844</f>
        <v>2.3768557663946557E-2</v>
      </c>
      <c r="F845" s="25">
        <f>('Raw Price Data'!F845-'Raw Price Data'!F844)/'Raw Price Data'!F844</f>
        <v>-6.0967159957263165E-3</v>
      </c>
    </row>
    <row r="846" spans="1:6" ht="15" customHeight="1" x14ac:dyDescent="0.3">
      <c r="A846" s="19">
        <v>44648</v>
      </c>
      <c r="B846" s="26">
        <f>('Raw Price Data'!B846-'Raw Price Data'!B845)/'Raw Price Data'!B845</f>
        <v>-2.1588447653429668E-2</v>
      </c>
      <c r="C846" s="26">
        <f>('Raw Price Data'!C846-'Raw Price Data'!C845)/'Raw Price Data'!C845</f>
        <v>-9.9743334459859202E-3</v>
      </c>
      <c r="D846" s="26">
        <f>('Raw Price Data'!D846-'Raw Price Data'!D845)/'Raw Price Data'!D845</f>
        <v>8.3345590037744522E-4</v>
      </c>
      <c r="E846" s="26">
        <f>('Raw Price Data'!E846-'Raw Price Data'!E845)/'Raw Price Data'!E845</f>
        <v>-5.7861756020262858E-3</v>
      </c>
      <c r="F846" s="26">
        <f>('Raw Price Data'!F846-'Raw Price Data'!F845)/'Raw Price Data'!F845</f>
        <v>-4.4329308739426516E-3</v>
      </c>
    </row>
    <row r="847" spans="1:6" ht="15" customHeight="1" x14ac:dyDescent="0.3">
      <c r="A847" s="21">
        <v>44649</v>
      </c>
      <c r="B847" s="25">
        <f>('Raw Price Data'!B847-'Raw Price Data'!B846)/'Raw Price Data'!B846</f>
        <v>1.6825326544166491E-2</v>
      </c>
      <c r="C847" s="25">
        <f>('Raw Price Data'!C847-'Raw Price Data'!C846)/'Raw Price Data'!C846</f>
        <v>2.76319552722138E-2</v>
      </c>
      <c r="D847" s="25">
        <f>('Raw Price Data'!D847-'Raw Price Data'!D846)/'Raw Price Data'!D846</f>
        <v>-9.5522680513372617E-3</v>
      </c>
      <c r="E847" s="25">
        <f>('Raw Price Data'!E847-'Raw Price Data'!E846)/'Raw Price Data'!E846</f>
        <v>1.9681236416324504E-2</v>
      </c>
      <c r="F847" s="25">
        <f>('Raw Price Data'!F847-'Raw Price Data'!F846)/'Raw Price Data'!F846</f>
        <v>-1.079853302947526E-2</v>
      </c>
    </row>
    <row r="848" spans="1:6" ht="15" customHeight="1" x14ac:dyDescent="0.3">
      <c r="A848" s="19">
        <v>44650</v>
      </c>
      <c r="B848" s="26">
        <f>('Raw Price Data'!B848-'Raw Price Data'!B847)/'Raw Price Data'!B847</f>
        <v>-2.1699687930909217E-2</v>
      </c>
      <c r="C848" s="26">
        <f>('Raw Price Data'!C848-'Raw Price Data'!C847)/'Raw Price Data'!C847</f>
        <v>7.1823601235504762E-5</v>
      </c>
      <c r="D848" s="26">
        <f>('Raw Price Data'!D848-'Raw Price Data'!D847)/'Raw Price Data'!D847</f>
        <v>-1.1325980513378466E-2</v>
      </c>
      <c r="E848" s="26">
        <f>('Raw Price Data'!E848-'Raw Price Data'!E847)/'Raw Price Data'!E847</f>
        <v>-1.439905269390168E-2</v>
      </c>
      <c r="F848" s="26">
        <f>('Raw Price Data'!F848-'Raw Price Data'!F847)/'Raw Price Data'!F847</f>
        <v>8.975404300421921E-3</v>
      </c>
    </row>
    <row r="849" spans="1:6" ht="15" customHeight="1" x14ac:dyDescent="0.3">
      <c r="A849" s="21">
        <v>44651</v>
      </c>
      <c r="B849" s="25">
        <f>('Raw Price Data'!B849-'Raw Price Data'!B848)/'Raw Price Data'!B848</f>
        <v>-8.4569732937686548E-3</v>
      </c>
      <c r="C849" s="25">
        <f>('Raw Price Data'!C849-'Raw Price Data'!C848)/'Raw Price Data'!C848</f>
        <v>-8.2860528583740458E-3</v>
      </c>
      <c r="D849" s="25">
        <f>('Raw Price Data'!D849-'Raw Price Data'!D848)/'Raw Price Data'!D848</f>
        <v>1.6008004002000659E-3</v>
      </c>
      <c r="E849" s="25">
        <f>('Raw Price Data'!E849-'Raw Price Data'!E848)/'Raw Price Data'!E848</f>
        <v>3.2799096523055425E-2</v>
      </c>
      <c r="F849" s="25">
        <f>('Raw Price Data'!F849-'Raw Price Data'!F848)/'Raw Price Data'!F848</f>
        <v>-5.7892430021075072E-3</v>
      </c>
    </row>
    <row r="850" spans="1:6" ht="15" customHeight="1" x14ac:dyDescent="0.3">
      <c r="A850" s="19">
        <v>44652</v>
      </c>
      <c r="B850" s="26">
        <f>('Raw Price Data'!B850-'Raw Price Data'!B849)/'Raw Price Data'!B849</f>
        <v>8.6039203950322145E-3</v>
      </c>
      <c r="C850" s="26">
        <f>('Raw Price Data'!C850-'Raw Price Data'!C849)/'Raw Price Data'!C849</f>
        <v>-6.5810317826720454E-3</v>
      </c>
      <c r="D850" s="26">
        <f>('Raw Price Data'!D850-'Raw Price Data'!D849)/'Raw Price Data'!D849</f>
        <v>3.1964838677455538E-3</v>
      </c>
      <c r="E850" s="26">
        <f>('Raw Price Data'!E850-'Raw Price Data'!E849)/'Raw Price Data'!E849</f>
        <v>1.2191149783630378E-2</v>
      </c>
      <c r="F850" s="26">
        <f>('Raw Price Data'!F850-'Raw Price Data'!F849)/'Raw Price Data'!F849</f>
        <v>1.9103420834203622E-3</v>
      </c>
    </row>
    <row r="851" spans="1:6" ht="15" customHeight="1" x14ac:dyDescent="0.3">
      <c r="A851" s="21">
        <v>44655</v>
      </c>
      <c r="B851" s="25">
        <f>('Raw Price Data'!B851-'Raw Price Data'!B850)/'Raw Price Data'!B850</f>
        <v>-4.3023514576070948E-3</v>
      </c>
      <c r="C851" s="25">
        <f>('Raw Price Data'!C851-'Raw Price Data'!C850)/'Raw Price Data'!C850</f>
        <v>-2.5869767272329737E-2</v>
      </c>
      <c r="D851" s="25">
        <f>('Raw Price Data'!D851-'Raw Price Data'!D850)/'Raw Price Data'!D850</f>
        <v>1.7325500348501392E-2</v>
      </c>
      <c r="E851" s="25">
        <f>('Raw Price Data'!E851-'Raw Price Data'!E850)/'Raw Price Data'!E850</f>
        <v>5.4934951500942089E-3</v>
      </c>
      <c r="F851" s="25">
        <f>('Raw Price Data'!F851-'Raw Price Data'!F850)/'Raw Price Data'!F850</f>
        <v>2.0586596444041975E-2</v>
      </c>
    </row>
    <row r="852" spans="1:6" ht="15" customHeight="1" x14ac:dyDescent="0.3">
      <c r="A852" s="19">
        <v>44656</v>
      </c>
      <c r="B852" s="26">
        <f>('Raw Price Data'!B852-'Raw Price Data'!B851)/'Raw Price Data'!B851</f>
        <v>-2.2573195261863976E-2</v>
      </c>
      <c r="C852" s="26">
        <f>('Raw Price Data'!C852-'Raw Price Data'!C851)/'Raw Price Data'!C851</f>
        <v>2.3067640758444648E-2</v>
      </c>
      <c r="D852" s="26">
        <f>('Raw Price Data'!D852-'Raw Price Data'!D851)/'Raw Price Data'!D851</f>
        <v>-2.0896544974062885E-2</v>
      </c>
      <c r="E852" s="26">
        <f>('Raw Price Data'!E852-'Raw Price Data'!E851)/'Raw Price Data'!E851</f>
        <v>-2.9534803977597477E-2</v>
      </c>
      <c r="F852" s="26">
        <f>('Raw Price Data'!F852-'Raw Price Data'!F851)/'Raw Price Data'!F851</f>
        <v>-7.2303756711146029E-3</v>
      </c>
    </row>
    <row r="853" spans="1:6" ht="15" customHeight="1" x14ac:dyDescent="0.3">
      <c r="A853" s="21">
        <v>44657</v>
      </c>
      <c r="B853" s="25">
        <f>('Raw Price Data'!B853-'Raw Price Data'!B852)/'Raw Price Data'!B852</f>
        <v>2.8963414634148163E-3</v>
      </c>
      <c r="C853" s="25">
        <f>('Raw Price Data'!C853-'Raw Price Data'!C852)/'Raw Price Data'!C852</f>
        <v>3.798151212866531E-2</v>
      </c>
      <c r="D853" s="25">
        <f>('Raw Price Data'!D853-'Raw Price Data'!D852)/'Raw Price Data'!D852</f>
        <v>2.1492477632828852E-3</v>
      </c>
      <c r="E853" s="25">
        <f>('Raw Price Data'!E853-'Raw Price Data'!E852)/'Raw Price Data'!E852</f>
        <v>1.8891479989635689E-2</v>
      </c>
      <c r="F853" s="25">
        <f>('Raw Price Data'!F853-'Raw Price Data'!F852)/'Raw Price Data'!F852</f>
        <v>-1.2150803215948495E-2</v>
      </c>
    </row>
    <row r="854" spans="1:6" ht="15" customHeight="1" x14ac:dyDescent="0.3">
      <c r="A854" s="19">
        <v>44658</v>
      </c>
      <c r="B854" s="26">
        <f>('Raw Price Data'!B854-'Raw Price Data'!B853)/'Raw Price Data'!B853</f>
        <v>-2.3559811521507998E-3</v>
      </c>
      <c r="C854" s="26">
        <f>('Raw Price Data'!C854-'Raw Price Data'!C853)/'Raw Price Data'!C853</f>
        <v>-2.9914642847704901E-2</v>
      </c>
      <c r="D854" s="26">
        <f>('Raw Price Data'!D854-'Raw Price Data'!D853)/'Raw Price Data'!D853</f>
        <v>2.5486284289276875E-2</v>
      </c>
      <c r="E854" s="26">
        <f>('Raw Price Data'!E854-'Raw Price Data'!E853)/'Raw Price Data'!E853</f>
        <v>-8.3689746850075242E-3</v>
      </c>
      <c r="F854" s="26">
        <f>('Raw Price Data'!F854-'Raw Price Data'!F853)/'Raw Price Data'!F853</f>
        <v>3.7047098661265022E-4</v>
      </c>
    </row>
    <row r="855" spans="1:6" ht="15" customHeight="1" x14ac:dyDescent="0.3">
      <c r="A855" s="21">
        <v>44659</v>
      </c>
      <c r="B855" s="25">
        <f>('Raw Price Data'!B855-'Raw Price Data'!B854)/'Raw Price Data'!B854</f>
        <v>1.805439171173898E-2</v>
      </c>
      <c r="C855" s="25">
        <f>('Raw Price Data'!C855-'Raw Price Data'!C854)/'Raw Price Data'!C854</f>
        <v>-3.8501003386998732E-3</v>
      </c>
      <c r="D855" s="25">
        <f>('Raw Price Data'!D855-'Raw Price Data'!D854)/'Raw Price Data'!D854</f>
        <v>-1.0262146782744095E-2</v>
      </c>
      <c r="E855" s="25">
        <f>('Raw Price Data'!E855-'Raw Price Data'!E854)/'Raw Price Data'!E854</f>
        <v>-1.1074068029748444E-2</v>
      </c>
      <c r="F855" s="25">
        <f>('Raw Price Data'!F855-'Raw Price Data'!F854)/'Raw Price Data'!F854</f>
        <v>-4.759714461724034E-3</v>
      </c>
    </row>
    <row r="856" spans="1:6" ht="15" customHeight="1" x14ac:dyDescent="0.3">
      <c r="A856" s="19">
        <v>44662</v>
      </c>
      <c r="B856" s="26">
        <f>('Raw Price Data'!B856-'Raw Price Data'!B855)/'Raw Price Data'!B855</f>
        <v>8.530380125710977E-3</v>
      </c>
      <c r="C856" s="26">
        <f>('Raw Price Data'!C856-'Raw Price Data'!C855)/'Raw Price Data'!C855</f>
        <v>-1.349097107645204E-3</v>
      </c>
      <c r="D856" s="26">
        <f>('Raw Price Data'!D856-'Raw Price Data'!D855)/'Raw Price Data'!D855</f>
        <v>-1.6019656019655975E-2</v>
      </c>
      <c r="E856" s="26">
        <f>('Raw Price Data'!E856-'Raw Price Data'!E855)/'Raw Price Data'!E855</f>
        <v>-1.5040784572587099E-2</v>
      </c>
      <c r="F856" s="26">
        <f>('Raw Price Data'!F856-'Raw Price Data'!F855)/'Raw Price Data'!F855</f>
        <v>-3.4327293256073798E-3</v>
      </c>
    </row>
    <row r="857" spans="1:6" ht="15" customHeight="1" x14ac:dyDescent="0.3">
      <c r="A857" s="21">
        <v>44663</v>
      </c>
      <c r="B857" s="25">
        <f>('Raw Price Data'!B857-'Raw Price Data'!B856)/'Raw Price Data'!B856</f>
        <v>4.2365336103279479E-2</v>
      </c>
      <c r="C857" s="25">
        <f>('Raw Price Data'!C857-'Raw Price Data'!C856)/'Raw Price Data'!C856</f>
        <v>-9.8854456665601088E-3</v>
      </c>
      <c r="D857" s="25">
        <f>('Raw Price Data'!D857-'Raw Price Data'!D856)/'Raw Price Data'!D856</f>
        <v>-1.4232920495405626E-2</v>
      </c>
      <c r="E857" s="25">
        <f>('Raw Price Data'!E857-'Raw Price Data'!E856)/'Raw Price Data'!E856</f>
        <v>-1.0986117759693709E-2</v>
      </c>
      <c r="F857" s="25">
        <f>('Raw Price Data'!F857-'Raw Price Data'!F856)/'Raw Price Data'!F856</f>
        <v>-9.9807304620552397E-3</v>
      </c>
    </row>
    <row r="858" spans="1:6" ht="15" customHeight="1" x14ac:dyDescent="0.3">
      <c r="A858" s="19">
        <v>44664</v>
      </c>
      <c r="B858" s="26">
        <f>('Raw Price Data'!B858-'Raw Price Data'!B857)/'Raw Price Data'!B857</f>
        <v>-2.2492704107053858E-2</v>
      </c>
      <c r="C858" s="26">
        <f>('Raw Price Data'!C858-'Raw Price Data'!C857)/'Raw Price Data'!C857</f>
        <v>2.2070211667527154E-2</v>
      </c>
      <c r="D858" s="26">
        <f>('Raw Price Data'!D858-'Raw Price Data'!D857)/'Raw Price Data'!D857</f>
        <v>1.286792644004266E-2</v>
      </c>
      <c r="E858" s="26">
        <f>('Raw Price Data'!E858-'Raw Price Data'!E857)/'Raw Price Data'!E857</f>
        <v>9.8013116817115067E-3</v>
      </c>
      <c r="F858" s="26">
        <f>('Raw Price Data'!F858-'Raw Price Data'!F857)/'Raw Price Data'!F857</f>
        <v>-1.7211340502303208E-2</v>
      </c>
    </row>
    <row r="859" spans="1:6" ht="15" customHeight="1" x14ac:dyDescent="0.3">
      <c r="A859" s="21">
        <v>44665</v>
      </c>
      <c r="B859" s="25">
        <f>('Raw Price Data'!B859-'Raw Price Data'!B858)/'Raw Price Data'!B858</f>
        <v>0</v>
      </c>
      <c r="C859" s="25">
        <f>('Raw Price Data'!C859-'Raw Price Data'!C858)/'Raw Price Data'!C858</f>
        <v>2.2594844226363316E-2</v>
      </c>
      <c r="D859" s="25">
        <f>('Raw Price Data'!D859-'Raw Price Data'!D858)/'Raw Price Data'!D858</f>
        <v>-1.9556844895713483E-2</v>
      </c>
      <c r="E859" s="25">
        <f>('Raw Price Data'!E859-'Raw Price Data'!E858)/'Raw Price Data'!E858</f>
        <v>8.5558165172793781E-3</v>
      </c>
      <c r="F859" s="25">
        <f>('Raw Price Data'!F859-'Raw Price Data'!F858)/'Raw Price Data'!F858</f>
        <v>-4.1064877377190679E-3</v>
      </c>
    </row>
    <row r="860" spans="1:6" ht="15" customHeight="1" x14ac:dyDescent="0.3">
      <c r="A860" s="19">
        <v>44666</v>
      </c>
      <c r="B860" s="26">
        <f>('Raw Price Data'!B860-'Raw Price Data'!B859)/'Raw Price Data'!B859</f>
        <v>-1.4417825675380601E-2</v>
      </c>
      <c r="C860" s="26">
        <f>('Raw Price Data'!C860-'Raw Price Data'!C859)/'Raw Price Data'!C859</f>
        <v>-3.7311128948320275E-3</v>
      </c>
      <c r="D860" s="26">
        <f>('Raw Price Data'!D860-'Raw Price Data'!D859)/'Raw Price Data'!D859</f>
        <v>7.1421283542488702E-4</v>
      </c>
      <c r="E860" s="26">
        <f>('Raw Price Data'!E860-'Raw Price Data'!E859)/'Raw Price Data'!E859</f>
        <v>1.4732789962692882E-3</v>
      </c>
      <c r="F860" s="26">
        <f>('Raw Price Data'!F860-'Raw Price Data'!F859)/'Raw Price Data'!F859</f>
        <v>-1.4304840344470573E-2</v>
      </c>
    </row>
    <row r="861" spans="1:6" ht="15" customHeight="1" x14ac:dyDescent="0.3">
      <c r="A861" s="21">
        <v>44669</v>
      </c>
      <c r="B861" s="25">
        <f>('Raw Price Data'!B861-'Raw Price Data'!B860)/'Raw Price Data'!B860</f>
        <v>1.6328038418913986E-2</v>
      </c>
      <c r="C861" s="25">
        <f>('Raw Price Data'!C861-'Raw Price Data'!C860)/'Raw Price Data'!C860</f>
        <v>3.7132131600382527E-2</v>
      </c>
      <c r="D861" s="25">
        <f>('Raw Price Data'!D861-'Raw Price Data'!D860)/'Raw Price Data'!D860</f>
        <v>-1.0144779771615054E-2</v>
      </c>
      <c r="E861" s="25">
        <f>('Raw Price Data'!E861-'Raw Price Data'!E860)/'Raw Price Data'!E860</f>
        <v>3.5876141891090292E-2</v>
      </c>
      <c r="F861" s="25">
        <f>('Raw Price Data'!F861-'Raw Price Data'!F860)/'Raw Price Data'!F860</f>
        <v>-1.2133435070953491E-2</v>
      </c>
    </row>
    <row r="862" spans="1:6" ht="15" customHeight="1" x14ac:dyDescent="0.3">
      <c r="A862" s="19">
        <v>44670</v>
      </c>
      <c r="B862" s="26">
        <f>('Raw Price Data'!B862-'Raw Price Data'!B861)/'Raw Price Data'!B861</f>
        <v>1.1703983716196461E-2</v>
      </c>
      <c r="C862" s="26">
        <f>('Raw Price Data'!C862-'Raw Price Data'!C861)/'Raw Price Data'!C861</f>
        <v>1.1695207525907795E-3</v>
      </c>
      <c r="D862" s="26">
        <f>('Raw Price Data'!D862-'Raw Price Data'!D861)/'Raw Price Data'!D861</f>
        <v>-8.6522119791933791E-3</v>
      </c>
      <c r="E862" s="26">
        <f>('Raw Price Data'!E862-'Raw Price Data'!E861)/'Raw Price Data'!E861</f>
        <v>-2.3134892457108747E-2</v>
      </c>
      <c r="F862" s="26">
        <f>('Raw Price Data'!F862-'Raw Price Data'!F861)/'Raw Price Data'!F861</f>
        <v>3.2558427650254865E-2</v>
      </c>
    </row>
    <row r="863" spans="1:6" ht="15" customHeight="1" x14ac:dyDescent="0.3">
      <c r="A863" s="21">
        <v>44671</v>
      </c>
      <c r="B863" s="25">
        <f>('Raw Price Data'!B863-'Raw Price Data'!B862)/'Raw Price Data'!B862</f>
        <v>1.070633038729618E-2</v>
      </c>
      <c r="C863" s="25">
        <f>('Raw Price Data'!C863-'Raw Price Data'!C862)/'Raw Price Data'!C862</f>
        <v>-3.6749972288303494E-3</v>
      </c>
      <c r="D863" s="25">
        <f>('Raw Price Data'!D863-'Raw Price Data'!D862)/'Raw Price Data'!D862</f>
        <v>-4.4158138085096509E-3</v>
      </c>
      <c r="E863" s="25">
        <f>('Raw Price Data'!E863-'Raw Price Data'!E862)/'Raw Price Data'!E862</f>
        <v>5.8855253593453017E-3</v>
      </c>
      <c r="F863" s="25">
        <f>('Raw Price Data'!F863-'Raw Price Data'!F862)/'Raw Price Data'!F862</f>
        <v>2.7831936837179667E-2</v>
      </c>
    </row>
    <row r="864" spans="1:6" ht="15" customHeight="1" x14ac:dyDescent="0.3">
      <c r="A864" s="19">
        <v>44672</v>
      </c>
      <c r="B864" s="26">
        <f>('Raw Price Data'!B864-'Raw Price Data'!B863)/'Raw Price Data'!B863</f>
        <v>-1.0450732262192513E-2</v>
      </c>
      <c r="C864" s="26">
        <f>('Raw Price Data'!C864-'Raw Price Data'!C863)/'Raw Price Data'!C863</f>
        <v>5.5371080377927115E-3</v>
      </c>
      <c r="D864" s="26">
        <f>('Raw Price Data'!D864-'Raw Price Data'!D863)/'Raw Price Data'!D863</f>
        <v>-5.5312043414734603E-3</v>
      </c>
      <c r="E864" s="26">
        <f>('Raw Price Data'!E864-'Raw Price Data'!E863)/'Raw Price Data'!E863</f>
        <v>-2.4639843349340277E-2</v>
      </c>
      <c r="F864" s="26">
        <f>('Raw Price Data'!F864-'Raw Price Data'!F863)/'Raw Price Data'!F863</f>
        <v>2.7306376112230003E-2</v>
      </c>
    </row>
    <row r="865" spans="1:6" ht="15" customHeight="1" x14ac:dyDescent="0.3">
      <c r="A865" s="21">
        <v>44673</v>
      </c>
      <c r="B865" s="25">
        <f>('Raw Price Data'!B865-'Raw Price Data'!B864)/'Raw Price Data'!B864</f>
        <v>-9.9863495940799366E-3</v>
      </c>
      <c r="C865" s="25">
        <f>('Raw Price Data'!C865-'Raw Price Data'!C864)/'Raw Price Data'!C864</f>
        <v>-1.2562236690923009E-2</v>
      </c>
      <c r="D865" s="25">
        <f>('Raw Price Data'!D865-'Raw Price Data'!D864)/'Raw Price Data'!D864</f>
        <v>-5.3520831147025405E-3</v>
      </c>
      <c r="E865" s="25">
        <f>('Raw Price Data'!E865-'Raw Price Data'!E864)/'Raw Price Data'!E864</f>
        <v>1.1137401113740035E-2</v>
      </c>
      <c r="F865" s="25">
        <f>('Raw Price Data'!F865-'Raw Price Data'!F864)/'Raw Price Data'!F864</f>
        <v>-3.1325103218782422E-3</v>
      </c>
    </row>
    <row r="866" spans="1:6" ht="15" customHeight="1" x14ac:dyDescent="0.3">
      <c r="A866" s="19">
        <v>44676</v>
      </c>
      <c r="B866" s="26">
        <f>('Raw Price Data'!B866-'Raw Price Data'!B865)/'Raw Price Data'!B865</f>
        <v>-2.7793904208998636E-2</v>
      </c>
      <c r="C866" s="26">
        <f>('Raw Price Data'!C866-'Raw Price Data'!C865)/'Raw Price Data'!C865</f>
        <v>2.6219843301528063E-2</v>
      </c>
      <c r="D866" s="26">
        <f>('Raw Price Data'!D866-'Raw Price Data'!D865)/'Raw Price Data'!D865</f>
        <v>-4.7478370964340269E-4</v>
      </c>
      <c r="E866" s="26">
        <f>('Raw Price Data'!E866-'Raw Price Data'!E865)/'Raw Price Data'!E865</f>
        <v>1.1322003450965609E-2</v>
      </c>
      <c r="F866" s="26">
        <f>('Raw Price Data'!F866-'Raw Price Data'!F865)/'Raw Price Data'!F865</f>
        <v>-1.2097897637085856E-2</v>
      </c>
    </row>
    <row r="867" spans="1:6" ht="15" customHeight="1" x14ac:dyDescent="0.3">
      <c r="A867" s="21">
        <v>44677</v>
      </c>
      <c r="B867" s="25">
        <f>('Raw Price Data'!B867-'Raw Price Data'!B866)/'Raw Price Data'!B866</f>
        <v>2.396058819138619E-2</v>
      </c>
      <c r="C867" s="25">
        <f>('Raw Price Data'!C867-'Raw Price Data'!C866)/'Raw Price Data'!C866</f>
        <v>1.1473110422388593E-2</v>
      </c>
      <c r="D867" s="25">
        <f>('Raw Price Data'!D867-'Raw Price Data'!D866)/'Raw Price Data'!D866</f>
        <v>4.6445347548424313E-3</v>
      </c>
      <c r="E867" s="25">
        <f>('Raw Price Data'!E867-'Raw Price Data'!E866)/'Raw Price Data'!E866</f>
        <v>3.0383770392184623E-3</v>
      </c>
      <c r="F867" s="25">
        <f>('Raw Price Data'!F867-'Raw Price Data'!F866)/'Raw Price Data'!F866</f>
        <v>6.6468028112947703E-3</v>
      </c>
    </row>
    <row r="868" spans="1:6" ht="15" customHeight="1" x14ac:dyDescent="0.3">
      <c r="A868" s="19">
        <v>44678</v>
      </c>
      <c r="B868" s="26">
        <f>('Raw Price Data'!B868-'Raw Price Data'!B867)/'Raw Price Data'!B867</f>
        <v>7.3625892987315266E-3</v>
      </c>
      <c r="C868" s="26">
        <f>('Raw Price Data'!C868-'Raw Price Data'!C867)/'Raw Price Data'!C867</f>
        <v>-5.6631818446029013E-3</v>
      </c>
      <c r="D868" s="26">
        <f>('Raw Price Data'!D868-'Raw Price Data'!D867)/'Raw Price Data'!D867</f>
        <v>-6.7769897557131186E-3</v>
      </c>
      <c r="E868" s="26">
        <f>('Raw Price Data'!E868-'Raw Price Data'!E867)/'Raw Price Data'!E867</f>
        <v>1.0042874452418683E-2</v>
      </c>
      <c r="F868" s="26">
        <f>('Raw Price Data'!F868-'Raw Price Data'!F867)/'Raw Price Data'!F867</f>
        <v>-1.1310590916214792E-2</v>
      </c>
    </row>
    <row r="869" spans="1:6" ht="15" customHeight="1" x14ac:dyDescent="0.3">
      <c r="A869" s="21">
        <v>44679</v>
      </c>
      <c r="B869" s="25">
        <f>('Raw Price Data'!B869-'Raw Price Data'!B868)/'Raw Price Data'!B868</f>
        <v>-3.2563861350313962E-3</v>
      </c>
      <c r="C869" s="25">
        <f>('Raw Price Data'!C869-'Raw Price Data'!C868)/'Raw Price Data'!C868</f>
        <v>-2.6806964800200729E-3</v>
      </c>
      <c r="D869" s="25">
        <f>('Raw Price Data'!D869-'Raw Price Data'!D868)/'Raw Price Data'!D868</f>
        <v>7.8282026869776252E-3</v>
      </c>
      <c r="E869" s="25">
        <f>('Raw Price Data'!E869-'Raw Price Data'!E868)/'Raw Price Data'!E868</f>
        <v>1.1511753985281455E-2</v>
      </c>
      <c r="F869" s="25">
        <f>('Raw Price Data'!F869-'Raw Price Data'!F868)/'Raw Price Data'!F868</f>
        <v>-2.7759440182765524E-3</v>
      </c>
    </row>
    <row r="870" spans="1:6" ht="15" customHeight="1" x14ac:dyDescent="0.3">
      <c r="A870" s="19">
        <v>44680</v>
      </c>
      <c r="B870" s="26">
        <f>('Raw Price Data'!B870-'Raw Price Data'!B869)/'Raw Price Data'!B869</f>
        <v>1.321330042108315E-2</v>
      </c>
      <c r="C870" s="26">
        <f>('Raw Price Data'!C870-'Raw Price Data'!C869)/'Raw Price Data'!C869</f>
        <v>-1.541566184351561E-2</v>
      </c>
      <c r="D870" s="26">
        <f>('Raw Price Data'!D870-'Raw Price Data'!D869)/'Raw Price Data'!D869</f>
        <v>-7.1376089010180815E-3</v>
      </c>
      <c r="E870" s="26">
        <f>('Raw Price Data'!E870-'Raw Price Data'!E869)/'Raw Price Data'!E869</f>
        <v>9.6245951740182179E-3</v>
      </c>
      <c r="F870" s="26">
        <f>('Raw Price Data'!F870-'Raw Price Data'!F869)/'Raw Price Data'!F869</f>
        <v>-1.0213800088086589E-2</v>
      </c>
    </row>
    <row r="871" spans="1:6" ht="15" customHeight="1" x14ac:dyDescent="0.3">
      <c r="A871" s="21">
        <v>44683</v>
      </c>
      <c r="B871" s="25">
        <f>('Raw Price Data'!B871-'Raw Price Data'!B870)/'Raw Price Data'!B870</f>
        <v>1.0748065348237317E-2</v>
      </c>
      <c r="C871" s="25">
        <f>('Raw Price Data'!C871-'Raw Price Data'!C870)/'Raw Price Data'!C870</f>
        <v>5.2303479244449379E-3</v>
      </c>
      <c r="D871" s="25">
        <f>('Raw Price Data'!D871-'Raw Price Data'!D870)/'Raw Price Data'!D870</f>
        <v>-6.766042922084793E-3</v>
      </c>
      <c r="E871" s="25">
        <f>('Raw Price Data'!E871-'Raw Price Data'!E870)/'Raw Price Data'!E870</f>
        <v>-2.5684467335321235E-2</v>
      </c>
      <c r="F871" s="25">
        <f>('Raw Price Data'!F871-'Raw Price Data'!F870)/'Raw Price Data'!F870</f>
        <v>1.0492897857216287E-2</v>
      </c>
    </row>
    <row r="872" spans="1:6" ht="15" customHeight="1" x14ac:dyDescent="0.3">
      <c r="A872" s="19">
        <v>44684</v>
      </c>
      <c r="B872" s="26">
        <f>('Raw Price Data'!B872-'Raw Price Data'!B871)/'Raw Price Data'!B871</f>
        <v>1.382390472139507E-2</v>
      </c>
      <c r="C872" s="26">
        <f>('Raw Price Data'!C872-'Raw Price Data'!C871)/'Raw Price Data'!C871</f>
        <v>-2.2225418365792976E-2</v>
      </c>
      <c r="D872" s="26">
        <f>('Raw Price Data'!D872-'Raw Price Data'!D871)/'Raw Price Data'!D871</f>
        <v>1.0643959552953093E-3</v>
      </c>
      <c r="E872" s="26">
        <f>('Raw Price Data'!E872-'Raw Price Data'!E871)/'Raw Price Data'!E871</f>
        <v>1.7064292504231329E-2</v>
      </c>
      <c r="F872" s="26">
        <f>('Raw Price Data'!F872-'Raw Price Data'!F871)/'Raw Price Data'!F871</f>
        <v>-8.4942034884799599E-4</v>
      </c>
    </row>
    <row r="873" spans="1:6" ht="15" customHeight="1" x14ac:dyDescent="0.3">
      <c r="A873" s="21">
        <v>44685</v>
      </c>
      <c r="B873" s="25">
        <f>('Raw Price Data'!B873-'Raw Price Data'!B872)/'Raw Price Data'!B872</f>
        <v>-2.2166282078176267E-2</v>
      </c>
      <c r="C873" s="25">
        <f>('Raw Price Data'!C873-'Raw Price Data'!C872)/'Raw Price Data'!C872</f>
        <v>6.4895172664422736E-4</v>
      </c>
      <c r="D873" s="25">
        <f>('Raw Price Data'!D873-'Raw Price Data'!D872)/'Raw Price Data'!D872</f>
        <v>-2.6634768740031851E-2</v>
      </c>
      <c r="E873" s="25">
        <f>('Raw Price Data'!E873-'Raw Price Data'!E872)/'Raw Price Data'!E872</f>
        <v>3.3533179839058923E-2</v>
      </c>
      <c r="F873" s="25">
        <f>('Raw Price Data'!F873-'Raw Price Data'!F872)/'Raw Price Data'!F872</f>
        <v>4.0227399689339522E-3</v>
      </c>
    </row>
    <row r="874" spans="1:6" ht="15" customHeight="1" x14ac:dyDescent="0.3">
      <c r="A874" s="19">
        <v>44686</v>
      </c>
      <c r="B874" s="26">
        <f>('Raw Price Data'!B874-'Raw Price Data'!B873)/'Raw Price Data'!B873</f>
        <v>-9.5823798627002535E-3</v>
      </c>
      <c r="C874" s="26">
        <f>('Raw Price Data'!C874-'Raw Price Data'!C873)/'Raw Price Data'!C873</f>
        <v>-8.5260190581603577E-3</v>
      </c>
      <c r="D874" s="26">
        <f>('Raw Price Data'!D874-'Raw Price Data'!D873)/'Raw Price Data'!D873</f>
        <v>-1.2562127915233007E-2</v>
      </c>
      <c r="E874" s="26">
        <f>('Raw Price Data'!E874-'Raw Price Data'!E873)/'Raw Price Data'!E873</f>
        <v>2.1703648153866585E-2</v>
      </c>
      <c r="F874" s="26">
        <f>('Raw Price Data'!F874-'Raw Price Data'!F873)/'Raw Price Data'!F873</f>
        <v>-6.5258856192983534E-3</v>
      </c>
    </row>
    <row r="875" spans="1:6" ht="15" customHeight="1" x14ac:dyDescent="0.3">
      <c r="A875" s="21">
        <v>44687</v>
      </c>
      <c r="B875" s="25">
        <f>('Raw Price Data'!B875-'Raw Price Data'!B874)/'Raw Price Data'!B874</f>
        <v>3.0324909747291517E-3</v>
      </c>
      <c r="C875" s="25">
        <f>('Raw Price Data'!C875-'Raw Price Data'!C874)/'Raw Price Data'!C874</f>
        <v>1.0596546310832105E-2</v>
      </c>
      <c r="D875" s="25">
        <f>('Raw Price Data'!D875-'Raw Price Data'!D874)/'Raw Price Data'!D874</f>
        <v>-1.0122241274406682E-2</v>
      </c>
      <c r="E875" s="25">
        <f>('Raw Price Data'!E875-'Raw Price Data'!E874)/'Raw Price Data'!E874</f>
        <v>-4.447130952894957E-3</v>
      </c>
      <c r="F875" s="25">
        <f>('Raw Price Data'!F875-'Raw Price Data'!F874)/'Raw Price Data'!F874</f>
        <v>-1.8916535999622247E-3</v>
      </c>
    </row>
    <row r="876" spans="1:6" ht="15" customHeight="1" x14ac:dyDescent="0.3">
      <c r="A876" s="19">
        <v>44690</v>
      </c>
      <c r="B876" s="26">
        <f>('Raw Price Data'!B876-'Raw Price Data'!B875)/'Raw Price Data'!B875</f>
        <v>5.2548229196661264E-3</v>
      </c>
      <c r="C876" s="26">
        <f>('Raw Price Data'!C876-'Raw Price Data'!C875)/'Raw Price Data'!C875</f>
        <v>1.8985976267529667E-2</v>
      </c>
      <c r="D876" s="26">
        <f>('Raw Price Data'!D876-'Raw Price Data'!D875)/'Raw Price Data'!D875</f>
        <v>-1.5701832811801531E-2</v>
      </c>
      <c r="E876" s="26">
        <f>('Raw Price Data'!E876-'Raw Price Data'!E875)/'Raw Price Data'!E875</f>
        <v>3.764420157862771E-2</v>
      </c>
      <c r="F876" s="26">
        <f>('Raw Price Data'!F876-'Raw Price Data'!F875)/'Raw Price Data'!F875</f>
        <v>-2.0198876474433386E-2</v>
      </c>
    </row>
    <row r="877" spans="1:6" ht="15" customHeight="1" x14ac:dyDescent="0.3">
      <c r="A877" s="21">
        <v>44691</v>
      </c>
      <c r="B877" s="25">
        <f>('Raw Price Data'!B877-'Raw Price Data'!B876)/'Raw Price Data'!B876</f>
        <v>1.3533834586466066E-2</v>
      </c>
      <c r="C877" s="25">
        <f>('Raw Price Data'!C877-'Raw Price Data'!C876)/'Raw Price Data'!C876</f>
        <v>1.4473851365657351E-2</v>
      </c>
      <c r="D877" s="25">
        <f>('Raw Price Data'!D877-'Raw Price Data'!D876)/'Raw Price Data'!D876</f>
        <v>-3.2358785126312415E-3</v>
      </c>
      <c r="E877" s="25">
        <f>('Raw Price Data'!E877-'Raw Price Data'!E876)/'Raw Price Data'!E876</f>
        <v>5.1408509571178561E-3</v>
      </c>
      <c r="F877" s="25">
        <f>('Raw Price Data'!F877-'Raw Price Data'!F876)/'Raw Price Data'!F876</f>
        <v>-7.8528291743624481E-4</v>
      </c>
    </row>
    <row r="878" spans="1:6" ht="15" customHeight="1" x14ac:dyDescent="0.3">
      <c r="A878" s="19">
        <v>44692</v>
      </c>
      <c r="B878" s="26">
        <f>('Raw Price Data'!B878-'Raw Price Data'!B877)/'Raw Price Data'!B877</f>
        <v>-1.3635721350854731E-2</v>
      </c>
      <c r="C878" s="26">
        <f>('Raw Price Data'!C878-'Raw Price Data'!C877)/'Raw Price Data'!C877</f>
        <v>-1.5694917518198439E-3</v>
      </c>
      <c r="D878" s="26">
        <f>('Raw Price Data'!D878-'Raw Price Data'!D877)/'Raw Price Data'!D877</f>
        <v>-1.1163002619888415E-2</v>
      </c>
      <c r="E878" s="26">
        <f>('Raw Price Data'!E878-'Raw Price Data'!E877)/'Raw Price Data'!E877</f>
        <v>2.2641274065449676E-2</v>
      </c>
      <c r="F878" s="26">
        <f>('Raw Price Data'!F878-'Raw Price Data'!F877)/'Raw Price Data'!F877</f>
        <v>-3.1897351902363371E-3</v>
      </c>
    </row>
    <row r="879" spans="1:6" ht="15" customHeight="1" x14ac:dyDescent="0.3">
      <c r="A879" s="21">
        <v>44693</v>
      </c>
      <c r="B879" s="25">
        <f>('Raw Price Data'!B879-'Raw Price Data'!B878)/'Raw Price Data'!B878</f>
        <v>2.0772150992048708E-3</v>
      </c>
      <c r="C879" s="25">
        <f>('Raw Price Data'!C879-'Raw Price Data'!C878)/'Raw Price Data'!C878</f>
        <v>-1.1915114217866818E-2</v>
      </c>
      <c r="D879" s="25">
        <f>('Raw Price Data'!D879-'Raw Price Data'!D878)/'Raw Price Data'!D878</f>
        <v>-1.3938486349498997E-2</v>
      </c>
      <c r="E879" s="25">
        <f>('Raw Price Data'!E879-'Raw Price Data'!E878)/'Raw Price Data'!E878</f>
        <v>1.3377518449996918E-2</v>
      </c>
      <c r="F879" s="25">
        <f>('Raw Price Data'!F879-'Raw Price Data'!F878)/'Raw Price Data'!F878</f>
        <v>5.0814077534986025E-3</v>
      </c>
    </row>
    <row r="880" spans="1:6" ht="15" customHeight="1" x14ac:dyDescent="0.3">
      <c r="A880" s="19">
        <v>44694</v>
      </c>
      <c r="B880" s="26">
        <f>('Raw Price Data'!B880-'Raw Price Data'!B879)/'Raw Price Data'!B879</f>
        <v>3.0879199428162925E-2</v>
      </c>
      <c r="C880" s="26">
        <f>('Raw Price Data'!C880-'Raw Price Data'!C879)/'Raw Price Data'!C879</f>
        <v>-4.6965837642060698E-3</v>
      </c>
      <c r="D880" s="26">
        <f>('Raw Price Data'!D880-'Raw Price Data'!D879)/'Raw Price Data'!D879</f>
        <v>1.6413551401869172E-2</v>
      </c>
      <c r="E880" s="26">
        <f>('Raw Price Data'!E880-'Raw Price Data'!E879)/'Raw Price Data'!E879</f>
        <v>2.774601263918143E-2</v>
      </c>
      <c r="F880" s="26">
        <f>('Raw Price Data'!F880-'Raw Price Data'!F879)/'Raw Price Data'!F879</f>
        <v>-4.972326200543776E-3</v>
      </c>
    </row>
    <row r="881" spans="1:6" ht="15" customHeight="1" x14ac:dyDescent="0.3">
      <c r="A881" s="21">
        <v>44697</v>
      </c>
      <c r="B881" s="25">
        <f>('Raw Price Data'!B881-'Raw Price Data'!B880)/'Raw Price Data'!B880</f>
        <v>9.9154070170573202E-3</v>
      </c>
      <c r="C881" s="25">
        <f>('Raw Price Data'!C881-'Raw Price Data'!C880)/'Raw Price Data'!C880</f>
        <v>3.0608080533252275E-4</v>
      </c>
      <c r="D881" s="25">
        <f>('Raw Price Data'!D881-'Raw Price Data'!D880)/'Raw Price Data'!D880</f>
        <v>3.3159013849778811E-2</v>
      </c>
      <c r="E881" s="25">
        <f>('Raw Price Data'!E881-'Raw Price Data'!E880)/'Raw Price Data'!E880</f>
        <v>-2.9612711798235263E-2</v>
      </c>
      <c r="F881" s="25">
        <f>('Raw Price Data'!F881-'Raw Price Data'!F880)/'Raw Price Data'!F880</f>
        <v>-1.0915776301414626E-2</v>
      </c>
    </row>
    <row r="882" spans="1:6" ht="15" customHeight="1" x14ac:dyDescent="0.3">
      <c r="A882" s="19">
        <v>44698</v>
      </c>
      <c r="B882" s="26">
        <f>('Raw Price Data'!B882-'Raw Price Data'!B881)/'Raw Price Data'!B881</f>
        <v>1.235839340885673E-2</v>
      </c>
      <c r="C882" s="26">
        <f>('Raw Price Data'!C882-'Raw Price Data'!C881)/'Raw Price Data'!C881</f>
        <v>9.2051133852377575E-3</v>
      </c>
      <c r="D882" s="26">
        <f>('Raw Price Data'!D882-'Raw Price Data'!D881)/'Raw Price Data'!D881</f>
        <v>1.6075203025920495E-2</v>
      </c>
      <c r="E882" s="26">
        <f>('Raw Price Data'!E882-'Raw Price Data'!E881)/'Raw Price Data'!E881</f>
        <v>-1.4523948421878511E-2</v>
      </c>
      <c r="F882" s="26">
        <f>('Raw Price Data'!F882-'Raw Price Data'!F881)/'Raw Price Data'!F881</f>
        <v>1.2439927418238397E-3</v>
      </c>
    </row>
    <row r="883" spans="1:6" ht="15" customHeight="1" x14ac:dyDescent="0.3">
      <c r="A883" s="21">
        <v>44699</v>
      </c>
      <c r="B883" s="25">
        <f>('Raw Price Data'!B883-'Raw Price Data'!B882)/'Raw Price Data'!B882</f>
        <v>6.7819599864491883E-5</v>
      </c>
      <c r="C883" s="25">
        <f>('Raw Price Data'!C883-'Raw Price Data'!C882)/'Raw Price Data'!C882</f>
        <v>-9.432770455215244E-3</v>
      </c>
      <c r="D883" s="25">
        <f>('Raw Price Data'!D883-'Raw Price Data'!D882)/'Raw Price Data'!D882</f>
        <v>5.0911479717523781E-3</v>
      </c>
      <c r="E883" s="25">
        <f>('Raw Price Data'!E883-'Raw Price Data'!E882)/'Raw Price Data'!E882</f>
        <v>1.0390087570679198E-2</v>
      </c>
      <c r="F883" s="25">
        <f>('Raw Price Data'!F883-'Raw Price Data'!F882)/'Raw Price Data'!F882</f>
        <v>1.6915787704283671E-2</v>
      </c>
    </row>
    <row r="884" spans="1:6" ht="15" customHeight="1" x14ac:dyDescent="0.3">
      <c r="A884" s="19">
        <v>44700</v>
      </c>
      <c r="B884" s="26">
        <f>('Raw Price Data'!B884-'Raw Price Data'!B883)/'Raw Price Data'!B883</f>
        <v>1.0986030109860332E-2</v>
      </c>
      <c r="C884" s="26">
        <f>('Raw Price Data'!C884-'Raw Price Data'!C883)/'Raw Price Data'!C883</f>
        <v>-1.6460485482294031E-2</v>
      </c>
      <c r="D884" s="26">
        <f>('Raw Price Data'!D884-'Raw Price Data'!D883)/'Raw Price Data'!D883</f>
        <v>1.808278867102393E-2</v>
      </c>
      <c r="E884" s="26">
        <f>('Raw Price Data'!E884-'Raw Price Data'!E883)/'Raw Price Data'!E883</f>
        <v>-4.0405672956483089E-3</v>
      </c>
      <c r="F884" s="26">
        <f>('Raw Price Data'!F884-'Raw Price Data'!F883)/'Raw Price Data'!F883</f>
        <v>-1.2723062259328121E-3</v>
      </c>
    </row>
    <row r="885" spans="1:6" ht="15" customHeight="1" x14ac:dyDescent="0.3">
      <c r="A885" s="21">
        <v>44701</v>
      </c>
      <c r="B885" s="25">
        <f>('Raw Price Data'!B885-'Raw Price Data'!B884)/'Raw Price Data'!B884</f>
        <v>2.5288435739200307E-2</v>
      </c>
      <c r="C885" s="25">
        <f>('Raw Price Data'!C885-'Raw Price Data'!C884)/'Raw Price Data'!C884</f>
        <v>3.6480260029910592E-3</v>
      </c>
      <c r="D885" s="25">
        <f>('Raw Price Data'!D885-'Raw Price Data'!D884)/'Raw Price Data'!D884</f>
        <v>5.3498823025893436E-3</v>
      </c>
      <c r="E885" s="25">
        <f>('Raw Price Data'!E885-'Raw Price Data'!E884)/'Raw Price Data'!E884</f>
        <v>-6.389711550164376E-3</v>
      </c>
      <c r="F885" s="25">
        <f>('Raw Price Data'!F885-'Raw Price Data'!F884)/'Raw Price Data'!F884</f>
        <v>2.0566195905028534E-2</v>
      </c>
    </row>
    <row r="886" spans="1:6" ht="15" customHeight="1" x14ac:dyDescent="0.3">
      <c r="A886" s="19">
        <v>44704</v>
      </c>
      <c r="B886" s="26">
        <f>('Raw Price Data'!B886-'Raw Price Data'!B885)/'Raw Price Data'!B885</f>
        <v>1.8318613019300042E-3</v>
      </c>
      <c r="C886" s="26">
        <f>('Raw Price Data'!C886-'Raw Price Data'!C885)/'Raw Price Data'!C885</f>
        <v>2.456481856314759E-2</v>
      </c>
      <c r="D886" s="26">
        <f>('Raw Price Data'!D886-'Raw Price Data'!D885)/'Raw Price Data'!D885</f>
        <v>-3.7249893571732048E-3</v>
      </c>
      <c r="E886" s="26">
        <f>('Raw Price Data'!E886-'Raw Price Data'!E885)/'Raw Price Data'!E885</f>
        <v>2.8887573239695475E-2</v>
      </c>
      <c r="F886" s="26">
        <f>('Raw Price Data'!F886-'Raw Price Data'!F885)/'Raw Price Data'!F885</f>
        <v>-2.8009814672796878E-2</v>
      </c>
    </row>
    <row r="887" spans="1:6" ht="15" customHeight="1" x14ac:dyDescent="0.3">
      <c r="A887" s="21">
        <v>44705</v>
      </c>
      <c r="B887" s="25">
        <f>('Raw Price Data'!B887-'Raw Price Data'!B886)/'Raw Price Data'!B886</f>
        <v>1.7240253379481582E-2</v>
      </c>
      <c r="C887" s="25">
        <f>('Raw Price Data'!C887-'Raw Price Data'!C886)/'Raw Price Data'!C886</f>
        <v>3.3618319840609326E-2</v>
      </c>
      <c r="D887" s="25">
        <f>('Raw Price Data'!D887-'Raw Price Data'!D886)/'Raw Price Data'!D886</f>
        <v>2.1899369725456499E-3</v>
      </c>
      <c r="E887" s="25">
        <f>('Raw Price Data'!E887-'Raw Price Data'!E886)/'Raw Price Data'!E886</f>
        <v>-1.0119449184491492E-2</v>
      </c>
      <c r="F887" s="25">
        <f>('Raw Price Data'!F887-'Raw Price Data'!F886)/'Raw Price Data'!F886</f>
        <v>-9.4675042328691908E-3</v>
      </c>
    </row>
    <row r="888" spans="1:6" ht="15" customHeight="1" x14ac:dyDescent="0.3">
      <c r="A888" s="19">
        <v>44706</v>
      </c>
      <c r="B888" s="26">
        <f>('Raw Price Data'!B888-'Raw Price Data'!B887)/'Raw Price Data'!B887</f>
        <v>-1.1812287346729173E-2</v>
      </c>
      <c r="C888" s="26">
        <f>('Raw Price Data'!C888-'Raw Price Data'!C887)/'Raw Price Data'!C887</f>
        <v>1.4591059925824757E-2</v>
      </c>
      <c r="D888" s="26">
        <f>('Raw Price Data'!D888-'Raw Price Data'!D887)/'Raw Price Data'!D887</f>
        <v>-4.9032670681660052E-3</v>
      </c>
      <c r="E888" s="26">
        <f>('Raw Price Data'!E888-'Raw Price Data'!E887)/'Raw Price Data'!E887</f>
        <v>6.3141436818472925E-3</v>
      </c>
      <c r="F888" s="26">
        <f>('Raw Price Data'!F888-'Raw Price Data'!F887)/'Raw Price Data'!F887</f>
        <v>-2.6952771261622745E-3</v>
      </c>
    </row>
    <row r="889" spans="1:6" ht="15" customHeight="1" x14ac:dyDescent="0.3">
      <c r="A889" s="21">
        <v>44707</v>
      </c>
      <c r="B889" s="25">
        <f>('Raw Price Data'!B889-'Raw Price Data'!B888)/'Raw Price Data'!B888</f>
        <v>8.5103618527902439E-3</v>
      </c>
      <c r="C889" s="25">
        <f>('Raw Price Data'!C889-'Raw Price Data'!C888)/'Raw Price Data'!C888</f>
        <v>-1.6874288554342386E-2</v>
      </c>
      <c r="D889" s="25">
        <f>('Raw Price Data'!D889-'Raw Price Data'!D888)/'Raw Price Data'!D888</f>
        <v>-3.4331315944512858E-2</v>
      </c>
      <c r="E889" s="25">
        <f>('Raw Price Data'!E889-'Raw Price Data'!E888)/'Raw Price Data'!E888</f>
        <v>7.5891878971376262E-3</v>
      </c>
      <c r="F889" s="25">
        <f>('Raw Price Data'!F889-'Raw Price Data'!F888)/'Raw Price Data'!F888</f>
        <v>-1.4756746124631417E-2</v>
      </c>
    </row>
    <row r="890" spans="1:6" ht="15" customHeight="1" x14ac:dyDescent="0.3">
      <c r="A890" s="19">
        <v>44708</v>
      </c>
      <c r="B890" s="26">
        <f>('Raw Price Data'!B890-'Raw Price Data'!B889)/'Raw Price Data'!B889</f>
        <v>1.2818861118268363E-2</v>
      </c>
      <c r="C890" s="26">
        <f>('Raw Price Data'!C890-'Raw Price Data'!C889)/'Raw Price Data'!C889</f>
        <v>2.5440105674284959E-2</v>
      </c>
      <c r="D890" s="26">
        <f>('Raw Price Data'!D890-'Raw Price Data'!D889)/'Raw Price Data'!D889</f>
        <v>-1.2867443150305167E-2</v>
      </c>
      <c r="E890" s="26">
        <f>('Raw Price Data'!E890-'Raw Price Data'!E889)/'Raw Price Data'!E889</f>
        <v>-3.7956666139489941E-3</v>
      </c>
      <c r="F890" s="26">
        <f>('Raw Price Data'!F890-'Raw Price Data'!F889)/'Raw Price Data'!F889</f>
        <v>-3.0690793591781368E-2</v>
      </c>
    </row>
    <row r="891" spans="1:6" ht="15" customHeight="1" x14ac:dyDescent="0.3">
      <c r="A891" s="21">
        <v>44711</v>
      </c>
      <c r="B891" s="25">
        <f>('Raw Price Data'!B891-'Raw Price Data'!B890)/'Raw Price Data'!B890</f>
        <v>-1.0048972842332788E-2</v>
      </c>
      <c r="C891" s="25">
        <f>('Raw Price Data'!C891-'Raw Price Data'!C890)/'Raw Price Data'!C890</f>
        <v>-1.4320814879016541E-2</v>
      </c>
      <c r="D891" s="25">
        <f>('Raw Price Data'!D891-'Raw Price Data'!D890)/'Raw Price Data'!D890</f>
        <v>-1.2641869873019441E-2</v>
      </c>
      <c r="E891" s="25">
        <f>('Raw Price Data'!E891-'Raw Price Data'!E890)/'Raw Price Data'!E890</f>
        <v>-4.3240990633433916E-2</v>
      </c>
      <c r="F891" s="25">
        <f>('Raw Price Data'!F891-'Raw Price Data'!F890)/'Raw Price Data'!F890</f>
        <v>9.0456718368225376E-4</v>
      </c>
    </row>
    <row r="892" spans="1:6" ht="15" customHeight="1" x14ac:dyDescent="0.3">
      <c r="A892" s="19">
        <v>44712</v>
      </c>
      <c r="B892" s="26">
        <f>('Raw Price Data'!B892-'Raw Price Data'!B891)/'Raw Price Data'!B891</f>
        <v>1.5483456472855744E-2</v>
      </c>
      <c r="C892" s="26">
        <f>('Raw Price Data'!C892-'Raw Price Data'!C891)/'Raw Price Data'!C891</f>
        <v>-1.2996127783155778E-2</v>
      </c>
      <c r="D892" s="26">
        <f>('Raw Price Data'!D892-'Raw Price Data'!D891)/'Raw Price Data'!D891</f>
        <v>8.0236726796790343E-3</v>
      </c>
      <c r="E892" s="26">
        <f>('Raw Price Data'!E892-'Raw Price Data'!E891)/'Raw Price Data'!E891</f>
        <v>-3.4700184597515234E-2</v>
      </c>
      <c r="F892" s="26">
        <f>('Raw Price Data'!F892-'Raw Price Data'!F891)/'Raw Price Data'!F891</f>
        <v>-1.0923689361341341E-2</v>
      </c>
    </row>
    <row r="893" spans="1:6" ht="15" customHeight="1" x14ac:dyDescent="0.3">
      <c r="A893" s="21">
        <v>44713</v>
      </c>
      <c r="B893" s="25">
        <f>('Raw Price Data'!B893-'Raw Price Data'!B892)/'Raw Price Data'!B892</f>
        <v>-8.9839301531065164E-3</v>
      </c>
      <c r="C893" s="25">
        <f>('Raw Price Data'!C893-'Raw Price Data'!C892)/'Raw Price Data'!C892</f>
        <v>8.1406468381433738E-3</v>
      </c>
      <c r="D893" s="25">
        <f>('Raw Price Data'!D893-'Raw Price Data'!D892)/'Raw Price Data'!D892</f>
        <v>-7.2259229987578907E-3</v>
      </c>
      <c r="E893" s="25">
        <f>('Raw Price Data'!E893-'Raw Price Data'!E892)/'Raw Price Data'!E892</f>
        <v>-4.4262999570262194E-3</v>
      </c>
      <c r="F893" s="25">
        <f>('Raw Price Data'!F893-'Raw Price Data'!F892)/'Raw Price Data'!F892</f>
        <v>-8.751605762386018E-3</v>
      </c>
    </row>
    <row r="894" spans="1:6" ht="15" customHeight="1" x14ac:dyDescent="0.3">
      <c r="A894" s="19">
        <v>44714</v>
      </c>
      <c r="B894" s="26">
        <f>('Raw Price Data'!B894-'Raw Price Data'!B893)/'Raw Price Data'!B893</f>
        <v>-1.0852911133809939E-2</v>
      </c>
      <c r="C894" s="26">
        <f>('Raw Price Data'!C894-'Raw Price Data'!C893)/'Raw Price Data'!C893</f>
        <v>-2.3754509708541045E-2</v>
      </c>
      <c r="D894" s="26">
        <f>('Raw Price Data'!D894-'Raw Price Data'!D893)/'Raw Price Data'!D893</f>
        <v>-2.791993631297637E-2</v>
      </c>
      <c r="E894" s="26">
        <f>('Raw Price Data'!E894-'Raw Price Data'!E893)/'Raw Price Data'!E893</f>
        <v>4.2085725385246256E-2</v>
      </c>
      <c r="F894" s="26">
        <f>('Raw Price Data'!F894-'Raw Price Data'!F893)/'Raw Price Data'!F893</f>
        <v>-1.2528279612454586E-3</v>
      </c>
    </row>
    <row r="895" spans="1:6" ht="15" customHeight="1" x14ac:dyDescent="0.3">
      <c r="A895" s="21">
        <v>44715</v>
      </c>
      <c r="B895" s="25">
        <f>('Raw Price Data'!B895-'Raw Price Data'!B894)/'Raw Price Data'!B894</f>
        <v>2.5816445075507965E-4</v>
      </c>
      <c r="C895" s="25">
        <f>('Raw Price Data'!C895-'Raw Price Data'!C894)/'Raw Price Data'!C894</f>
        <v>1.4732383839222695E-2</v>
      </c>
      <c r="D895" s="25">
        <f>('Raw Price Data'!D895-'Raw Price Data'!D894)/'Raw Price Data'!D894</f>
        <v>-5.8496636443351305E-5</v>
      </c>
      <c r="E895" s="25">
        <f>('Raw Price Data'!E895-'Raw Price Data'!E894)/'Raw Price Data'!E894</f>
        <v>-1.3130643691491955E-2</v>
      </c>
      <c r="F895" s="25">
        <f>('Raw Price Data'!F895-'Raw Price Data'!F894)/'Raw Price Data'!F894</f>
        <v>-2.1124626812404302E-3</v>
      </c>
    </row>
    <row r="896" spans="1:6" ht="15" customHeight="1" x14ac:dyDescent="0.3">
      <c r="A896" s="19">
        <v>44718</v>
      </c>
      <c r="B896" s="26">
        <f>('Raw Price Data'!B896-'Raw Price Data'!B895)/'Raw Price Data'!B895</f>
        <v>2.710027100271014E-2</v>
      </c>
      <c r="C896" s="26">
        <f>('Raw Price Data'!C896-'Raw Price Data'!C895)/'Raw Price Data'!C895</f>
        <v>-3.4372979564451195E-4</v>
      </c>
      <c r="D896" s="26">
        <f>('Raw Price Data'!D896-'Raw Price Data'!D895)/'Raw Price Data'!D895</f>
        <v>4.9140049140049338E-3</v>
      </c>
      <c r="E896" s="26">
        <f>('Raw Price Data'!E896-'Raw Price Data'!E895)/'Raw Price Data'!E895</f>
        <v>2.0986358866717533E-5</v>
      </c>
      <c r="F896" s="26">
        <f>('Raw Price Data'!F896-'Raw Price Data'!F895)/'Raw Price Data'!F895</f>
        <v>-6.6932050500294214E-3</v>
      </c>
    </row>
    <row r="897" spans="1:6" ht="15" customHeight="1" x14ac:dyDescent="0.3">
      <c r="A897" s="21">
        <v>44719</v>
      </c>
      <c r="B897" s="25">
        <f>('Raw Price Data'!B897-'Raw Price Data'!B896)/'Raw Price Data'!B896</f>
        <v>4.6488252293000422E-3</v>
      </c>
      <c r="C897" s="25">
        <f>('Raw Price Data'!C897-'Raw Price Data'!C896)/'Raw Price Data'!C896</f>
        <v>7.6301505562968684E-3</v>
      </c>
      <c r="D897" s="25">
        <f>('Raw Price Data'!D897-'Raw Price Data'!D896)/'Raw Price Data'!D896</f>
        <v>1.2516008848527219E-2</v>
      </c>
      <c r="E897" s="25">
        <f>('Raw Price Data'!E897-'Raw Price Data'!E896)/'Raw Price Data'!E896</f>
        <v>3.9747329541877395E-2</v>
      </c>
      <c r="F897" s="25">
        <f>('Raw Price Data'!F897-'Raw Price Data'!F896)/'Raw Price Data'!F896</f>
        <v>7.3806368569041087E-3</v>
      </c>
    </row>
    <row r="898" spans="1:6" ht="15" customHeight="1" x14ac:dyDescent="0.3">
      <c r="A898" s="19">
        <v>44720</v>
      </c>
      <c r="B898" s="26">
        <f>('Raw Price Data'!B898-'Raw Price Data'!B897)/'Raw Price Data'!B897</f>
        <v>1.3256628314157108E-2</v>
      </c>
      <c r="C898" s="26">
        <f>('Raw Price Data'!C898-'Raw Price Data'!C897)/'Raw Price Data'!C897</f>
        <v>-1.3926014998496798E-2</v>
      </c>
      <c r="D898" s="26">
        <f>('Raw Price Data'!D898-'Raw Price Data'!D897)/'Raw Price Data'!D897</f>
        <v>6.1519001897314615E-3</v>
      </c>
      <c r="E898" s="26">
        <f>('Raw Price Data'!E898-'Raw Price Data'!E897)/'Raw Price Data'!E897</f>
        <v>1.1908366131800018E-3</v>
      </c>
      <c r="F898" s="26">
        <f>('Raw Price Data'!F898-'Raw Price Data'!F897)/'Raw Price Data'!F897</f>
        <v>-8.5518217049903814E-3</v>
      </c>
    </row>
    <row r="899" spans="1:6" ht="15" customHeight="1" x14ac:dyDescent="0.3">
      <c r="A899" s="21">
        <v>44721</v>
      </c>
      <c r="B899" s="25">
        <f>('Raw Price Data'!B899-'Raw Price Data'!B898)/'Raw Price Data'!B898</f>
        <v>-9.8123920019748418E-3</v>
      </c>
      <c r="C899" s="25">
        <f>('Raw Price Data'!C899-'Raw Price Data'!C898)/'Raw Price Data'!C898</f>
        <v>1.5523421085156279E-2</v>
      </c>
      <c r="D899" s="25">
        <f>('Raw Price Data'!D899-'Raw Price Data'!D898)/'Raw Price Data'!D898</f>
        <v>3.8000000000000034E-2</v>
      </c>
      <c r="E899" s="25">
        <f>('Raw Price Data'!E899-'Raw Price Data'!E898)/'Raw Price Data'!E898</f>
        <v>1.0120151600677328E-2</v>
      </c>
      <c r="F899" s="25">
        <f>('Raw Price Data'!F899-'Raw Price Data'!F898)/'Raw Price Data'!F898</f>
        <v>1.3245697606320458E-2</v>
      </c>
    </row>
    <row r="900" spans="1:6" ht="15" customHeight="1" x14ac:dyDescent="0.3">
      <c r="A900" s="19">
        <v>44722</v>
      </c>
      <c r="B900" s="26">
        <f>('Raw Price Data'!B900-'Raw Price Data'!B899)/'Raw Price Data'!B899</f>
        <v>1.3711436584605725E-3</v>
      </c>
      <c r="C900" s="26">
        <f>('Raw Price Data'!C900-'Raw Price Data'!C899)/'Raw Price Data'!C899</f>
        <v>9.6471370964471108E-3</v>
      </c>
      <c r="D900" s="26">
        <f>('Raw Price Data'!D900-'Raw Price Data'!D899)/'Raw Price Data'!D899</f>
        <v>-1.3267272226809779E-2</v>
      </c>
      <c r="E900" s="26">
        <f>('Raw Price Data'!E900-'Raw Price Data'!E899)/'Raw Price Data'!E899</f>
        <v>6.3465453239133175E-3</v>
      </c>
      <c r="F900" s="26">
        <f>('Raw Price Data'!F900-'Raw Price Data'!F899)/'Raw Price Data'!F899</f>
        <v>1.4238720950976393E-2</v>
      </c>
    </row>
    <row r="901" spans="1:6" ht="15" customHeight="1" x14ac:dyDescent="0.3">
      <c r="A901" s="21">
        <v>44725</v>
      </c>
      <c r="B901" s="25">
        <f>('Raw Price Data'!B901-'Raw Price Data'!B900)/'Raw Price Data'!B900</f>
        <v>-1.5995518765170805E-2</v>
      </c>
      <c r="C901" s="25">
        <f>('Raw Price Data'!C901-'Raw Price Data'!C900)/'Raw Price Data'!C900</f>
        <v>-5.8181584403478107E-3</v>
      </c>
      <c r="D901" s="25">
        <f>('Raw Price Data'!D901-'Raw Price Data'!D900)/'Raw Price Data'!D900</f>
        <v>2.1144833742468155E-2</v>
      </c>
      <c r="E901" s="25">
        <f>('Raw Price Data'!E901-'Raw Price Data'!E900)/'Raw Price Data'!E900</f>
        <v>-1.5349833412660656E-2</v>
      </c>
      <c r="F901" s="25">
        <f>('Raw Price Data'!F901-'Raw Price Data'!F900)/'Raw Price Data'!F900</f>
        <v>-1.7587599458141114E-2</v>
      </c>
    </row>
    <row r="902" spans="1:6" ht="15" customHeight="1" x14ac:dyDescent="0.3">
      <c r="A902" s="19">
        <v>44726</v>
      </c>
      <c r="B902" s="26">
        <f>('Raw Price Data'!B902-'Raw Price Data'!B901)/'Raw Price Data'!B901</f>
        <v>-7.5901328273244063E-3</v>
      </c>
      <c r="C902" s="26">
        <f>('Raw Price Data'!C902-'Raw Price Data'!C901)/'Raw Price Data'!C901</f>
        <v>1.7273711948526352E-2</v>
      </c>
      <c r="D902" s="26">
        <f>('Raw Price Data'!D902-'Raw Price Data'!D901)/'Raw Price Data'!D901</f>
        <v>1.49155876085887E-2</v>
      </c>
      <c r="E902" s="26">
        <f>('Raw Price Data'!E902-'Raw Price Data'!E901)/'Raw Price Data'!E901</f>
        <v>-1.5730110775428002E-2</v>
      </c>
      <c r="F902" s="26">
        <f>('Raw Price Data'!F902-'Raw Price Data'!F901)/'Raw Price Data'!F901</f>
        <v>-9.5646430582485807E-3</v>
      </c>
    </row>
    <row r="903" spans="1:6" ht="15" customHeight="1" x14ac:dyDescent="0.3">
      <c r="A903" s="21">
        <v>44727</v>
      </c>
      <c r="B903" s="25">
        <f>('Raw Price Data'!B903-'Raw Price Data'!B902)/'Raw Price Data'!B902</f>
        <v>1.1918419375398372E-2</v>
      </c>
      <c r="C903" s="25">
        <f>('Raw Price Data'!C903-'Raw Price Data'!C902)/'Raw Price Data'!C902</f>
        <v>-4.6332567877887303E-2</v>
      </c>
      <c r="D903" s="25">
        <f>('Raw Price Data'!D903-'Raw Price Data'!D902)/'Raw Price Data'!D902</f>
        <v>-9.5822566752799369E-3</v>
      </c>
      <c r="E903" s="25">
        <f>('Raw Price Data'!E903-'Raw Price Data'!E902)/'Raw Price Data'!E902</f>
        <v>-9.0241257238740814E-3</v>
      </c>
      <c r="F903" s="25">
        <f>('Raw Price Data'!F903-'Raw Price Data'!F902)/'Raw Price Data'!F902</f>
        <v>1.082054951388459E-2</v>
      </c>
    </row>
    <row r="904" spans="1:6" ht="15" customHeight="1" x14ac:dyDescent="0.3">
      <c r="A904" s="19">
        <v>44728</v>
      </c>
      <c r="B904" s="26">
        <f>('Raw Price Data'!B904-'Raw Price Data'!B903)/'Raw Price Data'!B903</f>
        <v>-2.5193676387239694E-4</v>
      </c>
      <c r="C904" s="26">
        <f>('Raw Price Data'!C904-'Raw Price Data'!C903)/'Raw Price Data'!C903</f>
        <v>6.9905015830693824E-3</v>
      </c>
      <c r="D904" s="26">
        <f>('Raw Price Data'!D904-'Raw Price Data'!D903)/'Raw Price Data'!D903</f>
        <v>-1.6306120230458908E-3</v>
      </c>
      <c r="E904" s="26">
        <f>('Raw Price Data'!E904-'Raw Price Data'!E903)/'Raw Price Data'!E903</f>
        <v>3.3038737920216616E-4</v>
      </c>
      <c r="F904" s="26">
        <f>('Raw Price Data'!F904-'Raw Price Data'!F903)/'Raw Price Data'!F903</f>
        <v>-1.408090271022585E-2</v>
      </c>
    </row>
    <row r="905" spans="1:6" ht="15" customHeight="1" x14ac:dyDescent="0.3">
      <c r="A905" s="21">
        <v>44729</v>
      </c>
      <c r="B905" s="25">
        <f>('Raw Price Data'!B905-'Raw Price Data'!B904)/'Raw Price Data'!B904</f>
        <v>2.0475020475020478E-2</v>
      </c>
      <c r="C905" s="25">
        <f>('Raw Price Data'!C905-'Raw Price Data'!C904)/'Raw Price Data'!C904</f>
        <v>-1.2990344120007086E-3</v>
      </c>
      <c r="D905" s="25">
        <f>('Raw Price Data'!D905-'Raw Price Data'!D904)/'Raw Price Data'!D904</f>
        <v>-1.1378484320557509E-2</v>
      </c>
      <c r="E905" s="25">
        <f>('Raw Price Data'!E905-'Raw Price Data'!E904)/'Raw Price Data'!E904</f>
        <v>-1.3376269507059736E-2</v>
      </c>
      <c r="F905" s="25">
        <f>('Raw Price Data'!F905-'Raw Price Data'!F904)/'Raw Price Data'!F904</f>
        <v>-6.1826965451883906E-3</v>
      </c>
    </row>
    <row r="906" spans="1:6" ht="15" customHeight="1" x14ac:dyDescent="0.3">
      <c r="A906" s="19">
        <v>44732</v>
      </c>
      <c r="B906" s="26">
        <f>('Raw Price Data'!B906-'Raw Price Data'!B905)/'Raw Price Data'!B905</f>
        <v>-2.5311766884800382E-3</v>
      </c>
      <c r="C906" s="26">
        <f>('Raw Price Data'!C906-'Raw Price Data'!C905)/'Raw Price Data'!C905</f>
        <v>-1.342976918360925E-2</v>
      </c>
      <c r="D906" s="26">
        <f>('Raw Price Data'!D906-'Raw Price Data'!D905)/'Raw Price Data'!D905</f>
        <v>-1.5419351285863821E-3</v>
      </c>
      <c r="E906" s="26">
        <f>('Raw Price Data'!E906-'Raw Price Data'!E905)/'Raw Price Data'!E905</f>
        <v>-8.8710352330737974E-3</v>
      </c>
      <c r="F906" s="26">
        <f>('Raw Price Data'!F906-'Raw Price Data'!F905)/'Raw Price Data'!F905</f>
        <v>2.1446570546998283E-3</v>
      </c>
    </row>
    <row r="907" spans="1:6" ht="15" customHeight="1" x14ac:dyDescent="0.3">
      <c r="A907" s="21">
        <v>44733</v>
      </c>
      <c r="B907" s="25">
        <f>('Raw Price Data'!B907-'Raw Price Data'!B906)/'Raw Price Data'!B906</f>
        <v>-2.4138144457509832E-3</v>
      </c>
      <c r="C907" s="25">
        <f>('Raw Price Data'!C907-'Raw Price Data'!C906)/'Raw Price Data'!C906</f>
        <v>3.7201568680142625E-3</v>
      </c>
      <c r="D907" s="25">
        <f>('Raw Price Data'!D907-'Raw Price Data'!D906)/'Raw Price Data'!D906</f>
        <v>-6.5633445480116799E-3</v>
      </c>
      <c r="E907" s="25">
        <f>('Raw Price Data'!E907-'Raw Price Data'!E906)/'Raw Price Data'!E906</f>
        <v>5.4040361394915677E-3</v>
      </c>
      <c r="F907" s="25">
        <f>('Raw Price Data'!F907-'Raw Price Data'!F906)/'Raw Price Data'!F906</f>
        <v>1.1715630391445653E-2</v>
      </c>
    </row>
    <row r="908" spans="1:6" ht="15" customHeight="1" x14ac:dyDescent="0.3">
      <c r="A908" s="19">
        <v>44734</v>
      </c>
      <c r="B908" s="26">
        <f>('Raw Price Data'!B908-'Raw Price Data'!B907)/'Raw Price Data'!B907</f>
        <v>1.7992306737808696E-2</v>
      </c>
      <c r="C908" s="26">
        <f>('Raw Price Data'!C908-'Raw Price Data'!C907)/'Raw Price Data'!C907</f>
        <v>9.4123355978715569E-3</v>
      </c>
      <c r="D908" s="26">
        <f>('Raw Price Data'!D908-'Raw Price Data'!D907)/'Raw Price Data'!D907</f>
        <v>-6.6067066400177527E-3</v>
      </c>
      <c r="E908" s="26">
        <f>('Raw Price Data'!E908-'Raw Price Data'!E907)/'Raw Price Data'!E907</f>
        <v>2.3137650121777188E-2</v>
      </c>
      <c r="F908" s="26">
        <f>('Raw Price Data'!F908-'Raw Price Data'!F907)/'Raw Price Data'!F907</f>
        <v>1.3666375924762617E-2</v>
      </c>
    </row>
    <row r="909" spans="1:6" ht="15" customHeight="1" x14ac:dyDescent="0.3">
      <c r="A909" s="21">
        <v>44735</v>
      </c>
      <c r="B909" s="25">
        <f>('Raw Price Data'!B909-'Raw Price Data'!B908)/'Raw Price Data'!B908</f>
        <v>-8.6543149683082389E-3</v>
      </c>
      <c r="C909" s="25">
        <f>('Raw Price Data'!C909-'Raw Price Data'!C908)/'Raw Price Data'!C908</f>
        <v>-1.2407893973427071E-2</v>
      </c>
      <c r="D909" s="25">
        <f>('Raw Price Data'!D909-'Raw Price Data'!D908)/'Raw Price Data'!D908</f>
        <v>2.7943888671538001E-4</v>
      </c>
      <c r="E909" s="25">
        <f>('Raw Price Data'!E909-'Raw Price Data'!E908)/'Raw Price Data'!E908</f>
        <v>4.5085163143853829E-2</v>
      </c>
      <c r="F909" s="25">
        <f>('Raw Price Data'!F909-'Raw Price Data'!F908)/'Raw Price Data'!F908</f>
        <v>-1.2619676391371236E-3</v>
      </c>
    </row>
    <row r="910" spans="1:6" ht="15" customHeight="1" x14ac:dyDescent="0.3">
      <c r="A910" s="19">
        <v>44736</v>
      </c>
      <c r="B910" s="26">
        <f>('Raw Price Data'!B910-'Raw Price Data'!B909)/'Raw Price Data'!B909</f>
        <v>-2.0718062215664603E-2</v>
      </c>
      <c r="C910" s="26">
        <f>('Raw Price Data'!C910-'Raw Price Data'!C909)/'Raw Price Data'!C909</f>
        <v>-1.5106754397743677E-3</v>
      </c>
      <c r="D910" s="26">
        <f>('Raw Price Data'!D910-'Raw Price Data'!D909)/'Raw Price Data'!D909</f>
        <v>-1.592356687898086E-2</v>
      </c>
      <c r="E910" s="26">
        <f>('Raw Price Data'!E910-'Raw Price Data'!E909)/'Raw Price Data'!E909</f>
        <v>-1.2979362617079264E-2</v>
      </c>
      <c r="F910" s="26">
        <f>('Raw Price Data'!F910-'Raw Price Data'!F909)/'Raw Price Data'!F909</f>
        <v>6.4896753699112547E-3</v>
      </c>
    </row>
    <row r="911" spans="1:6" ht="15" customHeight="1" x14ac:dyDescent="0.3">
      <c r="A911" s="21">
        <v>44739</v>
      </c>
      <c r="B911" s="25">
        <f>('Raw Price Data'!B911-'Raw Price Data'!B910)/'Raw Price Data'!B910</f>
        <v>1.8331345344968396E-2</v>
      </c>
      <c r="C911" s="25">
        <f>('Raw Price Data'!C911-'Raw Price Data'!C910)/'Raw Price Data'!C910</f>
        <v>-1.3448542514211902E-4</v>
      </c>
      <c r="D911" s="25">
        <f>('Raw Price Data'!D911-'Raw Price Data'!D910)/'Raw Price Data'!D910</f>
        <v>1.811162209731447E-2</v>
      </c>
      <c r="E911" s="25">
        <f>('Raw Price Data'!E911-'Raw Price Data'!E910)/'Raw Price Data'!E910</f>
        <v>5.8488839374527465E-3</v>
      </c>
      <c r="F911" s="25">
        <f>('Raw Price Data'!F911-'Raw Price Data'!F910)/'Raw Price Data'!F910</f>
        <v>4.1033220079050199E-3</v>
      </c>
    </row>
    <row r="912" spans="1:6" ht="15" customHeight="1" x14ac:dyDescent="0.3">
      <c r="A912" s="19">
        <v>44740</v>
      </c>
      <c r="B912" s="26">
        <f>('Raw Price Data'!B912-'Raw Price Data'!B911)/'Raw Price Data'!B911</f>
        <v>6.0415510757659188E-3</v>
      </c>
      <c r="C912" s="26">
        <f>('Raw Price Data'!C912-'Raw Price Data'!C911)/'Raw Price Data'!C911</f>
        <v>7.5237903090218617E-3</v>
      </c>
      <c r="D912" s="26">
        <f>('Raw Price Data'!D912-'Raw Price Data'!D911)/'Raw Price Data'!D911</f>
        <v>1.4220388132946751E-2</v>
      </c>
      <c r="E912" s="26">
        <f>('Raw Price Data'!E912-'Raw Price Data'!E911)/'Raw Price Data'!E911</f>
        <v>-1.8077531645569706E-2</v>
      </c>
      <c r="F912" s="26">
        <f>('Raw Price Data'!F912-'Raw Price Data'!F911)/'Raw Price Data'!F911</f>
        <v>1.881733623356838E-2</v>
      </c>
    </row>
    <row r="913" spans="1:6" ht="15" customHeight="1" x14ac:dyDescent="0.3">
      <c r="A913" s="21">
        <v>44741</v>
      </c>
      <c r="B913" s="25">
        <f>('Raw Price Data'!B913-'Raw Price Data'!B912)/'Raw Price Data'!B912</f>
        <v>-2.9658680066180547E-2</v>
      </c>
      <c r="C913" s="25">
        <f>('Raw Price Data'!C913-'Raw Price Data'!C912)/'Raw Price Data'!C912</f>
        <v>2.223594296251186E-2</v>
      </c>
      <c r="D913" s="25">
        <f>('Raw Price Data'!D913-'Raw Price Data'!D912)/'Raw Price Data'!D912</f>
        <v>-1.0502006928025494E-2</v>
      </c>
      <c r="E913" s="25">
        <f>('Raw Price Data'!E913-'Raw Price Data'!E912)/'Raw Price Data'!E912</f>
        <v>-1.1219433589815883E-2</v>
      </c>
      <c r="F913" s="25">
        <f>('Raw Price Data'!F913-'Raw Price Data'!F912)/'Raw Price Data'!F912</f>
        <v>2.1581240121642869E-4</v>
      </c>
    </row>
    <row r="914" spans="1:6" ht="15" customHeight="1" x14ac:dyDescent="0.3">
      <c r="A914" s="19">
        <v>44742</v>
      </c>
      <c r="B914" s="26">
        <f>('Raw Price Data'!B914-'Raw Price Data'!B913)/'Raw Price Data'!B913</f>
        <v>9.4726870855702991E-4</v>
      </c>
      <c r="C914" s="26">
        <f>('Raw Price Data'!C914-'Raw Price Data'!C913)/'Raw Price Data'!C913</f>
        <v>-7.5908452773516778E-3</v>
      </c>
      <c r="D914" s="26">
        <f>('Raw Price Data'!D914-'Raw Price Data'!D913)/'Raw Price Data'!D913</f>
        <v>1.3947543898644091E-2</v>
      </c>
      <c r="E914" s="26">
        <f>('Raw Price Data'!E914-'Raw Price Data'!E913)/'Raw Price Data'!E913</f>
        <v>-3.2043838741876919E-2</v>
      </c>
      <c r="F914" s="26">
        <f>('Raw Price Data'!F914-'Raw Price Data'!F913)/'Raw Price Data'!F913</f>
        <v>-1.1722634943951522E-3</v>
      </c>
    </row>
    <row r="915" spans="1:6" ht="15" customHeight="1" x14ac:dyDescent="0.3">
      <c r="A915" s="21">
        <v>44743</v>
      </c>
      <c r="B915" s="25">
        <f>('Raw Price Data'!B915-'Raw Price Data'!B914)/'Raw Price Data'!B914</f>
        <v>-5.2996845425867722E-3</v>
      </c>
      <c r="C915" s="25">
        <f>('Raw Price Data'!C915-'Raw Price Data'!C914)/'Raw Price Data'!C914</f>
        <v>2.3826756369976831E-2</v>
      </c>
      <c r="D915" s="25">
        <f>('Raw Price Data'!D915-'Raw Price Data'!D914)/'Raw Price Data'!D914</f>
        <v>-1.6167041157450476E-2</v>
      </c>
      <c r="E915" s="25">
        <f>('Raw Price Data'!E915-'Raw Price Data'!E914)/'Raw Price Data'!E914</f>
        <v>3.310463843757884E-2</v>
      </c>
      <c r="F915" s="25">
        <f>('Raw Price Data'!F915-'Raw Price Data'!F914)/'Raw Price Data'!F914</f>
        <v>-1.8773889273834214E-3</v>
      </c>
    </row>
    <row r="916" spans="1:6" ht="15" customHeight="1" x14ac:dyDescent="0.3">
      <c r="A916" s="19">
        <v>44746</v>
      </c>
      <c r="B916" s="26">
        <f>('Raw Price Data'!B916-'Raw Price Data'!B915)/'Raw Price Data'!B915</f>
        <v>2.4483064823037002E-2</v>
      </c>
      <c r="C916" s="26">
        <f>('Raw Price Data'!C916-'Raw Price Data'!C915)/'Raw Price Data'!C915</f>
        <v>-2.2412698922744362E-2</v>
      </c>
      <c r="D916" s="26">
        <f>('Raw Price Data'!D916-'Raw Price Data'!D915)/'Raw Price Data'!D915</f>
        <v>-2.7684937611408191E-2</v>
      </c>
      <c r="E916" s="26">
        <f>('Raw Price Data'!E916-'Raw Price Data'!E915)/'Raw Price Data'!E915</f>
        <v>-7.5780724805964072E-3</v>
      </c>
      <c r="F916" s="26">
        <f>('Raw Price Data'!F916-'Raw Price Data'!F915)/'Raw Price Data'!F915</f>
        <v>-1.4321031788685722E-2</v>
      </c>
    </row>
    <row r="917" spans="1:6" ht="15" customHeight="1" x14ac:dyDescent="0.3">
      <c r="A917" s="21">
        <v>44747</v>
      </c>
      <c r="B917" s="25">
        <f>('Raw Price Data'!B917-'Raw Price Data'!B916)/'Raw Price Data'!B916</f>
        <v>-9.7820703318475255E-3</v>
      </c>
      <c r="C917" s="25">
        <f>('Raw Price Data'!C917-'Raw Price Data'!C916)/'Raw Price Data'!C916</f>
        <v>5.9000928566144608E-3</v>
      </c>
      <c r="D917" s="25">
        <f>('Raw Price Data'!D917-'Raw Price Data'!D916)/'Raw Price Data'!D916</f>
        <v>5.3852764250930827E-3</v>
      </c>
      <c r="E917" s="25">
        <f>('Raw Price Data'!E917-'Raw Price Data'!E916)/'Raw Price Data'!E916</f>
        <v>1.8617730976866378E-2</v>
      </c>
      <c r="F917" s="25">
        <f>('Raw Price Data'!F917-'Raw Price Data'!F916)/'Raw Price Data'!F916</f>
        <v>-1.4391627331152963E-2</v>
      </c>
    </row>
    <row r="918" spans="1:6" ht="15" customHeight="1" x14ac:dyDescent="0.3">
      <c r="A918" s="19">
        <v>44748</v>
      </c>
      <c r="B918" s="26">
        <f>('Raw Price Data'!B918-'Raw Price Data'!B917)/'Raw Price Data'!B917</f>
        <v>-7.6903838939601709E-3</v>
      </c>
      <c r="C918" s="26">
        <f>('Raw Price Data'!C918-'Raw Price Data'!C917)/'Raw Price Data'!C917</f>
        <v>-2.9735889748470207E-2</v>
      </c>
      <c r="D918" s="26">
        <f>('Raw Price Data'!D918-'Raw Price Data'!D917)/'Raw Price Data'!D917</f>
        <v>9.0033620149295342E-3</v>
      </c>
      <c r="E918" s="26">
        <f>('Raw Price Data'!E918-'Raw Price Data'!E917)/'Raw Price Data'!E917</f>
        <v>-1.9446235692406968E-2</v>
      </c>
      <c r="F918" s="26">
        <f>('Raw Price Data'!F918-'Raw Price Data'!F917)/'Raw Price Data'!F917</f>
        <v>-3.0144869017185032E-2</v>
      </c>
    </row>
    <row r="919" spans="1:6" ht="15" customHeight="1" x14ac:dyDescent="0.3">
      <c r="A919" s="21">
        <v>44749</v>
      </c>
      <c r="B919" s="25">
        <f>('Raw Price Data'!B919-'Raw Price Data'!B918)/'Raw Price Data'!B918</f>
        <v>-1.2349568395186238E-2</v>
      </c>
      <c r="C919" s="25">
        <f>('Raw Price Data'!C919-'Raw Price Data'!C918)/'Raw Price Data'!C918</f>
        <v>1.8607235773042546E-3</v>
      </c>
      <c r="D919" s="25">
        <f>('Raw Price Data'!D919-'Raw Price Data'!D918)/'Raw Price Data'!D918</f>
        <v>-1.1294968091715141E-2</v>
      </c>
      <c r="E919" s="25">
        <f>('Raw Price Data'!E919-'Raw Price Data'!E918)/'Raw Price Data'!E918</f>
        <v>-4.3835672742966326E-2</v>
      </c>
      <c r="F919" s="25">
        <f>('Raw Price Data'!F919-'Raw Price Data'!F918)/'Raw Price Data'!F918</f>
        <v>1.7029350358496367E-2</v>
      </c>
    </row>
    <row r="920" spans="1:6" ht="15" customHeight="1" x14ac:dyDescent="0.3">
      <c r="A920" s="19">
        <v>44750</v>
      </c>
      <c r="B920" s="26">
        <f>('Raw Price Data'!B920-'Raw Price Data'!B919)/'Raw Price Data'!B919</f>
        <v>-1.4290271132376454E-2</v>
      </c>
      <c r="C920" s="26">
        <f>('Raw Price Data'!C920-'Raw Price Data'!C919)/'Raw Price Data'!C919</f>
        <v>1.3337031060911565E-2</v>
      </c>
      <c r="D920" s="26">
        <f>('Raw Price Data'!D920-'Raw Price Data'!D919)/'Raw Price Data'!D919</f>
        <v>8.6822413891586812E-3</v>
      </c>
      <c r="E920" s="26">
        <f>('Raw Price Data'!E920-'Raw Price Data'!E919)/'Raw Price Data'!E919</f>
        <v>3.2755878433564048E-2</v>
      </c>
      <c r="F920" s="26">
        <f>('Raw Price Data'!F920-'Raw Price Data'!F919)/'Raw Price Data'!F919</f>
        <v>2.2592971350055519E-2</v>
      </c>
    </row>
    <row r="921" spans="1:6" ht="15" customHeight="1" x14ac:dyDescent="0.3">
      <c r="A921" s="21">
        <v>44753</v>
      </c>
      <c r="B921" s="25">
        <f>('Raw Price Data'!B921-'Raw Price Data'!B920)/'Raw Price Data'!B920</f>
        <v>-9.3845058572259964E-3</v>
      </c>
      <c r="C921" s="25">
        <f>('Raw Price Data'!C921-'Raw Price Data'!C920)/'Raw Price Data'!C920</f>
        <v>3.6274973254049221E-2</v>
      </c>
      <c r="D921" s="25">
        <f>('Raw Price Data'!D921-'Raw Price Data'!D920)/'Raw Price Data'!D920</f>
        <v>3.13154765275497E-2</v>
      </c>
      <c r="E921" s="25">
        <f>('Raw Price Data'!E921-'Raw Price Data'!E920)/'Raw Price Data'!E920</f>
        <v>-3.0052029136316331E-2</v>
      </c>
      <c r="F921" s="25">
        <f>('Raw Price Data'!F921-'Raw Price Data'!F920)/'Raw Price Data'!F920</f>
        <v>-1.9169329073482514E-2</v>
      </c>
    </row>
    <row r="922" spans="1:6" ht="15" customHeight="1" x14ac:dyDescent="0.3">
      <c r="A922" s="19">
        <v>44754</v>
      </c>
      <c r="B922" s="26">
        <f>('Raw Price Data'!B922-'Raw Price Data'!B921)/'Raw Price Data'!B921</f>
        <v>-1.9600156801254411E-2</v>
      </c>
      <c r="C922" s="26">
        <f>('Raw Price Data'!C922-'Raw Price Data'!C921)/'Raw Price Data'!C921</f>
        <v>1.4645506710522574E-3</v>
      </c>
      <c r="D922" s="26">
        <f>('Raw Price Data'!D922-'Raw Price Data'!D921)/'Raw Price Data'!D921</f>
        <v>4.782560948824955E-2</v>
      </c>
      <c r="E922" s="26">
        <f>('Raw Price Data'!E922-'Raw Price Data'!E921)/'Raw Price Data'!E921</f>
        <v>-1.9074797236407301E-2</v>
      </c>
      <c r="F922" s="26">
        <f>('Raw Price Data'!F922-'Raw Price Data'!F921)/'Raw Price Data'!F921</f>
        <v>9.9823399037001857E-3</v>
      </c>
    </row>
    <row r="923" spans="1:6" ht="15" customHeight="1" x14ac:dyDescent="0.3">
      <c r="A923" s="21">
        <v>44755</v>
      </c>
      <c r="B923" s="25">
        <f>('Raw Price Data'!B923-'Raw Price Data'!B922)/'Raw Price Data'!B922</f>
        <v>-1.3927762228441979E-2</v>
      </c>
      <c r="C923" s="25">
        <f>('Raw Price Data'!C923-'Raw Price Data'!C922)/'Raw Price Data'!C922</f>
        <v>-1.2602288709883632E-2</v>
      </c>
      <c r="D923" s="25">
        <f>('Raw Price Data'!D923-'Raw Price Data'!D922)/'Raw Price Data'!D922</f>
        <v>-1.3362678824084323E-2</v>
      </c>
      <c r="E923" s="25">
        <f>('Raw Price Data'!E923-'Raw Price Data'!E922)/'Raw Price Data'!E922</f>
        <v>2.3207997025176536E-2</v>
      </c>
      <c r="F923" s="25">
        <f>('Raw Price Data'!F923-'Raw Price Data'!F922)/'Raw Price Data'!F922</f>
        <v>4.911729949658424E-3</v>
      </c>
    </row>
    <row r="924" spans="1:6" ht="15" customHeight="1" x14ac:dyDescent="0.3">
      <c r="A924" s="19">
        <v>44756</v>
      </c>
      <c r="B924" s="26">
        <f>('Raw Price Data'!B924-'Raw Price Data'!B923)/'Raw Price Data'!B923</f>
        <v>-2.1963911603703454E-2</v>
      </c>
      <c r="C924" s="26">
        <f>('Raw Price Data'!C924-'Raw Price Data'!C923)/'Raw Price Data'!C923</f>
        <v>1.8703615276912347E-2</v>
      </c>
      <c r="D924" s="26">
        <f>('Raw Price Data'!D924-'Raw Price Data'!D923)/'Raw Price Data'!D923</f>
        <v>5.5236881240704905E-3</v>
      </c>
      <c r="E924" s="26">
        <f>('Raw Price Data'!E924-'Raw Price Data'!E923)/'Raw Price Data'!E923</f>
        <v>2.1805122065929254E-3</v>
      </c>
      <c r="F924" s="26">
        <f>('Raw Price Data'!F924-'Raw Price Data'!F923)/'Raw Price Data'!F923</f>
        <v>-1.928197844439788E-3</v>
      </c>
    </row>
    <row r="925" spans="1:6" ht="15" customHeight="1" x14ac:dyDescent="0.3">
      <c r="A925" s="21">
        <v>44757</v>
      </c>
      <c r="B925" s="25">
        <f>('Raw Price Data'!B925-'Raw Price Data'!B924)/'Raw Price Data'!B924</f>
        <v>-2.0453289110005584E-2</v>
      </c>
      <c r="C925" s="25">
        <f>('Raw Price Data'!C925-'Raw Price Data'!C924)/'Raw Price Data'!C924</f>
        <v>1.3188210057995188E-3</v>
      </c>
      <c r="D925" s="25">
        <f>('Raw Price Data'!D925-'Raw Price Data'!D924)/'Raw Price Data'!D924</f>
        <v>-1.8909782379040695E-2</v>
      </c>
      <c r="E925" s="25">
        <f>('Raw Price Data'!E925-'Raw Price Data'!E924)/'Raw Price Data'!E924</f>
        <v>-3.050341296928342E-3</v>
      </c>
      <c r="F925" s="25">
        <f>('Raw Price Data'!F925-'Raw Price Data'!F924)/'Raw Price Data'!F924</f>
        <v>7.3987166990142697E-3</v>
      </c>
    </row>
    <row r="926" spans="1:6" ht="15" customHeight="1" x14ac:dyDescent="0.3">
      <c r="A926" s="19">
        <v>44760</v>
      </c>
      <c r="B926" s="26">
        <f>('Raw Price Data'!B926-'Raw Price Data'!B925)/'Raw Price Data'!B925</f>
        <v>-2.1303611738148858E-2</v>
      </c>
      <c r="C926" s="26">
        <f>('Raw Price Data'!C926-'Raw Price Data'!C925)/'Raw Price Data'!C925</f>
        <v>2.3326668570884945E-3</v>
      </c>
      <c r="D926" s="26">
        <f>('Raw Price Data'!D926-'Raw Price Data'!D925)/'Raw Price Data'!D925</f>
        <v>4.4955313879616633E-2</v>
      </c>
      <c r="E926" s="26">
        <f>('Raw Price Data'!E926-'Raw Price Data'!E925)/'Raw Price Data'!E925</f>
        <v>2.5718381582044165E-2</v>
      </c>
      <c r="F926" s="26">
        <f>('Raw Price Data'!F926-'Raw Price Data'!F925)/'Raw Price Data'!F925</f>
        <v>-7.9620324583967793E-4</v>
      </c>
    </row>
    <row r="927" spans="1:6" ht="15" customHeight="1" x14ac:dyDescent="0.3">
      <c r="A927" s="21">
        <v>44761</v>
      </c>
      <c r="B927" s="25">
        <f>('Raw Price Data'!B927-'Raw Price Data'!B926)/'Raw Price Data'!B926</f>
        <v>-6.8473403488540936E-3</v>
      </c>
      <c r="C927" s="25">
        <f>('Raw Price Data'!C927-'Raw Price Data'!C926)/'Raw Price Data'!C926</f>
        <v>1.676561386843985E-2</v>
      </c>
      <c r="D927" s="25">
        <f>('Raw Price Data'!D927-'Raw Price Data'!D926)/'Raw Price Data'!D926</f>
        <v>-6.4403111958369827E-3</v>
      </c>
      <c r="E927" s="25">
        <f>('Raw Price Data'!E927-'Raw Price Data'!E926)/'Raw Price Data'!E926</f>
        <v>-4.8812031957278521E-3</v>
      </c>
      <c r="F927" s="25">
        <f>('Raw Price Data'!F927-'Raw Price Data'!F926)/'Raw Price Data'!F926</f>
        <v>3.0418841354126213E-2</v>
      </c>
    </row>
    <row r="928" spans="1:6" ht="15" customHeight="1" x14ac:dyDescent="0.3">
      <c r="A928" s="19">
        <v>44762</v>
      </c>
      <c r="B928" s="26">
        <f>('Raw Price Data'!B928-'Raw Price Data'!B927)/'Raw Price Data'!B927</f>
        <v>-9.2169243051018358E-3</v>
      </c>
      <c r="C928" s="26">
        <f>('Raw Price Data'!C928-'Raw Price Data'!C927)/'Raw Price Data'!C927</f>
        <v>1.9875747384155436E-2</v>
      </c>
      <c r="D928" s="26">
        <f>('Raw Price Data'!D928-'Raw Price Data'!D927)/'Raw Price Data'!D927</f>
        <v>1.3897531632441437E-2</v>
      </c>
      <c r="E928" s="26">
        <f>('Raw Price Data'!E928-'Raw Price Data'!E927)/'Raw Price Data'!E927</f>
        <v>1.5616811654962768E-2</v>
      </c>
      <c r="F928" s="26">
        <f>('Raw Price Data'!F928-'Raw Price Data'!F927)/'Raw Price Data'!F927</f>
        <v>1.0643896030957577E-2</v>
      </c>
    </row>
    <row r="929" spans="1:6" ht="15" customHeight="1" x14ac:dyDescent="0.3">
      <c r="A929" s="21">
        <v>44763</v>
      </c>
      <c r="B929" s="25">
        <f>('Raw Price Data'!B929-'Raw Price Data'!B928)/'Raw Price Data'!B928</f>
        <v>-1.6627600351596911E-2</v>
      </c>
      <c r="C929" s="25">
        <f>('Raw Price Data'!C929-'Raw Price Data'!C928)/'Raw Price Data'!C928</f>
        <v>-2.9961603346539339E-2</v>
      </c>
      <c r="D929" s="25">
        <f>('Raw Price Data'!D929-'Raw Price Data'!D928)/'Raw Price Data'!D928</f>
        <v>1.8923895253681266E-3</v>
      </c>
      <c r="E929" s="25">
        <f>('Raw Price Data'!E929-'Raw Price Data'!E928)/'Raw Price Data'!E928</f>
        <v>-2.2889576883384881E-2</v>
      </c>
      <c r="F929" s="25">
        <f>('Raw Price Data'!F929-'Raw Price Data'!F928)/'Raw Price Data'!F928</f>
        <v>-8.5766252761701415E-3</v>
      </c>
    </row>
    <row r="930" spans="1:6" ht="15" customHeight="1" x14ac:dyDescent="0.3">
      <c r="A930" s="19">
        <v>44764</v>
      </c>
      <c r="B930" s="26">
        <f>('Raw Price Data'!B930-'Raw Price Data'!B929)/'Raw Price Data'!B929</f>
        <v>6.9273743016760288E-3</v>
      </c>
      <c r="C930" s="26">
        <f>('Raw Price Data'!C930-'Raw Price Data'!C929)/'Raw Price Data'!C929</f>
        <v>1.5030375523309529E-3</v>
      </c>
      <c r="D930" s="26">
        <f>('Raw Price Data'!D930-'Raw Price Data'!D929)/'Raw Price Data'!D929</f>
        <v>-1.6233600490070849E-2</v>
      </c>
      <c r="E930" s="26">
        <f>('Raw Price Data'!E930-'Raw Price Data'!E929)/'Raw Price Data'!E929</f>
        <v>2.7460340930694323E-2</v>
      </c>
      <c r="F930" s="26">
        <f>('Raw Price Data'!F930-'Raw Price Data'!F929)/'Raw Price Data'!F929</f>
        <v>-1.1955214734324612E-2</v>
      </c>
    </row>
    <row r="931" spans="1:6" ht="15" customHeight="1" x14ac:dyDescent="0.3">
      <c r="A931" s="21">
        <v>44767</v>
      </c>
      <c r="B931" s="25">
        <f>('Raw Price Data'!B931-'Raw Price Data'!B930)/'Raw Price Data'!B930</f>
        <v>-3.6987720076942865E-4</v>
      </c>
      <c r="C931" s="25">
        <f>('Raw Price Data'!C931-'Raw Price Data'!C930)/'Raw Price Data'!C930</f>
        <v>3.0644236133473143E-4</v>
      </c>
      <c r="D931" s="25">
        <f>('Raw Price Data'!D931-'Raw Price Data'!D930)/'Raw Price Data'!D930</f>
        <v>-2.854029370556854E-3</v>
      </c>
      <c r="E931" s="25">
        <f>('Raw Price Data'!E931-'Raw Price Data'!E930)/'Raw Price Data'!E930</f>
        <v>-1.0053247260541607E-2</v>
      </c>
      <c r="F931" s="25">
        <f>('Raw Price Data'!F931-'Raw Price Data'!F930)/'Raw Price Data'!F930</f>
        <v>1.5993913339503927E-2</v>
      </c>
    </row>
    <row r="932" spans="1:6" ht="15" customHeight="1" x14ac:dyDescent="0.3">
      <c r="A932" s="19">
        <v>44768</v>
      </c>
      <c r="B932" s="26">
        <f>('Raw Price Data'!B932-'Raw Price Data'!B931)/'Raw Price Data'!B931</f>
        <v>-5.6242137201212971E-3</v>
      </c>
      <c r="C932" s="26">
        <f>('Raw Price Data'!C932-'Raw Price Data'!C931)/'Raw Price Data'!C931</f>
        <v>-1.8263082651249745E-2</v>
      </c>
      <c r="D932" s="26">
        <f>('Raw Price Data'!D932-'Raw Price Data'!D931)/'Raw Price Data'!D931</f>
        <v>-2.0920066611157421E-2</v>
      </c>
      <c r="E932" s="26">
        <f>('Raw Price Data'!E932-'Raw Price Data'!E931)/'Raw Price Data'!E931</f>
        <v>3.86276790164482E-3</v>
      </c>
      <c r="F932" s="26">
        <f>('Raw Price Data'!F932-'Raw Price Data'!F931)/'Raw Price Data'!F931</f>
        <v>-2.6536925302799307E-3</v>
      </c>
    </row>
    <row r="933" spans="1:6" ht="15" customHeight="1" x14ac:dyDescent="0.3">
      <c r="A933" s="21">
        <v>44769</v>
      </c>
      <c r="B933" s="25">
        <f>('Raw Price Data'!B933-'Raw Price Data'!B932)/'Raw Price Data'!B932</f>
        <v>-6.1769740269406303E-3</v>
      </c>
      <c r="C933" s="25">
        <f>('Raw Price Data'!C933-'Raw Price Data'!C932)/'Raw Price Data'!C932</f>
        <v>-2.8052263944119464E-2</v>
      </c>
      <c r="D933" s="25">
        <f>('Raw Price Data'!D933-'Raw Price Data'!D932)/'Raw Price Data'!D932</f>
        <v>-9.6736472839374574E-3</v>
      </c>
      <c r="E933" s="25">
        <f>('Raw Price Data'!E933-'Raw Price Data'!E932)/'Raw Price Data'!E932</f>
        <v>-1.3095287351566023E-2</v>
      </c>
      <c r="F933" s="25">
        <f>('Raw Price Data'!F933-'Raw Price Data'!F932)/'Raw Price Data'!F932</f>
        <v>-2.0985115375215828E-3</v>
      </c>
    </row>
    <row r="934" spans="1:6" ht="15" customHeight="1" x14ac:dyDescent="0.3">
      <c r="A934" s="19">
        <v>44770</v>
      </c>
      <c r="B934" s="26">
        <f>('Raw Price Data'!B934-'Raw Price Data'!B933)/'Raw Price Data'!B933</f>
        <v>2.2465178972592485E-2</v>
      </c>
      <c r="C934" s="26">
        <f>('Raw Price Data'!C934-'Raw Price Data'!C933)/'Raw Price Data'!C933</f>
        <v>-5.8448240378681734E-4</v>
      </c>
      <c r="D934" s="26">
        <f>('Raw Price Data'!D934-'Raw Price Data'!D933)/'Raw Price Data'!D933</f>
        <v>-3.8643194504078943E-3</v>
      </c>
      <c r="E934" s="26">
        <f>('Raw Price Data'!E934-'Raw Price Data'!E933)/'Raw Price Data'!E933</f>
        <v>-1.490409810292425E-2</v>
      </c>
      <c r="F934" s="26">
        <f>('Raw Price Data'!F934-'Raw Price Data'!F933)/'Raw Price Data'!F933</f>
        <v>2.0489237594871743E-3</v>
      </c>
    </row>
    <row r="935" spans="1:6" ht="15" customHeight="1" x14ac:dyDescent="0.3">
      <c r="A935" s="21">
        <v>44771</v>
      </c>
      <c r="B935" s="25">
        <f>('Raw Price Data'!B935-'Raw Price Data'!B934)/'Raw Price Data'!B934</f>
        <v>3.5886919584005353E-3</v>
      </c>
      <c r="C935" s="25">
        <f>('Raw Price Data'!C935-'Raw Price Data'!C934)/'Raw Price Data'!C934</f>
        <v>-7.5862409805278544E-3</v>
      </c>
      <c r="D935" s="25">
        <f>('Raw Price Data'!D935-'Raw Price Data'!D934)/'Raw Price Data'!D934</f>
        <v>3.9870689655172901E-3</v>
      </c>
      <c r="E935" s="25">
        <f>('Raw Price Data'!E935-'Raw Price Data'!E934)/'Raw Price Data'!E934</f>
        <v>-4.809124569093908E-3</v>
      </c>
      <c r="F935" s="25">
        <f>('Raw Price Data'!F935-'Raw Price Data'!F934)/'Raw Price Data'!F934</f>
        <v>1.1111908603836029E-3</v>
      </c>
    </row>
    <row r="936" spans="1:6" ht="15" customHeight="1" x14ac:dyDescent="0.3">
      <c r="A936" s="19">
        <v>44774</v>
      </c>
      <c r="B936" s="26">
        <f>('Raw Price Data'!B936-'Raw Price Data'!B935)/'Raw Price Data'!B935</f>
        <v>6.9327884404874014E-3</v>
      </c>
      <c r="C936" s="26">
        <f>('Raw Price Data'!C936-'Raw Price Data'!C935)/'Raw Price Data'!C935</f>
        <v>-1.2184291559804982E-2</v>
      </c>
      <c r="D936" s="26">
        <f>('Raw Price Data'!D936-'Raw Price Data'!D935)/'Raw Price Data'!D935</f>
        <v>-3.5419126328217206E-2</v>
      </c>
      <c r="E936" s="26">
        <f>('Raw Price Data'!E936-'Raw Price Data'!E935)/'Raw Price Data'!E935</f>
        <v>1.7811323982210026E-2</v>
      </c>
      <c r="F936" s="26">
        <f>('Raw Price Data'!F936-'Raw Price Data'!F935)/'Raw Price Data'!F935</f>
        <v>1.3467642952877674E-2</v>
      </c>
    </row>
    <row r="937" spans="1:6" ht="15" customHeight="1" x14ac:dyDescent="0.3">
      <c r="A937" s="21">
        <v>44775</v>
      </c>
      <c r="B937" s="25">
        <f>('Raw Price Data'!B937-'Raw Price Data'!B936)/'Raw Price Data'!B936</f>
        <v>-3.551239310044918E-2</v>
      </c>
      <c r="C937" s="25">
        <f>('Raw Price Data'!C937-'Raw Price Data'!C936)/'Raw Price Data'!C936</f>
        <v>-1.8232995840861005E-3</v>
      </c>
      <c r="D937" s="25">
        <f>('Raw Price Data'!D937-'Raw Price Data'!D936)/'Raw Price Data'!D936</f>
        <v>-6.1199510403924353E-4</v>
      </c>
      <c r="E937" s="25">
        <f>('Raw Price Data'!E937-'Raw Price Data'!E936)/'Raw Price Data'!E936</f>
        <v>-4.1595764794857635E-3</v>
      </c>
      <c r="F937" s="25">
        <f>('Raw Price Data'!F937-'Raw Price Data'!F936)/'Raw Price Data'!F936</f>
        <v>-1.0353002337774768E-2</v>
      </c>
    </row>
    <row r="938" spans="1:6" ht="15" customHeight="1" x14ac:dyDescent="0.3">
      <c r="A938" s="19">
        <v>44776</v>
      </c>
      <c r="B938" s="26">
        <f>('Raw Price Data'!B938-'Raw Price Data'!B937)/'Raw Price Data'!B937</f>
        <v>-8.7917042380524189E-3</v>
      </c>
      <c r="C938" s="26">
        <f>('Raw Price Data'!C938-'Raw Price Data'!C937)/'Raw Price Data'!C937</f>
        <v>-5.5977373356454578E-3</v>
      </c>
      <c r="D938" s="26">
        <f>('Raw Price Data'!D938-'Raw Price Data'!D937)/'Raw Price Data'!D937</f>
        <v>4.0583421477481445E-2</v>
      </c>
      <c r="E938" s="26">
        <f>('Raw Price Data'!E938-'Raw Price Data'!E937)/'Raw Price Data'!E937</f>
        <v>4.1558551146552488E-3</v>
      </c>
      <c r="F938" s="26">
        <f>('Raw Price Data'!F938-'Raw Price Data'!F937)/'Raw Price Data'!F937</f>
        <v>-2.572331002054213E-2</v>
      </c>
    </row>
    <row r="939" spans="1:6" ht="15" customHeight="1" x14ac:dyDescent="0.3">
      <c r="A939" s="21">
        <v>44777</v>
      </c>
      <c r="B939" s="25">
        <f>('Raw Price Data'!B939-'Raw Price Data'!B938)/'Raw Price Data'!B938</f>
        <v>-2.9717231445682675E-2</v>
      </c>
      <c r="C939" s="25">
        <f>('Raw Price Data'!C939-'Raw Price Data'!C938)/'Raw Price Data'!C938</f>
        <v>9.0575876342780068E-4</v>
      </c>
      <c r="D939" s="25">
        <f>('Raw Price Data'!D939-'Raw Price Data'!D938)/'Raw Price Data'!D938</f>
        <v>-1.4605178686068853E-2</v>
      </c>
      <c r="E939" s="25">
        <f>('Raw Price Data'!E939-'Raw Price Data'!E938)/'Raw Price Data'!E938</f>
        <v>-8.4453781512604659E-3</v>
      </c>
      <c r="F939" s="25">
        <f>('Raw Price Data'!F939-'Raw Price Data'!F938)/'Raw Price Data'!F938</f>
        <v>-5.9512013675454027E-3</v>
      </c>
    </row>
    <row r="940" spans="1:6" ht="15" customHeight="1" x14ac:dyDescent="0.3">
      <c r="A940" s="19">
        <v>44778</v>
      </c>
      <c r="B940" s="26">
        <f>('Raw Price Data'!B940-'Raw Price Data'!B939)/'Raw Price Data'!B939</f>
        <v>-5.6254394874599494E-3</v>
      </c>
      <c r="C940" s="26">
        <f>('Raw Price Data'!C940-'Raw Price Data'!C939)/'Raw Price Data'!C939</f>
        <v>2.8408322056833489E-2</v>
      </c>
      <c r="D940" s="26">
        <f>('Raw Price Data'!D940-'Raw Price Data'!D939)/'Raw Price Data'!D939</f>
        <v>5.5377599218199153E-3</v>
      </c>
      <c r="E940" s="26">
        <f>('Raw Price Data'!E940-'Raw Price Data'!E939)/'Raw Price Data'!E939</f>
        <v>2.5509555489639315E-2</v>
      </c>
      <c r="F940" s="26">
        <f>('Raw Price Data'!F940-'Raw Price Data'!F939)/'Raw Price Data'!F939</f>
        <v>-8.6547274993023036E-3</v>
      </c>
    </row>
    <row r="941" spans="1:6" ht="15" customHeight="1" x14ac:dyDescent="0.3">
      <c r="A941" s="21">
        <v>44781</v>
      </c>
      <c r="B941" s="25">
        <f>('Raw Price Data'!B941-'Raw Price Data'!B940)/'Raw Price Data'!B940</f>
        <v>5.5001178596684437E-3</v>
      </c>
      <c r="C941" s="25">
        <f>('Raw Price Data'!C941-'Raw Price Data'!C940)/'Raw Price Data'!C940</f>
        <v>5.7566262880398965E-5</v>
      </c>
      <c r="D941" s="25">
        <f>('Raw Price Data'!D941-'Raw Price Data'!D940)/'Raw Price Data'!D940</f>
        <v>-6.2631607364612958E-3</v>
      </c>
      <c r="E941" s="25">
        <f>('Raw Price Data'!E941-'Raw Price Data'!E940)/'Raw Price Data'!E940</f>
        <v>-2.7209619437213256E-2</v>
      </c>
      <c r="F941" s="25">
        <f>('Raw Price Data'!F941-'Raw Price Data'!F940)/'Raw Price Data'!F940</f>
        <v>-6.8657470287469841E-3</v>
      </c>
    </row>
    <row r="942" spans="1:6" ht="15" customHeight="1" x14ac:dyDescent="0.3">
      <c r="A942" s="19">
        <v>44782</v>
      </c>
      <c r="B942" s="26">
        <f>('Raw Price Data'!B942-'Raw Price Data'!B941)/'Raw Price Data'!B941</f>
        <v>-8.9864812065328249E-3</v>
      </c>
      <c r="C942" s="26">
        <f>('Raw Price Data'!C942-'Raw Price Data'!C941)/'Raw Price Data'!C941</f>
        <v>3.3764781343025796E-2</v>
      </c>
      <c r="D942" s="26">
        <f>('Raw Price Data'!D942-'Raw Price Data'!D941)/'Raw Price Data'!D941</f>
        <v>-4.4064113012768344E-2</v>
      </c>
      <c r="E942" s="26">
        <f>('Raw Price Data'!E942-'Raw Price Data'!E941)/'Raw Price Data'!E941</f>
        <v>-3.1220133800573525E-2</v>
      </c>
      <c r="F942" s="26">
        <f>('Raw Price Data'!F942-'Raw Price Data'!F941)/'Raw Price Data'!F941</f>
        <v>-1.8504054478805685E-2</v>
      </c>
    </row>
    <row r="943" spans="1:6" ht="15" customHeight="1" x14ac:dyDescent="0.3">
      <c r="A943" s="21">
        <v>44783</v>
      </c>
      <c r="B943" s="25">
        <f>('Raw Price Data'!B943-'Raw Price Data'!B942)/'Raw Price Data'!B942</f>
        <v>7.4909320296483433E-3</v>
      </c>
      <c r="C943" s="25">
        <f>('Raw Price Data'!C943-'Raw Price Data'!C942)/'Raw Price Data'!C942</f>
        <v>2.2535637011582153E-2</v>
      </c>
      <c r="D943" s="25">
        <f>('Raw Price Data'!D943-'Raw Price Data'!D942)/'Raw Price Data'!D942</f>
        <v>-1.5232465613277292E-2</v>
      </c>
      <c r="E943" s="25">
        <f>('Raw Price Data'!E943-'Raw Price Data'!E942)/'Raw Price Data'!E942</f>
        <v>2.7205962950783789E-2</v>
      </c>
      <c r="F943" s="25">
        <f>('Raw Price Data'!F943-'Raw Price Data'!F942)/'Raw Price Data'!F942</f>
        <v>-1.0333764636412416E-2</v>
      </c>
    </row>
    <row r="944" spans="1:6" ht="15" customHeight="1" x14ac:dyDescent="0.3">
      <c r="A944" s="19">
        <v>44784</v>
      </c>
      <c r="B944" s="26">
        <f>('Raw Price Data'!B944-'Raw Price Data'!B943)/'Raw Price Data'!B943</f>
        <v>-1.3853017140173719E-2</v>
      </c>
      <c r="C944" s="26">
        <f>('Raw Price Data'!C944-'Raw Price Data'!C943)/'Raw Price Data'!C943</f>
        <v>1.7666964876113449E-2</v>
      </c>
      <c r="D944" s="26">
        <f>('Raw Price Data'!D944-'Raw Price Data'!D943)/'Raw Price Data'!D943</f>
        <v>-1.0389010735310995E-2</v>
      </c>
      <c r="E944" s="26">
        <f>('Raw Price Data'!E944-'Raw Price Data'!E943)/'Raw Price Data'!E943</f>
        <v>-4.035769165101593E-2</v>
      </c>
      <c r="F944" s="26">
        <f>('Raw Price Data'!F944-'Raw Price Data'!F943)/'Raw Price Data'!F943</f>
        <v>-1.614774997641065E-2</v>
      </c>
    </row>
    <row r="945" spans="1:6" ht="15" customHeight="1" x14ac:dyDescent="0.3">
      <c r="A945" s="21">
        <v>44785</v>
      </c>
      <c r="B945" s="25">
        <f>('Raw Price Data'!B945-'Raw Price Data'!B944)/'Raw Price Data'!B944</f>
        <v>8.2539682539683034E-3</v>
      </c>
      <c r="C945" s="25">
        <f>('Raw Price Data'!C945-'Raw Price Data'!C944)/'Raw Price Data'!C944</f>
        <v>-1.2253852739726005E-2</v>
      </c>
      <c r="D945" s="25">
        <f>('Raw Price Data'!D945-'Raw Price Data'!D944)/'Raw Price Data'!D944</f>
        <v>1.3764143240405839E-2</v>
      </c>
      <c r="E945" s="25">
        <f>('Raw Price Data'!E945-'Raw Price Data'!E944)/'Raw Price Data'!E944</f>
        <v>3.3003447125542158E-2</v>
      </c>
      <c r="F945" s="25">
        <f>('Raw Price Data'!F945-'Raw Price Data'!F944)/'Raw Price Data'!F944</f>
        <v>1.1219234671445954E-2</v>
      </c>
    </row>
    <row r="946" spans="1:6" ht="15" customHeight="1" x14ac:dyDescent="0.3">
      <c r="A946" s="19">
        <v>44788</v>
      </c>
      <c r="B946" s="26">
        <f>('Raw Price Data'!B946-'Raw Price Data'!B945)/'Raw Price Data'!B945</f>
        <v>-2.1174433249370371E-2</v>
      </c>
      <c r="C946" s="26">
        <f>('Raw Price Data'!C946-'Raw Price Data'!C945)/'Raw Price Data'!C945</f>
        <v>-4.5815823485253595E-3</v>
      </c>
      <c r="D946" s="26">
        <f>('Raw Price Data'!D946-'Raw Price Data'!D945)/'Raw Price Data'!D945</f>
        <v>-1.7259233690024818E-4</v>
      </c>
      <c r="E946" s="26">
        <f>('Raw Price Data'!E946-'Raw Price Data'!E945)/'Raw Price Data'!E945</f>
        <v>1.7223191026714048E-4</v>
      </c>
      <c r="F946" s="26">
        <f>('Raw Price Data'!F946-'Raw Price Data'!F945)/'Raw Price Data'!F945</f>
        <v>-1.1979784130387578E-2</v>
      </c>
    </row>
    <row r="947" spans="1:6" ht="15" customHeight="1" x14ac:dyDescent="0.3">
      <c r="A947" s="21">
        <v>44789</v>
      </c>
      <c r="B947" s="25">
        <f>('Raw Price Data'!B947-'Raw Price Data'!B946)/'Raw Price Data'!B946</f>
        <v>-3.2971451548049588E-3</v>
      </c>
      <c r="C947" s="25">
        <f>('Raw Price Data'!C947-'Raw Price Data'!C946)/'Raw Price Data'!C946</f>
        <v>-1.5627308137862509E-2</v>
      </c>
      <c r="D947" s="25">
        <f>('Raw Price Data'!D947-'Raw Price Data'!D946)/'Raw Price Data'!D946</f>
        <v>-3.1071983428275049E-3</v>
      </c>
      <c r="E947" s="25">
        <f>('Raw Price Data'!E947-'Raw Price Data'!E946)/'Raw Price Data'!E946</f>
        <v>8.696213702994211E-3</v>
      </c>
      <c r="F947" s="25">
        <f>('Raw Price Data'!F947-'Raw Price Data'!F946)/'Raw Price Data'!F946</f>
        <v>-2.2464307392693313E-3</v>
      </c>
    </row>
    <row r="948" spans="1:6" ht="15" customHeight="1" x14ac:dyDescent="0.3">
      <c r="A948" s="19">
        <v>44790</v>
      </c>
      <c r="B948" s="26">
        <f>('Raw Price Data'!B948-'Raw Price Data'!B947)/'Raw Price Data'!B947</f>
        <v>6.1319993545264255E-3</v>
      </c>
      <c r="C948" s="26">
        <f>('Raw Price Data'!C948-'Raw Price Data'!C947)/'Raw Price Data'!C947</f>
        <v>7.9298007282149197E-3</v>
      </c>
      <c r="D948" s="26">
        <f>('Raw Price Data'!D948-'Raw Price Data'!D947)/'Raw Price Data'!D947</f>
        <v>1.1024531024531005E-2</v>
      </c>
      <c r="E948" s="26">
        <f>('Raw Price Data'!E948-'Raw Price Data'!E947)/'Raw Price Data'!E947</f>
        <v>6.5939693988604064E-3</v>
      </c>
      <c r="F948" s="26">
        <f>('Raw Price Data'!F948-'Raw Price Data'!F947)/'Raw Price Data'!F947</f>
        <v>1.6652178743929703E-2</v>
      </c>
    </row>
    <row r="949" spans="1:6" ht="15" customHeight="1" x14ac:dyDescent="0.3">
      <c r="A949" s="21">
        <v>44791</v>
      </c>
      <c r="B949" s="25">
        <f>('Raw Price Data'!B949-'Raw Price Data'!B948)/'Raw Price Data'!B948</f>
        <v>7.6984763432236866E-3</v>
      </c>
      <c r="C949" s="25">
        <f>('Raw Price Data'!C949-'Raw Price Data'!C948)/'Raw Price Data'!C948</f>
        <v>-5.8770520706813456E-4</v>
      </c>
      <c r="D949" s="25">
        <f>('Raw Price Data'!D949-'Raw Price Data'!D948)/'Raw Price Data'!D948</f>
        <v>2.4548983786252961E-3</v>
      </c>
      <c r="E949" s="25">
        <f>('Raw Price Data'!E949-'Raw Price Data'!E948)/'Raw Price Data'!E948</f>
        <v>-1.1956752172991279E-2</v>
      </c>
      <c r="F949" s="25">
        <f>('Raw Price Data'!F949-'Raw Price Data'!F948)/'Raw Price Data'!F948</f>
        <v>-3.4965232775821839E-3</v>
      </c>
    </row>
    <row r="950" spans="1:6" ht="15" customHeight="1" x14ac:dyDescent="0.3">
      <c r="A950" s="19">
        <v>44792</v>
      </c>
      <c r="B950" s="26">
        <f>('Raw Price Data'!B950-'Raw Price Data'!B949)/'Raw Price Data'!B949</f>
        <v>-1.4324367340441877E-3</v>
      </c>
      <c r="C950" s="26">
        <f>('Raw Price Data'!C950-'Raw Price Data'!C949)/'Raw Price Data'!C949</f>
        <v>8.3895248549473236E-3</v>
      </c>
      <c r="D950" s="26">
        <f>('Raw Price Data'!D950-'Raw Price Data'!D949)/'Raw Price Data'!D949</f>
        <v>-2.221083205194002E-3</v>
      </c>
      <c r="E950" s="26">
        <f>('Raw Price Data'!E950-'Raw Price Data'!E949)/'Raw Price Data'!E949</f>
        <v>1.0256190190104221E-2</v>
      </c>
      <c r="F950" s="26">
        <f>('Raw Price Data'!F950-'Raw Price Data'!F949)/'Raw Price Data'!F949</f>
        <v>4.6019184423305905E-3</v>
      </c>
    </row>
    <row r="951" spans="1:6" ht="15" customHeight="1" x14ac:dyDescent="0.3">
      <c r="A951" s="21">
        <v>44795</v>
      </c>
      <c r="B951" s="25">
        <f>('Raw Price Data'!B951-'Raw Price Data'!B950)/'Raw Price Data'!B950</f>
        <v>2.7175645521198458E-2</v>
      </c>
      <c r="C951" s="25">
        <f>('Raw Price Data'!C951-'Raw Price Data'!C950)/'Raw Price Data'!C950</f>
        <v>5.9248891999067873E-3</v>
      </c>
      <c r="D951" s="25">
        <f>('Raw Price Data'!D951-'Raw Price Data'!D950)/'Raw Price Data'!D950</f>
        <v>1.0901826484018409E-2</v>
      </c>
      <c r="E951" s="25">
        <f>('Raw Price Data'!E951-'Raw Price Data'!E950)/'Raw Price Data'!E950</f>
        <v>3.8994138136097221E-2</v>
      </c>
      <c r="F951" s="25">
        <f>('Raw Price Data'!F951-'Raw Price Data'!F950)/'Raw Price Data'!F950</f>
        <v>1.1768435091483167E-2</v>
      </c>
    </row>
    <row r="952" spans="1:6" ht="15" customHeight="1" x14ac:dyDescent="0.3">
      <c r="A952" s="19">
        <v>44796</v>
      </c>
      <c r="B952" s="26">
        <f>('Raw Price Data'!B952-'Raw Price Data'!B951)/'Raw Price Data'!B951</f>
        <v>-5.4309876638993617E-3</v>
      </c>
      <c r="C952" s="26">
        <f>('Raw Price Data'!C952-'Raw Price Data'!C951)/'Raw Price Data'!C951</f>
        <v>3.5556380051324156E-3</v>
      </c>
      <c r="D952" s="26">
        <f>('Raw Price Data'!D952-'Raw Price Data'!D951)/'Raw Price Data'!D951</f>
        <v>-2.1286206312461239E-2</v>
      </c>
      <c r="E952" s="26">
        <f>('Raw Price Data'!E952-'Raw Price Data'!E951)/'Raw Price Data'!E951</f>
        <v>2.3528209321340948E-2</v>
      </c>
      <c r="F952" s="26">
        <f>('Raw Price Data'!F952-'Raw Price Data'!F951)/'Raw Price Data'!F951</f>
        <v>6.8790510743202667E-3</v>
      </c>
    </row>
    <row r="953" spans="1:6" ht="15" customHeight="1" x14ac:dyDescent="0.3">
      <c r="A953" s="21">
        <v>44797</v>
      </c>
      <c r="B953" s="25">
        <f>('Raw Price Data'!B953-'Raw Price Data'!B952)/'Raw Price Data'!B952</f>
        <v>-5.9286995865511418E-3</v>
      </c>
      <c r="C953" s="25">
        <f>('Raw Price Data'!C953-'Raw Price Data'!C952)/'Raw Price Data'!C952</f>
        <v>-5.6996734241172159E-3</v>
      </c>
      <c r="D953" s="25">
        <f>('Raw Price Data'!D953-'Raw Price Data'!D952)/'Raw Price Data'!D952</f>
        <v>-2.8268143532941565E-3</v>
      </c>
      <c r="E953" s="25">
        <f>('Raw Price Data'!E953-'Raw Price Data'!E952)/'Raw Price Data'!E952</f>
        <v>-1.2981566176030038E-2</v>
      </c>
      <c r="F953" s="25">
        <f>('Raw Price Data'!F953-'Raw Price Data'!F952)/'Raw Price Data'!F952</f>
        <v>-6.2551297131899272E-3</v>
      </c>
    </row>
    <row r="954" spans="1:6" ht="15" customHeight="1" x14ac:dyDescent="0.3">
      <c r="A954" s="19">
        <v>44798</v>
      </c>
      <c r="B954" s="26">
        <f>('Raw Price Data'!B954-'Raw Price Data'!B953)/'Raw Price Data'!B953</f>
        <v>-3.7903162520599644E-2</v>
      </c>
      <c r="C954" s="26">
        <f>('Raw Price Data'!C954-'Raw Price Data'!C953)/'Raw Price Data'!C953</f>
        <v>-1.6561831871843419E-2</v>
      </c>
      <c r="D954" s="26">
        <f>('Raw Price Data'!D954-'Raw Price Data'!D953)/'Raw Price Data'!D953</f>
        <v>2.01330633497253E-2</v>
      </c>
      <c r="E954" s="26">
        <f>('Raw Price Data'!E954-'Raw Price Data'!E953)/'Raw Price Data'!E953</f>
        <v>2.3896724064668872E-2</v>
      </c>
      <c r="F954" s="26">
        <f>('Raw Price Data'!F954-'Raw Price Data'!F953)/'Raw Price Data'!F953</f>
        <v>-1.1457329478530913E-2</v>
      </c>
    </row>
    <row r="955" spans="1:6" ht="15" customHeight="1" x14ac:dyDescent="0.3">
      <c r="A955" s="21">
        <v>44799</v>
      </c>
      <c r="B955" s="25">
        <f>('Raw Price Data'!B955-'Raw Price Data'!B954)/'Raw Price Data'!B954</f>
        <v>2.4796084828711307E-2</v>
      </c>
      <c r="C955" s="25">
        <f>('Raw Price Data'!C955-'Raw Price Data'!C954)/'Raw Price Data'!C954</f>
        <v>-7.1994580714273464E-3</v>
      </c>
      <c r="D955" s="25">
        <f>('Raw Price Data'!D955-'Raw Price Data'!D954)/'Raw Price Data'!D954</f>
        <v>-3.3289854250552961E-2</v>
      </c>
      <c r="E955" s="25">
        <f>('Raw Price Data'!E955-'Raw Price Data'!E954)/'Raw Price Data'!E954</f>
        <v>-2.1678985020354868E-2</v>
      </c>
      <c r="F955" s="25">
        <f>('Raw Price Data'!F955-'Raw Price Data'!F954)/'Raw Price Data'!F954</f>
        <v>1.4994979342406853E-2</v>
      </c>
    </row>
    <row r="956" spans="1:6" ht="15" customHeight="1" x14ac:dyDescent="0.3">
      <c r="A956" s="19">
        <v>44802</v>
      </c>
      <c r="B956" s="26">
        <f>('Raw Price Data'!B956-'Raw Price Data'!B955)/'Raw Price Data'!B955</f>
        <v>-4.7755491881565923E-3</v>
      </c>
      <c r="C956" s="26">
        <f>('Raw Price Data'!C956-'Raw Price Data'!C955)/'Raw Price Data'!C955</f>
        <v>1.3233894001904027E-2</v>
      </c>
      <c r="D956" s="26">
        <f>('Raw Price Data'!D956-'Raw Price Data'!D955)/'Raw Price Data'!D955</f>
        <v>-1.2084946615041664E-2</v>
      </c>
      <c r="E956" s="26">
        <f>('Raw Price Data'!E956-'Raw Price Data'!E955)/'Raw Price Data'!E955</f>
        <v>-3.6359963640036591E-3</v>
      </c>
      <c r="F956" s="26">
        <f>('Raw Price Data'!F956-'Raw Price Data'!F955)/'Raw Price Data'!F955</f>
        <v>2.489680281555075E-3</v>
      </c>
    </row>
    <row r="957" spans="1:6" ht="15" customHeight="1" x14ac:dyDescent="0.3">
      <c r="A957" s="21">
        <v>44803</v>
      </c>
      <c r="B957" s="25">
        <f>('Raw Price Data'!B957-'Raw Price Data'!B956)/'Raw Price Data'!B956</f>
        <v>-1.599488163787588E-2</v>
      </c>
      <c r="C957" s="25">
        <f>('Raw Price Data'!C957-'Raw Price Data'!C956)/'Raw Price Data'!C956</f>
        <v>-2.2942963635792877E-3</v>
      </c>
      <c r="D957" s="25">
        <f>('Raw Price Data'!D957-'Raw Price Data'!D956)/'Raw Price Data'!D956</f>
        <v>2.8503562945367562E-3</v>
      </c>
      <c r="E957" s="25">
        <f>('Raw Price Data'!E957-'Raw Price Data'!E956)/'Raw Price Data'!E956</f>
        <v>3.2235174860617841E-3</v>
      </c>
      <c r="F957" s="25">
        <f>('Raw Price Data'!F957-'Raw Price Data'!F956)/'Raw Price Data'!F956</f>
        <v>-7.7834743633469344E-3</v>
      </c>
    </row>
    <row r="958" spans="1:6" ht="15" customHeight="1" x14ac:dyDescent="0.3">
      <c r="A958" s="19">
        <v>44804</v>
      </c>
      <c r="B958" s="26">
        <f>('Raw Price Data'!B958-'Raw Price Data'!B957)/'Raw Price Data'!B957</f>
        <v>1.8693107932379691E-2</v>
      </c>
      <c r="C958" s="26">
        <f>('Raw Price Data'!C958-'Raw Price Data'!C957)/'Raw Price Data'!C957</f>
        <v>-4.6305380057304514E-4</v>
      </c>
      <c r="D958" s="26">
        <f>('Raw Price Data'!D958-'Raw Price Data'!D957)/'Raw Price Data'!D957</f>
        <v>4.0265277119848819E-3</v>
      </c>
      <c r="E958" s="26">
        <f>('Raw Price Data'!E958-'Raw Price Data'!E957)/'Raw Price Data'!E957</f>
        <v>2.398755153180827E-2</v>
      </c>
      <c r="F958" s="26">
        <f>('Raw Price Data'!F958-'Raw Price Data'!F957)/'Raw Price Data'!F957</f>
        <v>-3.6391713550383465E-3</v>
      </c>
    </row>
    <row r="959" spans="1:6" ht="15" customHeight="1" x14ac:dyDescent="0.3">
      <c r="A959" s="21">
        <v>44805</v>
      </c>
      <c r="B959" s="25">
        <f>('Raw Price Data'!B959-'Raw Price Data'!B958)/'Raw Price Data'!B958</f>
        <v>1.7392691878091532E-2</v>
      </c>
      <c r="C959" s="25">
        <f>('Raw Price Data'!C959-'Raw Price Data'!C958)/'Raw Price Data'!C958</f>
        <v>1.5900310939413926E-2</v>
      </c>
      <c r="D959" s="25">
        <f>('Raw Price Data'!D959-'Raw Price Data'!D958)/'Raw Price Data'!D958</f>
        <v>-4.8950224109460512E-3</v>
      </c>
      <c r="E959" s="25">
        <f>('Raw Price Data'!E959-'Raw Price Data'!E958)/'Raw Price Data'!E958</f>
        <v>-2.5714905961990039E-2</v>
      </c>
      <c r="F959" s="25">
        <f>('Raw Price Data'!F959-'Raw Price Data'!F958)/'Raw Price Data'!F958</f>
        <v>-2.3067114842338245E-4</v>
      </c>
    </row>
    <row r="960" spans="1:6" ht="15" customHeight="1" x14ac:dyDescent="0.3">
      <c r="A960" s="19">
        <v>44806</v>
      </c>
      <c r="B960" s="26">
        <f>('Raw Price Data'!B960-'Raw Price Data'!B959)/'Raw Price Data'!B959</f>
        <v>1.8036386449184754E-3</v>
      </c>
      <c r="C960" s="26">
        <f>('Raw Price Data'!C960-'Raw Price Data'!C959)/'Raw Price Data'!C959</f>
        <v>9.1976410755830393E-3</v>
      </c>
      <c r="D960" s="26">
        <f>('Raw Price Data'!D960-'Raw Price Data'!D959)/'Raw Price Data'!D959</f>
        <v>7.1712202927754877E-3</v>
      </c>
      <c r="E960" s="26">
        <f>('Raw Price Data'!E960-'Raw Price Data'!E959)/'Raw Price Data'!E959</f>
        <v>2.0337060444012355E-2</v>
      </c>
      <c r="F960" s="26">
        <f>('Raw Price Data'!F960-'Raw Price Data'!F959)/'Raw Price Data'!F959</f>
        <v>-1.9800693959692087E-2</v>
      </c>
    </row>
    <row r="961" spans="1:6" ht="15" customHeight="1" x14ac:dyDescent="0.3">
      <c r="A961" s="21">
        <v>44809</v>
      </c>
      <c r="B961" s="25">
        <f>('Raw Price Data'!B961-'Raw Price Data'!B960)/'Raw Price Data'!B960</f>
        <v>-1.9569471624266144E-2</v>
      </c>
      <c r="C961" s="25">
        <f>('Raw Price Data'!C961-'Raw Price Data'!C960)/'Raw Price Data'!C960</f>
        <v>-2.5419120631687015E-2</v>
      </c>
      <c r="D961" s="25">
        <f>('Raw Price Data'!D961-'Raw Price Data'!D960)/'Raw Price Data'!D960</f>
        <v>-1.359303283511829E-2</v>
      </c>
      <c r="E961" s="25">
        <f>('Raw Price Data'!E961-'Raw Price Data'!E960)/'Raw Price Data'!E960</f>
        <v>-7.3056459938060959E-3</v>
      </c>
      <c r="F961" s="25">
        <f>('Raw Price Data'!F961-'Raw Price Data'!F960)/'Raw Price Data'!F960</f>
        <v>5.8307299491682698E-3</v>
      </c>
    </row>
    <row r="962" spans="1:6" ht="15" customHeight="1" x14ac:dyDescent="0.3">
      <c r="A962" s="19">
        <v>44810</v>
      </c>
      <c r="B962" s="26">
        <f>('Raw Price Data'!B962-'Raw Price Data'!B961)/'Raw Price Data'!B961</f>
        <v>6.1477045908183313E-3</v>
      </c>
      <c r="C962" s="26">
        <f>('Raw Price Data'!C962-'Raw Price Data'!C961)/'Raw Price Data'!C961</f>
        <v>-8.2513437902740586E-4</v>
      </c>
      <c r="D962" s="26">
        <f>('Raw Price Data'!D962-'Raw Price Data'!D961)/'Raw Price Data'!D961</f>
        <v>1.5868281333890094E-2</v>
      </c>
      <c r="E962" s="26">
        <f>('Raw Price Data'!E962-'Raw Price Data'!E961)/'Raw Price Data'!E961</f>
        <v>-3.0497560195184382E-2</v>
      </c>
      <c r="F962" s="26">
        <f>('Raw Price Data'!F962-'Raw Price Data'!F961)/'Raw Price Data'!F961</f>
        <v>1.2200915010379428E-2</v>
      </c>
    </row>
    <row r="963" spans="1:6" ht="15" customHeight="1" x14ac:dyDescent="0.3">
      <c r="A963" s="21">
        <v>44811</v>
      </c>
      <c r="B963" s="25">
        <f>('Raw Price Data'!B963-'Raw Price Data'!B962)/'Raw Price Data'!B962</f>
        <v>-8.3320107919377662E-3</v>
      </c>
      <c r="C963" s="25">
        <f>('Raw Price Data'!C963-'Raw Price Data'!C962)/'Raw Price Data'!C962</f>
        <v>-1.4770305237245056E-2</v>
      </c>
      <c r="D963" s="25">
        <f>('Raw Price Data'!D963-'Raw Price Data'!D962)/'Raw Price Data'!D962</f>
        <v>3.4646779024018054E-3</v>
      </c>
      <c r="E963" s="25">
        <f>('Raw Price Data'!E963-'Raw Price Data'!E962)/'Raw Price Data'!E962</f>
        <v>1.9327956434744949E-2</v>
      </c>
      <c r="F963" s="25">
        <f>('Raw Price Data'!F963-'Raw Price Data'!F962)/'Raw Price Data'!F962</f>
        <v>-7.077936326961529E-3</v>
      </c>
    </row>
    <row r="964" spans="1:6" ht="15" customHeight="1" x14ac:dyDescent="0.3">
      <c r="A964" s="19">
        <v>44812</v>
      </c>
      <c r="B964" s="26">
        <f>('Raw Price Data'!B964-'Raw Price Data'!B963)/'Raw Price Data'!B963</f>
        <v>-1.5843802512603058E-2</v>
      </c>
      <c r="C964" s="26">
        <f>('Raw Price Data'!C964-'Raw Price Data'!C963)/'Raw Price Data'!C963</f>
        <v>-3.5922694361737177E-4</v>
      </c>
      <c r="D964" s="26">
        <f>('Raw Price Data'!D964-'Raw Price Data'!D963)/'Raw Price Data'!D963</f>
        <v>2.8967696629213585E-2</v>
      </c>
      <c r="E964" s="26">
        <f>('Raw Price Data'!E964-'Raw Price Data'!E963)/'Raw Price Data'!E963</f>
        <v>-7.3862716529060103E-3</v>
      </c>
      <c r="F964" s="26">
        <f>('Raw Price Data'!F964-'Raw Price Data'!F963)/'Raw Price Data'!F963</f>
        <v>-9.1781731898844723E-3</v>
      </c>
    </row>
    <row r="965" spans="1:6" ht="15" customHeight="1" x14ac:dyDescent="0.3">
      <c r="A965" s="21">
        <v>44813</v>
      </c>
      <c r="B965" s="25">
        <f>('Raw Price Data'!B965-'Raw Price Data'!B964)/'Raw Price Data'!B964</f>
        <v>1.4716643629563398E-2</v>
      </c>
      <c r="C965" s="25">
        <f>('Raw Price Data'!C965-'Raw Price Data'!C964)/'Raw Price Data'!C964</f>
        <v>7.4825911965756492E-3</v>
      </c>
      <c r="D965" s="25">
        <f>('Raw Price Data'!D965-'Raw Price Data'!D964)/'Raw Price Data'!D964</f>
        <v>1.3706420974805188E-2</v>
      </c>
      <c r="E965" s="25">
        <f>('Raw Price Data'!E965-'Raw Price Data'!E964)/'Raw Price Data'!E964</f>
        <v>-3.7389655664512397E-2</v>
      </c>
      <c r="F965" s="25">
        <f>('Raw Price Data'!F965-'Raw Price Data'!F964)/'Raw Price Data'!F964</f>
        <v>-4.3184730927307768E-3</v>
      </c>
    </row>
    <row r="966" spans="1:6" ht="15" customHeight="1" x14ac:dyDescent="0.3">
      <c r="A966" s="19">
        <v>44816</v>
      </c>
      <c r="B966" s="26">
        <f>('Raw Price Data'!B966-'Raw Price Data'!B965)/'Raw Price Data'!B965</f>
        <v>-2.9166666666666671E-2</v>
      </c>
      <c r="C966" s="26">
        <f>('Raw Price Data'!C966-'Raw Price Data'!C965)/'Raw Price Data'!C965</f>
        <v>9.5750667797498083E-3</v>
      </c>
      <c r="D966" s="26">
        <f>('Raw Price Data'!D966-'Raw Price Data'!D965)/'Raw Price Data'!D965</f>
        <v>9.0888689407540649E-3</v>
      </c>
      <c r="E966" s="26">
        <f>('Raw Price Data'!E966-'Raw Price Data'!E965)/'Raw Price Data'!E965</f>
        <v>1.5524069720651425E-2</v>
      </c>
      <c r="F966" s="26">
        <f>('Raw Price Data'!F966-'Raw Price Data'!F965)/'Raw Price Data'!F965</f>
        <v>-1.8944586041473833E-3</v>
      </c>
    </row>
    <row r="967" spans="1:6" ht="15" customHeight="1" x14ac:dyDescent="0.3">
      <c r="A967" s="21">
        <v>44817</v>
      </c>
      <c r="B967" s="25">
        <f>('Raw Price Data'!B967-'Raw Price Data'!B966)/'Raw Price Data'!B966</f>
        <v>8.1710135358204778E-3</v>
      </c>
      <c r="C967" s="25">
        <f>('Raw Price Data'!C967-'Raw Price Data'!C966)/'Raw Price Data'!C966</f>
        <v>2.9944491987846236E-2</v>
      </c>
      <c r="D967" s="25">
        <f>('Raw Price Data'!D967-'Raw Price Data'!D966)/'Raw Price Data'!D966</f>
        <v>2.2684310018903503E-2</v>
      </c>
      <c r="E967" s="25">
        <f>('Raw Price Data'!E967-'Raw Price Data'!E966)/'Raw Price Data'!E966</f>
        <v>-3.1386861313868634E-2</v>
      </c>
      <c r="F967" s="25">
        <f>('Raw Price Data'!F967-'Raw Price Data'!F966)/'Raw Price Data'!F966</f>
        <v>2.3227362117701267E-2</v>
      </c>
    </row>
    <row r="968" spans="1:6" ht="15" customHeight="1" x14ac:dyDescent="0.3">
      <c r="A968" s="19">
        <v>44818</v>
      </c>
      <c r="B968" s="26">
        <f>('Raw Price Data'!B968-'Raw Price Data'!B967)/'Raw Price Data'!B967</f>
        <v>6.6311911584116907E-3</v>
      </c>
      <c r="C968" s="26">
        <f>('Raw Price Data'!C968-'Raw Price Data'!C967)/'Raw Price Data'!C967</f>
        <v>-8.240397002660365E-3</v>
      </c>
      <c r="D968" s="26">
        <f>('Raw Price Data'!D968-'Raw Price Data'!D967)/'Raw Price Data'!D967</f>
        <v>-1.2232249646623899E-2</v>
      </c>
      <c r="E968" s="26">
        <f>('Raw Price Data'!E968-'Raw Price Data'!E967)/'Raw Price Data'!E967</f>
        <v>-6.6745613090751768E-3</v>
      </c>
      <c r="F968" s="26">
        <f>('Raw Price Data'!F968-'Raw Price Data'!F967)/'Raw Price Data'!F967</f>
        <v>9.9985760510188024E-3</v>
      </c>
    </row>
    <row r="969" spans="1:6" ht="15" customHeight="1" x14ac:dyDescent="0.3">
      <c r="A969" s="21">
        <v>44819</v>
      </c>
      <c r="B969" s="25">
        <f>('Raw Price Data'!B969-'Raw Price Data'!B968)/'Raw Price Data'!B968</f>
        <v>2.8789850357839999E-2</v>
      </c>
      <c r="C969" s="25">
        <f>('Raw Price Data'!C969-'Raw Price Data'!C968)/'Raw Price Data'!C968</f>
        <v>-4.6040798757897719E-3</v>
      </c>
      <c r="D969" s="25">
        <f>('Raw Price Data'!D969-'Raw Price Data'!D968)/'Raw Price Data'!D968</f>
        <v>-4.2379877813859337E-3</v>
      </c>
      <c r="E969" s="25">
        <f>('Raw Price Data'!E969-'Raw Price Data'!E968)/'Raw Price Data'!E968</f>
        <v>-2.0808496802861218E-2</v>
      </c>
      <c r="F969" s="25">
        <f>('Raw Price Data'!F969-'Raw Price Data'!F968)/'Raw Price Data'!F968</f>
        <v>2.3899150747398543E-3</v>
      </c>
    </row>
    <row r="970" spans="1:6" ht="15" customHeight="1" x14ac:dyDescent="0.3">
      <c r="A970" s="19">
        <v>44820</v>
      </c>
      <c r="B970" s="26">
        <f>('Raw Price Data'!B970-'Raw Price Data'!B969)/'Raw Price Data'!B969</f>
        <v>4.8221343873517744E-3</v>
      </c>
      <c r="C970" s="26">
        <f>('Raw Price Data'!C970-'Raw Price Data'!C969)/'Raw Price Data'!C969</f>
        <v>1.0717898427063549E-2</v>
      </c>
      <c r="D970" s="26">
        <f>('Raw Price Data'!D970-'Raw Price Data'!D969)/'Raw Price Data'!D969</f>
        <v>-2.7139066990935202E-2</v>
      </c>
      <c r="E970" s="26">
        <f>('Raw Price Data'!E970-'Raw Price Data'!E969)/'Raw Price Data'!E969</f>
        <v>-1.4831211953514086E-2</v>
      </c>
      <c r="F970" s="26">
        <f>('Raw Price Data'!F970-'Raw Price Data'!F969)/'Raw Price Data'!F969</f>
        <v>-6.6024276490388436E-3</v>
      </c>
    </row>
    <row r="971" spans="1:6" ht="15" customHeight="1" x14ac:dyDescent="0.3">
      <c r="A971" s="21">
        <v>44823</v>
      </c>
      <c r="B971" s="25">
        <f>('Raw Price Data'!B971-'Raw Price Data'!B970)/'Raw Price Data'!B970</f>
        <v>-2.8243253874596832E-2</v>
      </c>
      <c r="C971" s="25">
        <f>('Raw Price Data'!C971-'Raw Price Data'!C970)/'Raw Price Data'!C970</f>
        <v>1.7564232834954282E-2</v>
      </c>
      <c r="D971" s="25">
        <f>('Raw Price Data'!D971-'Raw Price Data'!D970)/'Raw Price Data'!D970</f>
        <v>1.4090108516561664E-2</v>
      </c>
      <c r="E971" s="25">
        <f>('Raw Price Data'!E971-'Raw Price Data'!E970)/'Raw Price Data'!E970</f>
        <v>2.1053814178182237E-2</v>
      </c>
      <c r="F971" s="25">
        <f>('Raw Price Data'!F971-'Raw Price Data'!F970)/'Raw Price Data'!F970</f>
        <v>1.2285009162283814E-3</v>
      </c>
    </row>
    <row r="972" spans="1:6" ht="15" customHeight="1" x14ac:dyDescent="0.3">
      <c r="A972" s="19">
        <v>44824</v>
      </c>
      <c r="B972" s="26">
        <f>('Raw Price Data'!B972-'Raw Price Data'!B971)/'Raw Price Data'!B971</f>
        <v>-1.1253238341968917E-2</v>
      </c>
      <c r="C972" s="26">
        <f>('Raw Price Data'!C972-'Raw Price Data'!C971)/'Raw Price Data'!C971</f>
        <v>-1.759891883775062E-2</v>
      </c>
      <c r="D972" s="26">
        <f>('Raw Price Data'!D972-'Raw Price Data'!D971)/'Raw Price Data'!D971</f>
        <v>2.6444058490671739E-2</v>
      </c>
      <c r="E972" s="26">
        <f>('Raw Price Data'!E972-'Raw Price Data'!E971)/'Raw Price Data'!E971</f>
        <v>1.2477443774481666E-2</v>
      </c>
      <c r="F972" s="26">
        <f>('Raw Price Data'!F972-'Raw Price Data'!F971)/'Raw Price Data'!F971</f>
        <v>-1.7329728939276903E-3</v>
      </c>
    </row>
    <row r="973" spans="1:6" ht="15" customHeight="1" x14ac:dyDescent="0.3">
      <c r="A973" s="21">
        <v>44825</v>
      </c>
      <c r="B973" s="25">
        <f>('Raw Price Data'!B973-'Raw Price Data'!B972)/'Raw Price Data'!B972</f>
        <v>1.2281994595922843E-3</v>
      </c>
      <c r="C973" s="25">
        <f>('Raw Price Data'!C973-'Raw Price Data'!C972)/'Raw Price Data'!C972</f>
        <v>1.2709597542148695E-2</v>
      </c>
      <c r="D973" s="25">
        <f>('Raw Price Data'!D973-'Raw Price Data'!D972)/'Raw Price Data'!D972</f>
        <v>-7.2594290704656537E-3</v>
      </c>
      <c r="E973" s="25">
        <f>('Raw Price Data'!E973-'Raw Price Data'!E972)/'Raw Price Data'!E972</f>
        <v>-2.803799256667169E-2</v>
      </c>
      <c r="F973" s="25">
        <f>('Raw Price Data'!F973-'Raw Price Data'!F972)/'Raw Price Data'!F972</f>
        <v>-1.2839801936384536E-2</v>
      </c>
    </row>
    <row r="974" spans="1:6" ht="15" customHeight="1" x14ac:dyDescent="0.3">
      <c r="A974" s="19">
        <v>44826</v>
      </c>
      <c r="B974" s="26">
        <f>('Raw Price Data'!B974-'Raw Price Data'!B973)/'Raw Price Data'!B973</f>
        <v>5.2338894340857095E-3</v>
      </c>
      <c r="C974" s="26">
        <f>('Raw Price Data'!C974-'Raw Price Data'!C973)/'Raw Price Data'!C973</f>
        <v>1.233123787818197E-2</v>
      </c>
      <c r="D974" s="26">
        <f>('Raw Price Data'!D974-'Raw Price Data'!D973)/'Raw Price Data'!D973</f>
        <v>-1.8748625467341087E-2</v>
      </c>
      <c r="E974" s="26">
        <f>('Raw Price Data'!E974-'Raw Price Data'!E973)/'Raw Price Data'!E973</f>
        <v>-3.77915427446946E-3</v>
      </c>
      <c r="F974" s="26">
        <f>('Raw Price Data'!F974-'Raw Price Data'!F973)/'Raw Price Data'!F973</f>
        <v>-4.4935275118424172E-3</v>
      </c>
    </row>
    <row r="975" spans="1:6" ht="15" customHeight="1" x14ac:dyDescent="0.3">
      <c r="A975" s="21">
        <v>44827</v>
      </c>
      <c r="B975" s="25">
        <f>('Raw Price Data'!B975-'Raw Price Data'!B974)/'Raw Price Data'!B974</f>
        <v>1.3911487146111241E-2</v>
      </c>
      <c r="C975" s="25">
        <f>('Raw Price Data'!C975-'Raw Price Data'!C974)/'Raw Price Data'!C974</f>
        <v>-2.0575057960534587E-3</v>
      </c>
      <c r="D975" s="25">
        <f>('Raw Price Data'!D975-'Raw Price Data'!D974)/'Raw Price Data'!D974</f>
        <v>1.8098279822939371E-2</v>
      </c>
      <c r="E975" s="25">
        <f>('Raw Price Data'!E975-'Raw Price Data'!E974)/'Raw Price Data'!E974</f>
        <v>1.7732884399551526E-3</v>
      </c>
      <c r="F975" s="25">
        <f>('Raw Price Data'!F975-'Raw Price Data'!F974)/'Raw Price Data'!F974</f>
        <v>5.3590176963002759E-3</v>
      </c>
    </row>
    <row r="976" spans="1:6" ht="15" customHeight="1" x14ac:dyDescent="0.3">
      <c r="A976" s="19">
        <v>44830</v>
      </c>
      <c r="B976" s="26">
        <f>('Raw Price Data'!B976-'Raw Price Data'!B975)/'Raw Price Data'!B975</f>
        <v>-2.6879563507983588E-2</v>
      </c>
      <c r="C976" s="26">
        <f>('Raw Price Data'!C976-'Raw Price Data'!C975)/'Raw Price Data'!C975</f>
        <v>-4.3625389379011595E-3</v>
      </c>
      <c r="D976" s="26">
        <f>('Raw Price Data'!D976-'Raw Price Data'!D975)/'Raw Price Data'!D975</f>
        <v>-1.1227297743533253E-2</v>
      </c>
      <c r="E976" s="26">
        <f>('Raw Price Data'!E976-'Raw Price Data'!E975)/'Raw Price Data'!E975</f>
        <v>2.6104102713482211E-2</v>
      </c>
      <c r="F976" s="26">
        <f>('Raw Price Data'!F976-'Raw Price Data'!F975)/'Raw Price Data'!F975</f>
        <v>-1.1783726986557235E-2</v>
      </c>
    </row>
    <row r="977" spans="1:6" ht="15" customHeight="1" x14ac:dyDescent="0.3">
      <c r="A977" s="21">
        <v>44831</v>
      </c>
      <c r="B977" s="25">
        <f>('Raw Price Data'!B977-'Raw Price Data'!B976)/'Raw Price Data'!B976</f>
        <v>-4.2051451187335512E-3</v>
      </c>
      <c r="C977" s="25">
        <f>('Raw Price Data'!C977-'Raw Price Data'!C976)/'Raw Price Data'!C976</f>
        <v>1.3520103839199285E-2</v>
      </c>
      <c r="D977" s="25">
        <f>('Raw Price Data'!D977-'Raw Price Data'!D976)/'Raw Price Data'!D976</f>
        <v>-7.514193476566817E-3</v>
      </c>
      <c r="E977" s="25">
        <f>('Raw Price Data'!E977-'Raw Price Data'!E976)/'Raw Price Data'!E976</f>
        <v>9.171507184347269E-3</v>
      </c>
      <c r="F977" s="25">
        <f>('Raw Price Data'!F977-'Raw Price Data'!F976)/'Raw Price Data'!F976</f>
        <v>-1.4569670631254189E-2</v>
      </c>
    </row>
    <row r="978" spans="1:6" ht="15" customHeight="1" x14ac:dyDescent="0.3">
      <c r="A978" s="19">
        <v>44832</v>
      </c>
      <c r="B978" s="26">
        <f>('Raw Price Data'!B978-'Raw Price Data'!B977)/'Raw Price Data'!B977</f>
        <v>1.3745135381303394E-2</v>
      </c>
      <c r="C978" s="26">
        <f>('Raw Price Data'!C978-'Raw Price Data'!C977)/'Raw Price Data'!C977</f>
        <v>8.1282155679757336E-3</v>
      </c>
      <c r="D978" s="26">
        <f>('Raw Price Data'!D978-'Raw Price Data'!D977)/'Raw Price Data'!D977</f>
        <v>2.4620043744041198E-2</v>
      </c>
      <c r="E978" s="26">
        <f>('Raw Price Data'!E978-'Raw Price Data'!E977)/'Raw Price Data'!E977</f>
        <v>-2.2374172328731498E-2</v>
      </c>
      <c r="F978" s="26">
        <f>('Raw Price Data'!F978-'Raw Price Data'!F977)/'Raw Price Data'!F977</f>
        <v>-1.4239505468610471E-3</v>
      </c>
    </row>
    <row r="979" spans="1:6" ht="15" customHeight="1" x14ac:dyDescent="0.3">
      <c r="A979" s="21">
        <v>44833</v>
      </c>
      <c r="B979" s="25">
        <f>('Raw Price Data'!B979-'Raw Price Data'!B978)/'Raw Price Data'!B978</f>
        <v>2.172670097198396E-2</v>
      </c>
      <c r="C979" s="25">
        <f>('Raw Price Data'!C979-'Raw Price Data'!C978)/'Raw Price Data'!C978</f>
        <v>7.6661551001226697E-3</v>
      </c>
      <c r="D979" s="25">
        <f>('Raw Price Data'!D979-'Raw Price Data'!D978)/'Raw Price Data'!D978</f>
        <v>-5.2545155993430738E-3</v>
      </c>
      <c r="E979" s="25">
        <f>('Raw Price Data'!E979-'Raw Price Data'!E978)/'Raw Price Data'!E978</f>
        <v>-2.3926516157591858E-2</v>
      </c>
      <c r="F979" s="25">
        <f>('Raw Price Data'!F979-'Raw Price Data'!F978)/'Raw Price Data'!F978</f>
        <v>-4.1667659321025343E-3</v>
      </c>
    </row>
    <row r="980" spans="1:6" ht="15" customHeight="1" x14ac:dyDescent="0.3">
      <c r="A980" s="19">
        <v>44834</v>
      </c>
      <c r="B980" s="26">
        <f>('Raw Price Data'!B980-'Raw Price Data'!B979)/'Raw Price Data'!B979</f>
        <v>2.6061235910144621E-2</v>
      </c>
      <c r="C980" s="26">
        <f>('Raw Price Data'!C980-'Raw Price Data'!C979)/'Raw Price Data'!C979</f>
        <v>-1.2315360679749678E-2</v>
      </c>
      <c r="D980" s="26">
        <f>('Raw Price Data'!D980-'Raw Price Data'!D979)/'Raw Price Data'!D979</f>
        <v>-2.5310883679982828E-3</v>
      </c>
      <c r="E980" s="26">
        <f>('Raw Price Data'!E980-'Raw Price Data'!E979)/'Raw Price Data'!E979</f>
        <v>1.3016168167078639E-2</v>
      </c>
      <c r="F980" s="26">
        <f>('Raw Price Data'!F980-'Raw Price Data'!F979)/'Raw Price Data'!F979</f>
        <v>-1.9160241243441942E-2</v>
      </c>
    </row>
    <row r="981" spans="1:6" ht="15" customHeight="1" x14ac:dyDescent="0.3">
      <c r="A981" s="21">
        <v>44837</v>
      </c>
      <c r="B981" s="25">
        <f>('Raw Price Data'!B981-'Raw Price Data'!B980)/'Raw Price Data'!B980</f>
        <v>-5.0642773665757028E-3</v>
      </c>
      <c r="C981" s="25">
        <f>('Raw Price Data'!C981-'Raw Price Data'!C980)/'Raw Price Data'!C980</f>
        <v>-2.9785224698790656E-2</v>
      </c>
      <c r="D981" s="25">
        <f>('Raw Price Data'!D981-'Raw Price Data'!D980)/'Raw Price Data'!D980</f>
        <v>2.5761253309796929E-2</v>
      </c>
      <c r="E981" s="25">
        <f>('Raw Price Data'!E981-'Raw Price Data'!E980)/'Raw Price Data'!E980</f>
        <v>1.4908333892955405E-2</v>
      </c>
      <c r="F981" s="25">
        <f>('Raw Price Data'!F981-'Raw Price Data'!F980)/'Raw Price Data'!F980</f>
        <v>1.3842004505237013E-2</v>
      </c>
    </row>
    <row r="982" spans="1:6" ht="15" customHeight="1" x14ac:dyDescent="0.3">
      <c r="A982" s="19">
        <v>44838</v>
      </c>
      <c r="B982" s="26">
        <f>('Raw Price Data'!B982-'Raw Price Data'!B981)/'Raw Price Data'!B981</f>
        <v>1.5505090054816005E-2</v>
      </c>
      <c r="C982" s="26">
        <f>('Raw Price Data'!C982-'Raw Price Data'!C981)/'Raw Price Data'!C981</f>
        <v>-1.0570342205323954E-3</v>
      </c>
      <c r="D982" s="26">
        <f>('Raw Price Data'!D982-'Raw Price Data'!D981)/'Raw Price Data'!D981</f>
        <v>9.7337994084431435E-3</v>
      </c>
      <c r="E982" s="26">
        <f>('Raw Price Data'!E982-'Raw Price Data'!E981)/'Raw Price Data'!E981</f>
        <v>-1.0873640794900653E-2</v>
      </c>
      <c r="F982" s="26">
        <f>('Raw Price Data'!F982-'Raw Price Data'!F981)/'Raw Price Data'!F981</f>
        <v>1.3688571303318482E-2</v>
      </c>
    </row>
    <row r="983" spans="1:6" ht="15" customHeight="1" x14ac:dyDescent="0.3">
      <c r="A983" s="21">
        <v>44839</v>
      </c>
      <c r="B983" s="25">
        <f>('Raw Price Data'!B983-'Raw Price Data'!B982)/'Raw Price Data'!B982</f>
        <v>2.4059222702035813E-2</v>
      </c>
      <c r="C983" s="25">
        <f>('Raw Price Data'!C983-'Raw Price Data'!C982)/'Raw Price Data'!C982</f>
        <v>-4.1869352395307591E-3</v>
      </c>
      <c r="D983" s="25">
        <f>('Raw Price Data'!D983-'Raw Price Data'!D982)/'Raw Price Data'!D982</f>
        <v>-1.6350660417554289E-2</v>
      </c>
      <c r="E983" s="25">
        <f>('Raw Price Data'!E983-'Raw Price Data'!E982)/'Raw Price Data'!E982</f>
        <v>-1.1349953173081156E-2</v>
      </c>
      <c r="F983" s="25">
        <f>('Raw Price Data'!F983-'Raw Price Data'!F982)/'Raw Price Data'!F982</f>
        <v>2.4003925939814198E-2</v>
      </c>
    </row>
    <row r="984" spans="1:6" ht="15" customHeight="1" x14ac:dyDescent="0.3">
      <c r="A984" s="19">
        <v>44840</v>
      </c>
      <c r="B984" s="26">
        <f>('Raw Price Data'!B984-'Raw Price Data'!B983)/'Raw Price Data'!B983</f>
        <v>1.6942771084337348E-2</v>
      </c>
      <c r="C984" s="26">
        <f>('Raw Price Data'!C984-'Raw Price Data'!C983)/'Raw Price Data'!C983</f>
        <v>8.676640343702087E-3</v>
      </c>
      <c r="D984" s="26">
        <f>('Raw Price Data'!D984-'Raw Price Data'!D983)/'Raw Price Data'!D983</f>
        <v>2.409442850181379E-2</v>
      </c>
      <c r="E984" s="26">
        <f>('Raw Price Data'!E984-'Raw Price Data'!E983)/'Raw Price Data'!E983</f>
        <v>1.0104427453368559E-2</v>
      </c>
      <c r="F984" s="26">
        <f>('Raw Price Data'!F984-'Raw Price Data'!F983)/'Raw Price Data'!F983</f>
        <v>-4.8222605807881104E-3</v>
      </c>
    </row>
    <row r="985" spans="1:6" ht="15" customHeight="1" x14ac:dyDescent="0.3">
      <c r="A985" s="21">
        <v>44841</v>
      </c>
      <c r="B985" s="25">
        <f>('Raw Price Data'!B985-'Raw Price Data'!B984)/'Raw Price Data'!B984</f>
        <v>1.0292484265086903E-2</v>
      </c>
      <c r="C985" s="25">
        <f>('Raw Price Data'!C985-'Raw Price Data'!C984)/'Raw Price Data'!C984</f>
        <v>-1.2891637488063292E-2</v>
      </c>
      <c r="D985" s="25">
        <f>('Raw Price Data'!D985-'Raw Price Data'!D984)/'Raw Price Data'!D984</f>
        <v>-2.7017024426350775E-2</v>
      </c>
      <c r="E985" s="25">
        <f>('Raw Price Data'!E985-'Raw Price Data'!E984)/'Raw Price Data'!E984</f>
        <v>5.9394886680807588E-3</v>
      </c>
      <c r="F985" s="25">
        <f>('Raw Price Data'!F985-'Raw Price Data'!F984)/'Raw Price Data'!F984</f>
        <v>6.826729874253294E-3</v>
      </c>
    </row>
    <row r="986" spans="1:6" ht="15" customHeight="1" x14ac:dyDescent="0.3">
      <c r="A986" s="19">
        <v>44844</v>
      </c>
      <c r="B986" s="26">
        <f>('Raw Price Data'!B986-'Raw Price Data'!B985)/'Raw Price Data'!B985</f>
        <v>1.1800058633831821E-2</v>
      </c>
      <c r="C986" s="26">
        <f>('Raw Price Data'!C986-'Raw Price Data'!C985)/'Raw Price Data'!C985</f>
        <v>1.1785481208491618E-2</v>
      </c>
      <c r="D986" s="26">
        <f>('Raw Price Data'!D986-'Raw Price Data'!D985)/'Raw Price Data'!D985</f>
        <v>1.6247350975384496E-2</v>
      </c>
      <c r="E986" s="26">
        <f>('Raw Price Data'!E986-'Raw Price Data'!E985)/'Raw Price Data'!E985</f>
        <v>-4.9233091385318874E-2</v>
      </c>
      <c r="F986" s="26">
        <f>('Raw Price Data'!F986-'Raw Price Data'!F985)/'Raw Price Data'!F985</f>
        <v>1.425635271249784E-2</v>
      </c>
    </row>
    <row r="987" spans="1:6" ht="15" customHeight="1" x14ac:dyDescent="0.3">
      <c r="A987" s="21">
        <v>44845</v>
      </c>
      <c r="B987" s="25">
        <f>('Raw Price Data'!B987-'Raw Price Data'!B986)/'Raw Price Data'!B986</f>
        <v>-1.0575878304962026E-2</v>
      </c>
      <c r="C987" s="25">
        <f>('Raw Price Data'!C987-'Raw Price Data'!C986)/'Raw Price Data'!C986</f>
        <v>7.8236454697222235E-3</v>
      </c>
      <c r="D987" s="25">
        <f>('Raw Price Data'!D987-'Raw Price Data'!D986)/'Raw Price Data'!D986</f>
        <v>8.1274729975402728E-3</v>
      </c>
      <c r="E987" s="25">
        <f>('Raw Price Data'!E987-'Raw Price Data'!E986)/'Raw Price Data'!E986</f>
        <v>-4.6459505521443964E-3</v>
      </c>
      <c r="F987" s="25">
        <f>('Raw Price Data'!F987-'Raw Price Data'!F986)/'Raw Price Data'!F986</f>
        <v>6.5034498818787373E-3</v>
      </c>
    </row>
    <row r="988" spans="1:6" ht="15" customHeight="1" x14ac:dyDescent="0.3">
      <c r="A988" s="19">
        <v>44846</v>
      </c>
      <c r="B988" s="26">
        <f>('Raw Price Data'!B988-'Raw Price Data'!B987)/'Raw Price Data'!B987</f>
        <v>-1.9767186470459164E-2</v>
      </c>
      <c r="C988" s="26">
        <f>('Raw Price Data'!C988-'Raw Price Data'!C987)/'Raw Price Data'!C987</f>
        <v>-1.2461317210170811E-2</v>
      </c>
      <c r="D988" s="26">
        <f>('Raw Price Data'!D988-'Raw Price Data'!D987)/'Raw Price Data'!D987</f>
        <v>-7.8497931473426857E-3</v>
      </c>
      <c r="E988" s="26">
        <f>('Raw Price Data'!E988-'Raw Price Data'!E987)/'Raw Price Data'!E987</f>
        <v>1.6043533330206014E-2</v>
      </c>
      <c r="F988" s="26">
        <f>('Raw Price Data'!F988-'Raw Price Data'!F987)/'Raw Price Data'!F987</f>
        <v>1.3405732884327297E-2</v>
      </c>
    </row>
    <row r="989" spans="1:6" ht="15" customHeight="1" x14ac:dyDescent="0.3">
      <c r="A989" s="21">
        <v>44847</v>
      </c>
      <c r="B989" s="25">
        <f>('Raw Price Data'!B989-'Raw Price Data'!B988)/'Raw Price Data'!B988</f>
        <v>1.3966689073119761E-2</v>
      </c>
      <c r="C989" s="25">
        <f>('Raw Price Data'!C989-'Raw Price Data'!C988)/'Raw Price Data'!C988</f>
        <v>1.7269511116533055E-2</v>
      </c>
      <c r="D989" s="25">
        <f>('Raw Price Data'!D989-'Raw Price Data'!D988)/'Raw Price Data'!D988</f>
        <v>-1.1867849887736549E-2</v>
      </c>
      <c r="E989" s="25">
        <f>('Raw Price Data'!E989-'Raw Price Data'!E988)/'Raw Price Data'!E988</f>
        <v>-2.7586684519137514E-2</v>
      </c>
      <c r="F989" s="25">
        <f>('Raw Price Data'!F989-'Raw Price Data'!F988)/'Raw Price Data'!F988</f>
        <v>2.1705322362666779E-3</v>
      </c>
    </row>
    <row r="990" spans="1:6" ht="15" customHeight="1" x14ac:dyDescent="0.3">
      <c r="A990" s="19">
        <v>44848</v>
      </c>
      <c r="B990" s="26">
        <f>('Raw Price Data'!B990-'Raw Price Data'!B989)/'Raw Price Data'!B989</f>
        <v>-4.4932233352974757E-3</v>
      </c>
      <c r="C990" s="26">
        <f>('Raw Price Data'!C990-'Raw Price Data'!C989)/'Raw Price Data'!C989</f>
        <v>-5.4564124088411665E-3</v>
      </c>
      <c r="D990" s="26">
        <f>('Raw Price Data'!D990-'Raw Price Data'!D989)/'Raw Price Data'!D989</f>
        <v>-1.7149967539493702E-2</v>
      </c>
      <c r="E990" s="26">
        <f>('Raw Price Data'!E990-'Raw Price Data'!E989)/'Raw Price Data'!E989</f>
        <v>1.6950359660992773E-2</v>
      </c>
      <c r="F990" s="26">
        <f>('Raw Price Data'!F990-'Raw Price Data'!F989)/'Raw Price Data'!F989</f>
        <v>-5.1633396686231337E-3</v>
      </c>
    </row>
    <row r="991" spans="1:6" ht="15" customHeight="1" x14ac:dyDescent="0.3">
      <c r="A991" s="21">
        <v>44851</v>
      </c>
      <c r="B991" s="25">
        <f>('Raw Price Data'!B991-'Raw Price Data'!B990)/'Raw Price Data'!B990</f>
        <v>-7.3991860895444522E-5</v>
      </c>
      <c r="C991" s="25">
        <f>('Raw Price Data'!C991-'Raw Price Data'!C990)/'Raw Price Data'!C990</f>
        <v>-1.1688634667993029E-2</v>
      </c>
      <c r="D991" s="25">
        <f>('Raw Price Data'!D991-'Raw Price Data'!D990)/'Raw Price Data'!D990</f>
        <v>2.763252050421099E-2</v>
      </c>
      <c r="E991" s="25">
        <f>('Raw Price Data'!E991-'Raw Price Data'!E990)/'Raw Price Data'!E990</f>
        <v>-2.3110862105189384E-2</v>
      </c>
      <c r="F991" s="25">
        <f>('Raw Price Data'!F991-'Raw Price Data'!F990)/'Raw Price Data'!F990</f>
        <v>5.674291859738472E-3</v>
      </c>
    </row>
    <row r="992" spans="1:6" ht="15" customHeight="1" x14ac:dyDescent="0.3">
      <c r="A992" s="19">
        <v>44852</v>
      </c>
      <c r="B992" s="26">
        <f>('Raw Price Data'!B992-'Raw Price Data'!B991)/'Raw Price Data'!B991</f>
        <v>-7.6957229539735992E-3</v>
      </c>
      <c r="C992" s="26">
        <f>('Raw Price Data'!C992-'Raw Price Data'!C991)/'Raw Price Data'!C991</f>
        <v>5.0174619877689274E-3</v>
      </c>
      <c r="D992" s="26">
        <f>('Raw Price Data'!D992-'Raw Price Data'!D991)/'Raw Price Data'!D991</f>
        <v>2.3568482511114562E-3</v>
      </c>
      <c r="E992" s="26">
        <f>('Raw Price Data'!E992-'Raw Price Data'!E991)/'Raw Price Data'!E991</f>
        <v>4.8510048510047856E-3</v>
      </c>
      <c r="F992" s="26">
        <f>('Raw Price Data'!F992-'Raw Price Data'!F991)/'Raw Price Data'!F991</f>
        <v>5.9356386089060584E-3</v>
      </c>
    </row>
    <row r="993" spans="1:6" ht="15" customHeight="1" x14ac:dyDescent="0.3">
      <c r="A993" s="21">
        <v>44853</v>
      </c>
      <c r="B993" s="25">
        <f>('Raw Price Data'!B993-'Raw Price Data'!B992)/'Raw Price Data'!B992</f>
        <v>-5.1454138702460685E-3</v>
      </c>
      <c r="C993" s="25">
        <f>('Raw Price Data'!C993-'Raw Price Data'!C992)/'Raw Price Data'!C992</f>
        <v>3.3383915022765898E-4</v>
      </c>
      <c r="D993" s="25">
        <f>('Raw Price Data'!D993-'Raw Price Data'!D992)/'Raw Price Data'!D992</f>
        <v>-9.5121038849997393E-3</v>
      </c>
      <c r="E993" s="25">
        <f>('Raw Price Data'!E993-'Raw Price Data'!E992)/'Raw Price Data'!E992</f>
        <v>-1.5505350772889373E-2</v>
      </c>
      <c r="F993" s="25">
        <f>('Raw Price Data'!F993-'Raw Price Data'!F992)/'Raw Price Data'!F992</f>
        <v>8.0755365381942213E-3</v>
      </c>
    </row>
    <row r="994" spans="1:6" ht="15" customHeight="1" x14ac:dyDescent="0.3">
      <c r="A994" s="19">
        <v>44854</v>
      </c>
      <c r="B994" s="26">
        <f>('Raw Price Data'!B994-'Raw Price Data'!B993)/'Raw Price Data'!B993</f>
        <v>3.522974289783366E-3</v>
      </c>
      <c r="C994" s="26">
        <f>('Raw Price Data'!C994-'Raw Price Data'!C993)/'Raw Price Data'!C993</f>
        <v>-1.5366645429446914E-2</v>
      </c>
      <c r="D994" s="26">
        <f>('Raw Price Data'!D994-'Raw Price Data'!D993)/'Raw Price Data'!D993</f>
        <v>9.4415969786889667E-3</v>
      </c>
      <c r="E994" s="26">
        <f>('Raw Price Data'!E994-'Raw Price Data'!E993)/'Raw Price Data'!E993</f>
        <v>-3.0049760858012458E-2</v>
      </c>
      <c r="F994" s="26">
        <f>('Raw Price Data'!F994-'Raw Price Data'!F993)/'Raw Price Data'!F993</f>
        <v>1.2726311370825579E-2</v>
      </c>
    </row>
    <row r="995" spans="1:6" ht="15" customHeight="1" x14ac:dyDescent="0.3">
      <c r="A995" s="21">
        <v>44855</v>
      </c>
      <c r="B995" s="25">
        <f>('Raw Price Data'!B995-'Raw Price Data'!B994)/'Raw Price Data'!B994</f>
        <v>-1.3818344786375817E-2</v>
      </c>
      <c r="C995" s="25">
        <f>('Raw Price Data'!C995-'Raw Price Data'!C994)/'Raw Price Data'!C994</f>
        <v>1.1531528755642536E-2</v>
      </c>
      <c r="D995" s="25">
        <f>('Raw Price Data'!D995-'Raw Price Data'!D994)/'Raw Price Data'!D994</f>
        <v>1.9347942276857322E-2</v>
      </c>
      <c r="E995" s="25">
        <f>('Raw Price Data'!E995-'Raw Price Data'!E994)/'Raw Price Data'!E994</f>
        <v>4.6570702794242278E-3</v>
      </c>
      <c r="F995" s="25">
        <f>('Raw Price Data'!F995-'Raw Price Data'!F994)/'Raw Price Data'!F994</f>
        <v>2.1586151471714682E-3</v>
      </c>
    </row>
    <row r="996" spans="1:6" ht="15" customHeight="1" x14ac:dyDescent="0.3">
      <c r="A996" s="19">
        <v>44858</v>
      </c>
      <c r="B996" s="26">
        <f>('Raw Price Data'!B996-'Raw Price Data'!B995)/'Raw Price Data'!B995</f>
        <v>1.211845792622863E-3</v>
      </c>
      <c r="C996" s="26">
        <f>('Raw Price Data'!C996-'Raw Price Data'!C995)/'Raw Price Data'!C995</f>
        <v>4.3407074591625958E-4</v>
      </c>
      <c r="D996" s="26">
        <f>('Raw Price Data'!D996-'Raw Price Data'!D995)/'Raw Price Data'!D995</f>
        <v>5.4005872483221537E-3</v>
      </c>
      <c r="E996" s="26">
        <f>('Raw Price Data'!E996-'Raw Price Data'!E995)/'Raw Price Data'!E995</f>
        <v>-1.4625319154211145E-3</v>
      </c>
      <c r="F996" s="26">
        <f>('Raw Price Data'!F996-'Raw Price Data'!F995)/'Raw Price Data'!F995</f>
        <v>-2.0754819639389314E-3</v>
      </c>
    </row>
    <row r="997" spans="1:6" ht="15" customHeight="1" x14ac:dyDescent="0.3">
      <c r="A997" s="21">
        <v>44859</v>
      </c>
      <c r="B997" s="25">
        <f>('Raw Price Data'!B997-'Raw Price Data'!B996)/'Raw Price Data'!B996</f>
        <v>3.7824343747635981E-3</v>
      </c>
      <c r="C997" s="25">
        <f>('Raw Price Data'!C997-'Raw Price Data'!C996)/'Raw Price Data'!C996</f>
        <v>-1.277288920013395E-2</v>
      </c>
      <c r="D997" s="25">
        <f>('Raw Price Data'!D997-'Raw Price Data'!D996)/'Raw Price Data'!D996</f>
        <v>1.1368970013037846E-2</v>
      </c>
      <c r="E997" s="25">
        <f>('Raw Price Data'!E997-'Raw Price Data'!E996)/'Raw Price Data'!E996</f>
        <v>2.9243830991509928E-2</v>
      </c>
      <c r="F997" s="25">
        <f>('Raw Price Data'!F997-'Raw Price Data'!F996)/'Raw Price Data'!F996</f>
        <v>1.3719529479654774E-2</v>
      </c>
    </row>
    <row r="998" spans="1:6" ht="15" customHeight="1" x14ac:dyDescent="0.3">
      <c r="A998" s="19">
        <v>44860</v>
      </c>
      <c r="B998" s="26">
        <f>('Raw Price Data'!B998-'Raw Price Data'!B997)/'Raw Price Data'!B997</f>
        <v>-7.536362951239303E-4</v>
      </c>
      <c r="C998" s="26">
        <f>('Raw Price Data'!C998-'Raw Price Data'!C997)/'Raw Price Data'!C997</f>
        <v>-3.03406479867998E-2</v>
      </c>
      <c r="D998" s="26">
        <f>('Raw Price Data'!D998-'Raw Price Data'!D997)/'Raw Price Data'!D997</f>
        <v>1.5417934306192855E-2</v>
      </c>
      <c r="E998" s="26">
        <f>('Raw Price Data'!E998-'Raw Price Data'!E997)/'Raw Price Data'!E997</f>
        <v>1.6184273999035166E-2</v>
      </c>
      <c r="F998" s="26">
        <f>('Raw Price Data'!F998-'Raw Price Data'!F997)/'Raw Price Data'!F997</f>
        <v>-1.3369881165602397E-3</v>
      </c>
    </row>
    <row r="999" spans="1:6" ht="15" customHeight="1" x14ac:dyDescent="0.3">
      <c r="A999" s="21">
        <v>44861</v>
      </c>
      <c r="B999" s="25">
        <f>('Raw Price Data'!B999-'Raw Price Data'!B998)/'Raw Price Data'!B998</f>
        <v>-1.0030922392337374E-2</v>
      </c>
      <c r="C999" s="25">
        <f>('Raw Price Data'!C999-'Raw Price Data'!C998)/'Raw Price Data'!C998</f>
        <v>8.1107515167900875E-3</v>
      </c>
      <c r="D999" s="25">
        <f>('Raw Price Data'!D999-'Raw Price Data'!D998)/'Raw Price Data'!D998</f>
        <v>1.3203331302052577E-3</v>
      </c>
      <c r="E999" s="25">
        <f>('Raw Price Data'!E999-'Raw Price Data'!E998)/'Raw Price Data'!E998</f>
        <v>-2.9526951650803442E-2</v>
      </c>
      <c r="F999" s="25">
        <f>('Raw Price Data'!F999-'Raw Price Data'!F998)/'Raw Price Data'!F998</f>
        <v>-8.948937699398786E-3</v>
      </c>
    </row>
    <row r="1000" spans="1:6" ht="15" customHeight="1" x14ac:dyDescent="0.3">
      <c r="A1000" s="19">
        <v>44862</v>
      </c>
      <c r="B1000" s="26">
        <f>('Raw Price Data'!B1000-'Raw Price Data'!B999)/'Raw Price Data'!B999</f>
        <v>1.127533140332179E-2</v>
      </c>
      <c r="C1000" s="26">
        <f>('Raw Price Data'!C1000-'Raw Price Data'!C999)/'Raw Price Data'!C999</f>
        <v>2.342659273223505E-3</v>
      </c>
      <c r="D1000" s="26">
        <f>('Raw Price Data'!D1000-'Raw Price Data'!D999)/'Raw Price Data'!D999</f>
        <v>5.4265138452175331E-3</v>
      </c>
      <c r="E1000" s="26">
        <f>('Raw Price Data'!E1000-'Raw Price Data'!E999)/'Raw Price Data'!E999</f>
        <v>6.6769388803287555E-3</v>
      </c>
      <c r="F1000" s="26">
        <f>('Raw Price Data'!F1000-'Raw Price Data'!F999)/'Raw Price Data'!F999</f>
        <v>1.1107261185949549E-2</v>
      </c>
    </row>
    <row r="1001" spans="1:6" ht="15" customHeight="1" x14ac:dyDescent="0.3">
      <c r="A1001" s="21">
        <v>44865</v>
      </c>
      <c r="B1001" s="25">
        <f>('Raw Price Data'!B1001-'Raw Price Data'!B1000)/'Raw Price Data'!B1000</f>
        <v>2.621666415549186E-2</v>
      </c>
      <c r="C1001" s="25">
        <f>('Raw Price Data'!C1001-'Raw Price Data'!C1000)/'Raw Price Data'!C1000</f>
        <v>2.6991721489502845E-3</v>
      </c>
      <c r="D1001" s="25">
        <f>('Raw Price Data'!D1001-'Raw Price Data'!D1000)/'Raw Price Data'!D1000</f>
        <v>-1.4627994955863407E-3</v>
      </c>
      <c r="E1001" s="25">
        <f>('Raw Price Data'!E1001-'Raw Price Data'!E1000)/'Raw Price Data'!E1000</f>
        <v>1.902332361516031E-2</v>
      </c>
      <c r="F1001" s="25">
        <f>('Raw Price Data'!F1001-'Raw Price Data'!F1000)/'Raw Price Data'!F1000</f>
        <v>-2.3839691947974345E-2</v>
      </c>
    </row>
    <row r="1002" spans="1:6" ht="15" customHeight="1" x14ac:dyDescent="0.3">
      <c r="A1002" s="19">
        <v>44866</v>
      </c>
      <c r="B1002" s="26">
        <f>('Raw Price Data'!B1002-'Raw Price Data'!B1001)/'Raw Price Data'!B1001</f>
        <v>-8.0017618558214897E-3</v>
      </c>
      <c r="C1002" s="26">
        <f>('Raw Price Data'!C1002-'Raw Price Data'!C1001)/'Raw Price Data'!C1001</f>
        <v>2.4886398417818405E-2</v>
      </c>
      <c r="D1002" s="26">
        <f>('Raw Price Data'!D1002-'Raw Price Data'!D1001)/'Raw Price Data'!D1001</f>
        <v>-1.5205091937765302E-2</v>
      </c>
      <c r="E1002" s="26">
        <f>('Raw Price Data'!E1002-'Raw Price Data'!E1001)/'Raw Price Data'!E1001</f>
        <v>1.6498581408101509E-2</v>
      </c>
      <c r="F1002" s="26">
        <f>('Raw Price Data'!F1002-'Raw Price Data'!F1001)/'Raw Price Data'!F1001</f>
        <v>1.3061671357970468E-2</v>
      </c>
    </row>
    <row r="1003" spans="1:6" ht="15" customHeight="1" x14ac:dyDescent="0.3">
      <c r="A1003" s="21">
        <v>44867</v>
      </c>
      <c r="B1003" s="25">
        <f>('Raw Price Data'!B1003-'Raw Price Data'!B1002)/'Raw Price Data'!B1002</f>
        <v>1.7390660845112073E-2</v>
      </c>
      <c r="C1003" s="25">
        <f>('Raw Price Data'!C1003-'Raw Price Data'!C1002)/'Raw Price Data'!C1002</f>
        <v>-4.3341756642928352E-2</v>
      </c>
      <c r="D1003" s="25">
        <f>('Raw Price Data'!D1003-'Raw Price Data'!D1002)/'Raw Price Data'!D1002</f>
        <v>-1.9543472685303938E-2</v>
      </c>
      <c r="E1003" s="25">
        <f>('Raw Price Data'!E1003-'Raw Price Data'!E1002)/'Raw Price Data'!E1002</f>
        <v>3.5651460068019204E-2</v>
      </c>
      <c r="F1003" s="25">
        <f>('Raw Price Data'!F1003-'Raw Price Data'!F1002)/'Raw Price Data'!F1002</f>
        <v>9.945476271609105E-3</v>
      </c>
    </row>
    <row r="1004" spans="1:6" ht="15" customHeight="1" x14ac:dyDescent="0.3">
      <c r="A1004" s="19">
        <v>44868</v>
      </c>
      <c r="B1004" s="26">
        <f>('Raw Price Data'!B1004-'Raw Price Data'!B1003)/'Raw Price Data'!B1003</f>
        <v>1.2656386383474027E-2</v>
      </c>
      <c r="C1004" s="26">
        <f>('Raw Price Data'!C1004-'Raw Price Data'!C1003)/'Raw Price Data'!C1003</f>
        <v>2.2988873769310837E-2</v>
      </c>
      <c r="D1004" s="26">
        <f>('Raw Price Data'!D1004-'Raw Price Data'!D1003)/'Raw Price Data'!D1003</f>
        <v>7.4814272261170189E-3</v>
      </c>
      <c r="E1004" s="26">
        <f>('Raw Price Data'!E1004-'Raw Price Data'!E1003)/'Raw Price Data'!E1003</f>
        <v>3.7368361453968969E-2</v>
      </c>
      <c r="F1004" s="26">
        <f>('Raw Price Data'!F1004-'Raw Price Data'!F1003)/'Raw Price Data'!F1003</f>
        <v>3.6216613925178824E-4</v>
      </c>
    </row>
    <row r="1005" spans="1:6" ht="15" customHeight="1" x14ac:dyDescent="0.3">
      <c r="A1005" s="21">
        <v>44869</v>
      </c>
      <c r="B1005" s="25">
        <f>('Raw Price Data'!B1005-'Raw Price Data'!B1004)/'Raw Price Data'!B1004</f>
        <v>-3.6417181439448304E-2</v>
      </c>
      <c r="C1005" s="25">
        <f>('Raw Price Data'!C1005-'Raw Price Data'!C1004)/'Raw Price Data'!C1004</f>
        <v>2.4647501604043755E-2</v>
      </c>
      <c r="D1005" s="25">
        <f>('Raw Price Data'!D1005-'Raw Price Data'!D1004)/'Raw Price Data'!D1004</f>
        <v>-1.0749337903100136E-2</v>
      </c>
      <c r="E1005" s="25">
        <f>('Raw Price Data'!E1005-'Raw Price Data'!E1004)/'Raw Price Data'!E1004</f>
        <v>-1.2858858203252889E-2</v>
      </c>
      <c r="F1005" s="25">
        <f>('Raw Price Data'!F1005-'Raw Price Data'!F1004)/'Raw Price Data'!F1004</f>
        <v>1.3307940896651937E-2</v>
      </c>
    </row>
    <row r="1006" spans="1:6" ht="15" customHeight="1" x14ac:dyDescent="0.3">
      <c r="A1006" s="19">
        <v>44872</v>
      </c>
      <c r="B1006" s="26">
        <f>('Raw Price Data'!B1006-'Raw Price Data'!B1005)/'Raw Price Data'!B1005</f>
        <v>-1.0212448751397723E-2</v>
      </c>
      <c r="C1006" s="26">
        <f>('Raw Price Data'!C1006-'Raw Price Data'!C1005)/'Raw Price Data'!C1005</f>
        <v>-1.6693139470951111E-2</v>
      </c>
      <c r="D1006" s="26">
        <f>('Raw Price Data'!D1006-'Raw Price Data'!D1005)/'Raw Price Data'!D1005</f>
        <v>5.249343832016223E-5</v>
      </c>
      <c r="E1006" s="26">
        <f>('Raw Price Data'!E1006-'Raw Price Data'!E1005)/'Raw Price Data'!E1005</f>
        <v>7.8069709837225157E-3</v>
      </c>
      <c r="F1006" s="26">
        <f>('Raw Price Data'!F1006-'Raw Price Data'!F1005)/'Raw Price Data'!F1005</f>
        <v>-4.1941096425529342E-3</v>
      </c>
    </row>
    <row r="1007" spans="1:6" ht="15" customHeight="1" x14ac:dyDescent="0.3">
      <c r="A1007" s="21">
        <v>44873</v>
      </c>
      <c r="B1007" s="25">
        <f>('Raw Price Data'!B1007-'Raw Price Data'!B1006)/'Raw Price Data'!B1006</f>
        <v>-8.5103178189486033E-3</v>
      </c>
      <c r="C1007" s="25">
        <f>('Raw Price Data'!C1007-'Raw Price Data'!C1006)/'Raw Price Data'!C1006</f>
        <v>1.849090598449897E-2</v>
      </c>
      <c r="D1007" s="25">
        <f>('Raw Price Data'!D1007-'Raw Price Data'!D1006)/'Raw Price Data'!D1006</f>
        <v>-3.5168757545535013E-3</v>
      </c>
      <c r="E1007" s="25">
        <f>('Raw Price Data'!E1007-'Raw Price Data'!E1006)/'Raw Price Data'!E1006</f>
        <v>4.5864513155873463E-2</v>
      </c>
      <c r="F1007" s="25">
        <f>('Raw Price Data'!F1007-'Raw Price Data'!F1006)/'Raw Price Data'!F1006</f>
        <v>3.7617006179785366E-3</v>
      </c>
    </row>
    <row r="1008" spans="1:6" ht="15" customHeight="1" x14ac:dyDescent="0.3">
      <c r="A1008" s="19">
        <v>44874</v>
      </c>
      <c r="B1008" s="26">
        <f>('Raw Price Data'!B1008-'Raw Price Data'!B1007)/'Raw Price Data'!B1007</f>
        <v>1.1165970375996953E-2</v>
      </c>
      <c r="C1008" s="26">
        <f>('Raw Price Data'!C1008-'Raw Price Data'!C1007)/'Raw Price Data'!C1007</f>
        <v>-1.3725056615858541E-2</v>
      </c>
      <c r="D1008" s="26">
        <f>('Raw Price Data'!D1008-'Raw Price Data'!D1007)/'Raw Price Data'!D1007</f>
        <v>1.569742941424352E-2</v>
      </c>
      <c r="E1008" s="26">
        <f>('Raw Price Data'!E1008-'Raw Price Data'!E1007)/'Raw Price Data'!E1007</f>
        <v>2.461235023815023E-2</v>
      </c>
      <c r="F1008" s="26">
        <f>('Raw Price Data'!F1008-'Raw Price Data'!F1007)/'Raw Price Data'!F1007</f>
        <v>-1.5927137587353746E-2</v>
      </c>
    </row>
    <row r="1009" spans="1:6" ht="15" customHeight="1" x14ac:dyDescent="0.3">
      <c r="A1009" s="21">
        <v>44875</v>
      </c>
      <c r="B1009" s="25">
        <f>('Raw Price Data'!B1009-'Raw Price Data'!B1008)/'Raw Price Data'!B1008</f>
        <v>2.9296874999998972E-3</v>
      </c>
      <c r="C1009" s="25">
        <f>('Raw Price Data'!C1009-'Raw Price Data'!C1008)/'Raw Price Data'!C1008</f>
        <v>-1.7789357310181133E-2</v>
      </c>
      <c r="D1009" s="25">
        <f>('Raw Price Data'!D1009-'Raw Price Data'!D1008)/'Raw Price Data'!D1008</f>
        <v>4.771289285343927E-3</v>
      </c>
      <c r="E1009" s="25">
        <f>('Raw Price Data'!E1009-'Raw Price Data'!E1008)/'Raw Price Data'!E1008</f>
        <v>-1.2184633027522913E-2</v>
      </c>
      <c r="F1009" s="25">
        <f>('Raw Price Data'!F1009-'Raw Price Data'!F1008)/'Raw Price Data'!F1008</f>
        <v>-1.3636605699992735E-2</v>
      </c>
    </row>
    <row r="1010" spans="1:6" ht="15" customHeight="1" x14ac:dyDescent="0.3">
      <c r="A1010" s="19">
        <v>44876</v>
      </c>
      <c r="B1010" s="26">
        <f>('Raw Price Data'!B1010-'Raw Price Data'!B1009)/'Raw Price Data'!B1009</f>
        <v>6.8908695977830574E-3</v>
      </c>
      <c r="C1010" s="26">
        <f>('Raw Price Data'!C1010-'Raw Price Data'!C1009)/'Raw Price Data'!C1009</f>
        <v>-1.1964170457944223E-3</v>
      </c>
      <c r="D1010" s="26">
        <f>('Raw Price Data'!D1010-'Raw Price Data'!D1009)/'Raw Price Data'!D1009</f>
        <v>5.2647878600184878E-3</v>
      </c>
      <c r="E1010" s="26">
        <f>('Raw Price Data'!E1010-'Raw Price Data'!E1009)/'Raw Price Data'!E1009</f>
        <v>-2.8339241660965683E-2</v>
      </c>
      <c r="F1010" s="26">
        <f>('Raw Price Data'!F1010-'Raw Price Data'!F1009)/'Raw Price Data'!F1009</f>
        <v>5.4031400531089242E-3</v>
      </c>
    </row>
    <row r="1011" spans="1:6" ht="15" customHeight="1" x14ac:dyDescent="0.3">
      <c r="A1011" s="21">
        <v>44879</v>
      </c>
      <c r="B1011" s="25">
        <f>('Raw Price Data'!B1011-'Raw Price Data'!B1010)/'Raw Price Data'!B1010</f>
        <v>9.0753552034516013E-3</v>
      </c>
      <c r="C1011" s="25">
        <f>('Raw Price Data'!C1011-'Raw Price Data'!C1010)/'Raw Price Data'!C1010</f>
        <v>3.2830551483915595E-2</v>
      </c>
      <c r="D1011" s="25">
        <f>('Raw Price Data'!D1011-'Raw Price Data'!D1010)/'Raw Price Data'!D1010</f>
        <v>-4.107619634421765E-3</v>
      </c>
      <c r="E1011" s="25">
        <f>('Raw Price Data'!E1011-'Raw Price Data'!E1010)/'Raw Price Data'!E1010</f>
        <v>-2.8931085982504805E-2</v>
      </c>
      <c r="F1011" s="25">
        <f>('Raw Price Data'!F1011-'Raw Price Data'!F1010)/'Raw Price Data'!F1010</f>
        <v>-4.3058805454676682E-3</v>
      </c>
    </row>
    <row r="1012" spans="1:6" ht="15" customHeight="1" x14ac:dyDescent="0.3">
      <c r="A1012" s="19">
        <v>44880</v>
      </c>
      <c r="B1012" s="26">
        <f>('Raw Price Data'!B1012-'Raw Price Data'!B1011)/'Raw Price Data'!B1011</f>
        <v>-1.2089937338739511E-2</v>
      </c>
      <c r="C1012" s="26">
        <f>('Raw Price Data'!C1012-'Raw Price Data'!C1011)/'Raw Price Data'!C1011</f>
        <v>6.9739050816420732E-3</v>
      </c>
      <c r="D1012" s="26">
        <f>('Raw Price Data'!D1012-'Raw Price Data'!D1011)/'Raw Price Data'!D1011</f>
        <v>-1.8044957723241611E-3</v>
      </c>
      <c r="E1012" s="26">
        <f>('Raw Price Data'!E1012-'Raw Price Data'!E1011)/'Raw Price Data'!E1011</f>
        <v>1.2875159291646556E-2</v>
      </c>
      <c r="F1012" s="26">
        <f>('Raw Price Data'!F1012-'Raw Price Data'!F1011)/'Raw Price Data'!F1011</f>
        <v>-1.2620646355868266E-2</v>
      </c>
    </row>
    <row r="1013" spans="1:6" ht="15" customHeight="1" x14ac:dyDescent="0.3">
      <c r="A1013" s="21">
        <v>44881</v>
      </c>
      <c r="B1013" s="25">
        <f>('Raw Price Data'!B1013-'Raw Price Data'!B1012)/'Raw Price Data'!B1012</f>
        <v>-1.0073875083948917E-2</v>
      </c>
      <c r="C1013" s="25">
        <f>('Raw Price Data'!C1013-'Raw Price Data'!C1012)/'Raw Price Data'!C1012</f>
        <v>1.4775637625593263E-3</v>
      </c>
      <c r="D1013" s="25">
        <f>('Raw Price Data'!D1013-'Raw Price Data'!D1012)/'Raw Price Data'!D1012</f>
        <v>-4.9584215691338661E-3</v>
      </c>
      <c r="E1013" s="25">
        <f>('Raw Price Data'!E1013-'Raw Price Data'!E1012)/'Raw Price Data'!E1012</f>
        <v>-1.5618221258135083E-3</v>
      </c>
      <c r="F1013" s="25">
        <f>('Raw Price Data'!F1013-'Raw Price Data'!F1012)/'Raw Price Data'!F1012</f>
        <v>1.0880981563835922E-2</v>
      </c>
    </row>
    <row r="1014" spans="1:6" ht="15" customHeight="1" x14ac:dyDescent="0.3">
      <c r="A1014" s="19">
        <v>44882</v>
      </c>
      <c r="B1014" s="26">
        <f>('Raw Price Data'!B1014-'Raw Price Data'!B1013)/'Raw Price Data'!B1013</f>
        <v>-1.6583747927031423E-2</v>
      </c>
      <c r="C1014" s="26">
        <f>('Raw Price Data'!C1014-'Raw Price Data'!C1013)/'Raw Price Data'!C1013</f>
        <v>1.6214089536880687E-2</v>
      </c>
      <c r="D1014" s="26">
        <f>('Raw Price Data'!D1014-'Raw Price Data'!D1013)/'Raw Price Data'!D1013</f>
        <v>4.3083311705163982E-3</v>
      </c>
      <c r="E1014" s="26">
        <f>('Raw Price Data'!E1014-'Raw Price Data'!E1013)/'Raw Price Data'!E1013</f>
        <v>-2.998175023898487E-3</v>
      </c>
      <c r="F1014" s="26">
        <f>('Raw Price Data'!F1014-'Raw Price Data'!F1013)/'Raw Price Data'!F1013</f>
        <v>-5.69656153994754E-4</v>
      </c>
    </row>
    <row r="1015" spans="1:6" ht="15" customHeight="1" x14ac:dyDescent="0.3">
      <c r="A1015" s="21">
        <v>44883</v>
      </c>
      <c r="B1015" s="25">
        <f>('Raw Price Data'!B1015-'Raw Price Data'!B1014)/'Raw Price Data'!B1014</f>
        <v>-2.0695998773571228E-3</v>
      </c>
      <c r="C1015" s="25">
        <f>('Raw Price Data'!C1015-'Raw Price Data'!C1014)/'Raw Price Data'!C1014</f>
        <v>-1.0378819465125847E-2</v>
      </c>
      <c r="D1015" s="25">
        <f>('Raw Price Data'!D1015-'Raw Price Data'!D1014)/'Raw Price Data'!D1014</f>
        <v>-2.6721108124870725E-2</v>
      </c>
      <c r="E1015" s="25">
        <f>('Raw Price Data'!E1015-'Raw Price Data'!E1014)/'Raw Price Data'!E1014</f>
        <v>-1.0459795162344639E-2</v>
      </c>
      <c r="F1015" s="25">
        <f>('Raw Price Data'!F1015-'Raw Price Data'!F1014)/'Raw Price Data'!F1014</f>
        <v>-7.2017358838219244E-3</v>
      </c>
    </row>
    <row r="1016" spans="1:6" ht="15" customHeight="1" x14ac:dyDescent="0.3">
      <c r="A1016" s="19">
        <v>44886</v>
      </c>
      <c r="B1016" s="26">
        <f>('Raw Price Data'!B1016-'Raw Price Data'!B1015)/'Raw Price Data'!B1015</f>
        <v>-1.3057838543665988E-3</v>
      </c>
      <c r="C1016" s="26">
        <f>('Raw Price Data'!C1016-'Raw Price Data'!C1015)/'Raw Price Data'!C1015</f>
        <v>2.7009133450698823E-2</v>
      </c>
      <c r="D1016" s="26">
        <f>('Raw Price Data'!D1016-'Raw Price Data'!D1015)/'Raw Price Data'!D1015</f>
        <v>5.3103924379963385E-5</v>
      </c>
      <c r="E1016" s="26">
        <f>('Raw Price Data'!E1016-'Raw Price Data'!E1015)/'Raw Price Data'!E1015</f>
        <v>-1.5789473684210562E-2</v>
      </c>
      <c r="F1016" s="26">
        <f>('Raw Price Data'!F1016-'Raw Price Data'!F1015)/'Raw Price Data'!F1015</f>
        <v>-1.4932863165887671E-3</v>
      </c>
    </row>
    <row r="1017" spans="1:6" ht="15" customHeight="1" x14ac:dyDescent="0.3">
      <c r="A1017" s="21">
        <v>44887</v>
      </c>
      <c r="B1017" s="25">
        <f>('Raw Price Data'!B1017-'Raw Price Data'!B1016)/'Raw Price Data'!B1016</f>
        <v>2.6918935548376735E-3</v>
      </c>
      <c r="C1017" s="25">
        <f>('Raw Price Data'!C1017-'Raw Price Data'!C1016)/'Raw Price Data'!C1016</f>
        <v>2.8298707768042979E-2</v>
      </c>
      <c r="D1017" s="25">
        <f>('Raw Price Data'!D1017-'Raw Price Data'!D1016)/'Raw Price Data'!D1016</f>
        <v>6.2128292268480035E-3</v>
      </c>
      <c r="E1017" s="25">
        <f>('Raw Price Data'!E1017-'Raw Price Data'!E1016)/'Raw Price Data'!E1016</f>
        <v>1.2127178752824862E-2</v>
      </c>
      <c r="F1017" s="25">
        <f>('Raw Price Data'!F1017-'Raw Price Data'!F1016)/'Raw Price Data'!F1016</f>
        <v>1.7415526990276028E-2</v>
      </c>
    </row>
    <row r="1018" spans="1:6" ht="15" customHeight="1" x14ac:dyDescent="0.3">
      <c r="A1018" s="19">
        <v>44888</v>
      </c>
      <c r="B1018" s="26">
        <f>('Raw Price Data'!B1018-'Raw Price Data'!B1017)/'Raw Price Data'!B1017</f>
        <v>-9.8182097108230511E-3</v>
      </c>
      <c r="C1018" s="26">
        <f>('Raw Price Data'!C1018-'Raw Price Data'!C1017)/'Raw Price Data'!C1017</f>
        <v>8.1640794751052827E-3</v>
      </c>
      <c r="D1018" s="26">
        <f>('Raw Price Data'!D1018-'Raw Price Data'!D1017)/'Raw Price Data'!D1017</f>
        <v>6.5966541770014243E-3</v>
      </c>
      <c r="E1018" s="26">
        <f>('Raw Price Data'!E1018-'Raw Price Data'!E1017)/'Raw Price Data'!E1017</f>
        <v>-4.4213551453605949E-5</v>
      </c>
      <c r="F1018" s="26">
        <f>('Raw Price Data'!F1018-'Raw Price Data'!F1017)/'Raw Price Data'!F1017</f>
        <v>1.2589150715489356E-2</v>
      </c>
    </row>
    <row r="1019" spans="1:6" ht="15" customHeight="1" x14ac:dyDescent="0.3">
      <c r="A1019" s="21">
        <v>44889</v>
      </c>
      <c r="B1019" s="25">
        <f>('Raw Price Data'!B1019-'Raw Price Data'!B1018)/'Raw Price Data'!B1018</f>
        <v>1.2936710821907099E-2</v>
      </c>
      <c r="C1019" s="25">
        <f>('Raw Price Data'!C1019-'Raw Price Data'!C1018)/'Raw Price Data'!C1018</f>
        <v>-1.3312888204244115E-2</v>
      </c>
      <c r="D1019" s="25">
        <f>('Raw Price Data'!D1019-'Raw Price Data'!D1018)/'Raw Price Data'!D1018</f>
        <v>-1.6567054629338347E-2</v>
      </c>
      <c r="E1019" s="25">
        <f>('Raw Price Data'!E1019-'Raw Price Data'!E1018)/'Raw Price Data'!E1018</f>
        <v>8.6220237437270014E-3</v>
      </c>
      <c r="F1019" s="25">
        <f>('Raw Price Data'!F1019-'Raw Price Data'!F1018)/'Raw Price Data'!F1018</f>
        <v>9.4980085280282076E-4</v>
      </c>
    </row>
    <row r="1020" spans="1:6" ht="15" customHeight="1" x14ac:dyDescent="0.3">
      <c r="A1020" s="19">
        <v>44890</v>
      </c>
      <c r="B1020" s="26">
        <f>('Raw Price Data'!B1020-'Raw Price Data'!B1019)/'Raw Price Data'!B1019</f>
        <v>1.3000917711838615E-2</v>
      </c>
      <c r="C1020" s="26">
        <f>('Raw Price Data'!C1020-'Raw Price Data'!C1019)/'Raw Price Data'!C1019</f>
        <v>1.9508282426074074E-2</v>
      </c>
      <c r="D1020" s="26">
        <f>('Raw Price Data'!D1020-'Raw Price Data'!D1019)/'Raw Price Data'!D1019</f>
        <v>-6.2373387354729493E-3</v>
      </c>
      <c r="E1020" s="26">
        <f>('Raw Price Data'!E1020-'Raw Price Data'!E1019)/'Raw Price Data'!E1019</f>
        <v>-3.0467088968283616E-2</v>
      </c>
      <c r="F1020" s="26">
        <f>('Raw Price Data'!F1020-'Raw Price Data'!F1019)/'Raw Price Data'!F1019</f>
        <v>7.6526225891228161E-3</v>
      </c>
    </row>
    <row r="1021" spans="1:6" ht="15" customHeight="1" x14ac:dyDescent="0.3">
      <c r="A1021" s="21">
        <v>44893</v>
      </c>
      <c r="B1021" s="25">
        <f>('Raw Price Data'!B1021-'Raw Price Data'!B1020)/'Raw Price Data'!B1020</f>
        <v>2.1742412803865283E-2</v>
      </c>
      <c r="C1021" s="25">
        <f>('Raw Price Data'!C1021-'Raw Price Data'!C1020)/'Raw Price Data'!C1020</f>
        <v>5.7882647147664036E-3</v>
      </c>
      <c r="D1021" s="25">
        <f>('Raw Price Data'!D1021-'Raw Price Data'!D1020)/'Raw Price Data'!D1020</f>
        <v>-5.6327450244084707E-3</v>
      </c>
      <c r="E1021" s="25">
        <f>('Raw Price Data'!E1021-'Raw Price Data'!E1020)/'Raw Price Data'!E1020</f>
        <v>3.4295661610110134E-2</v>
      </c>
      <c r="F1021" s="25">
        <f>('Raw Price Data'!F1021-'Raw Price Data'!F1020)/'Raw Price Data'!F1020</f>
        <v>-6.2308030870402023E-3</v>
      </c>
    </row>
    <row r="1022" spans="1:6" ht="15" customHeight="1" x14ac:dyDescent="0.3">
      <c r="A1022" s="19">
        <v>44894</v>
      </c>
      <c r="B1022" s="26">
        <f>('Raw Price Data'!B1022-'Raw Price Data'!B1021)/'Raw Price Data'!B1021</f>
        <v>1.0196542042263893E-2</v>
      </c>
      <c r="C1022" s="26">
        <f>('Raw Price Data'!C1022-'Raw Price Data'!C1021)/'Raw Price Data'!C1021</f>
        <v>1.1949909555038817E-2</v>
      </c>
      <c r="D1022" s="26">
        <f>('Raw Price Data'!D1022-'Raw Price Data'!D1021)/'Raw Price Data'!D1021</f>
        <v>-8.0923608113940438E-3</v>
      </c>
      <c r="E1022" s="26">
        <f>('Raw Price Data'!E1022-'Raw Price Data'!E1021)/'Raw Price Data'!E1021</f>
        <v>2.2754098360655794E-2</v>
      </c>
      <c r="F1022" s="26">
        <f>('Raw Price Data'!F1022-'Raw Price Data'!F1021)/'Raw Price Data'!F1021</f>
        <v>2.0759276377539361E-2</v>
      </c>
    </row>
    <row r="1023" spans="1:6" ht="15" customHeight="1" x14ac:dyDescent="0.3">
      <c r="A1023" s="21">
        <v>44895</v>
      </c>
      <c r="B1023" s="25">
        <f>('Raw Price Data'!B1023-'Raw Price Data'!B1022)/'Raw Price Data'!B1022</f>
        <v>2.8525453481569249E-3</v>
      </c>
      <c r="C1023" s="25">
        <f>('Raw Price Data'!C1023-'Raw Price Data'!C1022)/'Raw Price Data'!C1022</f>
        <v>2.0642961654197507E-2</v>
      </c>
      <c r="D1023" s="25">
        <f>('Raw Price Data'!D1023-'Raw Price Data'!D1022)/'Raw Price Data'!D1022</f>
        <v>-1.8764277167410078E-2</v>
      </c>
      <c r="E1023" s="25">
        <f>('Raw Price Data'!E1023-'Raw Price Data'!E1022)/'Raw Price Data'!E1022</f>
        <v>2.0709110726421742E-2</v>
      </c>
      <c r="F1023" s="25">
        <f>('Raw Price Data'!F1023-'Raw Price Data'!F1022)/'Raw Price Data'!F1022</f>
        <v>1.5204500884937581E-2</v>
      </c>
    </row>
    <row r="1024" spans="1:6" ht="15" customHeight="1" x14ac:dyDescent="0.3">
      <c r="A1024" s="19">
        <v>44896</v>
      </c>
      <c r="B1024" s="26">
        <f>('Raw Price Data'!B1024-'Raw Price Data'!B1023)/'Raw Price Data'!B1023</f>
        <v>9.6273065421923487E-3</v>
      </c>
      <c r="C1024" s="26">
        <f>('Raw Price Data'!C1024-'Raw Price Data'!C1023)/'Raw Price Data'!C1023</f>
        <v>8.2970997342493615E-3</v>
      </c>
      <c r="D1024" s="26">
        <f>('Raw Price Data'!D1024-'Raw Price Data'!D1023)/'Raw Price Data'!D1023</f>
        <v>-1.6684219278310465E-2</v>
      </c>
      <c r="E1024" s="26">
        <f>('Raw Price Data'!E1024-'Raw Price Data'!E1023)/'Raw Price Data'!E1023</f>
        <v>-3.8525963149078794E-2</v>
      </c>
      <c r="F1024" s="26">
        <f>('Raw Price Data'!F1024-'Raw Price Data'!F1023)/'Raw Price Data'!F1023</f>
        <v>-3.7123140586153959E-3</v>
      </c>
    </row>
    <row r="1025" spans="1:6" ht="15" customHeight="1" x14ac:dyDescent="0.3">
      <c r="A1025" s="21">
        <v>44897</v>
      </c>
      <c r="B1025" s="25">
        <f>('Raw Price Data'!B1025-'Raw Price Data'!B1024)/'Raw Price Data'!B1024</f>
        <v>8.8131185436682719E-3</v>
      </c>
      <c r="C1025" s="25">
        <f>('Raw Price Data'!C1025-'Raw Price Data'!C1024)/'Raw Price Data'!C1024</f>
        <v>-1.532425725974107E-2</v>
      </c>
      <c r="D1025" s="25">
        <f>('Raw Price Data'!D1025-'Raw Price Data'!D1024)/'Raw Price Data'!D1024</f>
        <v>5.0732807215334507E-4</v>
      </c>
      <c r="E1025" s="25">
        <f>('Raw Price Data'!E1025-'Raw Price Data'!E1024)/'Raw Price Data'!E1024</f>
        <v>1.7312717770034819E-2</v>
      </c>
      <c r="F1025" s="25">
        <f>('Raw Price Data'!F1025-'Raw Price Data'!F1024)/'Raw Price Data'!F1024</f>
        <v>2.6218143487501907E-3</v>
      </c>
    </row>
    <row r="1026" spans="1:6" ht="15" customHeight="1" x14ac:dyDescent="0.3">
      <c r="A1026" s="19">
        <v>44900</v>
      </c>
      <c r="B1026" s="26">
        <f>('Raw Price Data'!B1026-'Raw Price Data'!B1025)/'Raw Price Data'!B1025</f>
        <v>-8.736126029359104E-3</v>
      </c>
      <c r="C1026" s="26">
        <f>('Raw Price Data'!C1026-'Raw Price Data'!C1025)/'Raw Price Data'!C1025</f>
        <v>2.6882342925251167E-2</v>
      </c>
      <c r="D1026" s="26">
        <f>('Raw Price Data'!D1026-'Raw Price Data'!D1025)/'Raw Price Data'!D1025</f>
        <v>6.4792382669444882E-3</v>
      </c>
      <c r="E1026" s="26">
        <f>('Raw Price Data'!E1026-'Raw Price Data'!E1025)/'Raw Price Data'!E1025</f>
        <v>-2.6608155838595635E-2</v>
      </c>
      <c r="F1026" s="26">
        <f>('Raw Price Data'!F1026-'Raw Price Data'!F1025)/'Raw Price Data'!F1025</f>
        <v>1.0809669282921715E-2</v>
      </c>
    </row>
    <row r="1027" spans="1:6" ht="15" customHeight="1" x14ac:dyDescent="0.3">
      <c r="A1027" s="21">
        <v>44901</v>
      </c>
      <c r="B1027" s="25">
        <f>('Raw Price Data'!B1027-'Raw Price Data'!B1026)/'Raw Price Data'!B1026</f>
        <v>1.8204146500035986E-2</v>
      </c>
      <c r="C1027" s="25">
        <f>('Raw Price Data'!C1027-'Raw Price Data'!C1026)/'Raw Price Data'!C1026</f>
        <v>5.5182659910327754E-3</v>
      </c>
      <c r="D1027" s="25">
        <f>('Raw Price Data'!D1027-'Raw Price Data'!D1026)/'Raw Price Data'!D1026</f>
        <v>2.742946708464001E-3</v>
      </c>
      <c r="E1027" s="25">
        <f>('Raw Price Data'!E1027-'Raw Price Data'!E1026)/'Raw Price Data'!E1026</f>
        <v>8.5767065446867904E-3</v>
      </c>
      <c r="F1027" s="25">
        <f>('Raw Price Data'!F1027-'Raw Price Data'!F1026)/'Raw Price Data'!F1026</f>
        <v>1.1297754641434486E-2</v>
      </c>
    </row>
    <row r="1028" spans="1:6" ht="15" customHeight="1" x14ac:dyDescent="0.3">
      <c r="A1028" s="19">
        <v>44902</v>
      </c>
      <c r="B1028" s="26">
        <f>('Raw Price Data'!B1028-'Raw Price Data'!B1027)/'Raw Price Data'!B1027</f>
        <v>2.4122029088329236E-2</v>
      </c>
      <c r="C1028" s="26">
        <f>('Raw Price Data'!C1028-'Raw Price Data'!C1027)/'Raw Price Data'!C1027</f>
        <v>6.3124983509669514E-3</v>
      </c>
      <c r="D1028" s="26">
        <f>('Raw Price Data'!D1028-'Raw Price Data'!D1027)/'Raw Price Data'!D1027</f>
        <v>-1.3342265393847967E-2</v>
      </c>
      <c r="E1028" s="26">
        <f>('Raw Price Data'!E1028-'Raw Price Data'!E1027)/'Raw Price Data'!E1027</f>
        <v>2.2458680388993089E-2</v>
      </c>
      <c r="F1028" s="26">
        <f>('Raw Price Data'!F1028-'Raw Price Data'!F1027)/'Raw Price Data'!F1027</f>
        <v>1.1788626165875237E-2</v>
      </c>
    </row>
    <row r="1029" spans="1:6" ht="15" customHeight="1" x14ac:dyDescent="0.3">
      <c r="A1029" s="21">
        <v>44903</v>
      </c>
      <c r="B1029" s="25">
        <f>('Raw Price Data'!B1029-'Raw Price Data'!B1028)/'Raw Price Data'!B1028</f>
        <v>2.7710426047800486E-2</v>
      </c>
      <c r="C1029" s="25">
        <f>('Raw Price Data'!C1029-'Raw Price Data'!C1028)/'Raw Price Data'!C1028</f>
        <v>1.1444602486874128E-2</v>
      </c>
      <c r="D1029" s="25">
        <f>('Raw Price Data'!D1029-'Raw Price Data'!D1028)/'Raw Price Data'!D1028</f>
        <v>6.4501527667759776E-3</v>
      </c>
      <c r="E1029" s="25">
        <f>('Raw Price Data'!E1029-'Raw Price Data'!E1028)/'Raw Price Data'!E1028</f>
        <v>2.0728482470357353E-2</v>
      </c>
      <c r="F1029" s="25">
        <f>('Raw Price Data'!F1029-'Raw Price Data'!F1028)/'Raw Price Data'!F1028</f>
        <v>8.1244123925715804E-3</v>
      </c>
    </row>
    <row r="1030" spans="1:6" ht="15" customHeight="1" x14ac:dyDescent="0.3">
      <c r="A1030" s="19">
        <v>44904</v>
      </c>
      <c r="B1030" s="26">
        <f>('Raw Price Data'!B1030-'Raw Price Data'!B1029)/'Raw Price Data'!B1029</f>
        <v>8.0889787664310451E-4</v>
      </c>
      <c r="C1030" s="26">
        <f>('Raw Price Data'!C1030-'Raw Price Data'!C1029)/'Raw Price Data'!C1029</f>
        <v>6.0917521564155166E-3</v>
      </c>
      <c r="D1030" s="26">
        <f>('Raw Price Data'!D1030-'Raw Price Data'!D1029)/'Raw Price Data'!D1029</f>
        <v>-2.7546660670115194E-3</v>
      </c>
      <c r="E1030" s="26">
        <f>('Raw Price Data'!E1030-'Raw Price Data'!E1029)/'Raw Price Data'!E1029</f>
        <v>1.4186027076717409E-2</v>
      </c>
      <c r="F1030" s="26">
        <f>('Raw Price Data'!F1030-'Raw Price Data'!F1029)/'Raw Price Data'!F1029</f>
        <v>4.2754547992001294E-3</v>
      </c>
    </row>
    <row r="1031" spans="1:6" ht="15" customHeight="1" x14ac:dyDescent="0.3">
      <c r="A1031" s="21">
        <v>44907</v>
      </c>
      <c r="B1031" s="25">
        <f>('Raw Price Data'!B1031-'Raw Price Data'!B1030)/'Raw Price Data'!B1030</f>
        <v>4.7821108641476926E-3</v>
      </c>
      <c r="C1031" s="25">
        <f>('Raw Price Data'!C1031-'Raw Price Data'!C1030)/'Raw Price Data'!C1030</f>
        <v>1.379092671678041E-2</v>
      </c>
      <c r="D1031" s="25">
        <f>('Raw Price Data'!D1031-'Raw Price Data'!D1030)/'Raw Price Data'!D1030</f>
        <v>-7.3848582219965837E-3</v>
      </c>
      <c r="E1031" s="25">
        <f>('Raw Price Data'!E1031-'Raw Price Data'!E1030)/'Raw Price Data'!E1030</f>
        <v>3.5494304019117108E-2</v>
      </c>
      <c r="F1031" s="25">
        <f>('Raw Price Data'!F1031-'Raw Price Data'!F1030)/'Raw Price Data'!F1030</f>
        <v>-1.7710732280746169E-2</v>
      </c>
    </row>
    <row r="1032" spans="1:6" ht="15" customHeight="1" x14ac:dyDescent="0.3">
      <c r="A1032" s="19">
        <v>44908</v>
      </c>
      <c r="B1032" s="26">
        <f>('Raw Price Data'!B1032-'Raw Price Data'!B1031)/'Raw Price Data'!B1031</f>
        <v>6.1000134066228487E-3</v>
      </c>
      <c r="C1032" s="26">
        <f>('Raw Price Data'!C1032-'Raw Price Data'!C1031)/'Raw Price Data'!C1031</f>
        <v>4.0790911632397923E-3</v>
      </c>
      <c r="D1032" s="26">
        <f>('Raw Price Data'!D1032-'Raw Price Data'!D1031)/'Raw Price Data'!D1031</f>
        <v>-1.4198091776465242E-2</v>
      </c>
      <c r="E1032" s="26">
        <f>('Raw Price Data'!E1032-'Raw Price Data'!E1031)/'Raw Price Data'!E1031</f>
        <v>3.600843512513433E-3</v>
      </c>
      <c r="F1032" s="26">
        <f>('Raw Price Data'!F1032-'Raw Price Data'!F1031)/'Raw Price Data'!F1031</f>
        <v>1.6947222219750615E-2</v>
      </c>
    </row>
    <row r="1033" spans="1:6" ht="15" customHeight="1" x14ac:dyDescent="0.3">
      <c r="A1033" s="21">
        <v>44909</v>
      </c>
      <c r="B1033" s="25">
        <f>('Raw Price Data'!B1033-'Raw Price Data'!B1032)/'Raw Price Data'!B1032</f>
        <v>3.3313345326126288E-4</v>
      </c>
      <c r="C1033" s="25">
        <f>('Raw Price Data'!C1033-'Raw Price Data'!C1032)/'Raw Price Data'!C1032</f>
        <v>-2.5374928810985198E-3</v>
      </c>
      <c r="D1033" s="25">
        <f>('Raw Price Data'!D1033-'Raw Price Data'!D1032)/'Raw Price Data'!D1032</f>
        <v>-7.6045627376427095E-3</v>
      </c>
      <c r="E1033" s="25">
        <f>('Raw Price Data'!E1033-'Raw Price Data'!E1032)/'Raw Price Data'!E1032</f>
        <v>-1.4787797093979892E-2</v>
      </c>
      <c r="F1033" s="25">
        <f>('Raw Price Data'!F1033-'Raw Price Data'!F1032)/'Raw Price Data'!F1032</f>
        <v>-3.4686617413915979E-3</v>
      </c>
    </row>
    <row r="1034" spans="1:6" ht="15" customHeight="1" x14ac:dyDescent="0.3">
      <c r="A1034" s="19">
        <v>44910</v>
      </c>
      <c r="B1034" s="26">
        <f>('Raw Price Data'!B1034-'Raw Price Data'!B1033)/'Raw Price Data'!B1033</f>
        <v>8.8583988277608407E-3</v>
      </c>
      <c r="C1034" s="26">
        <f>('Raw Price Data'!C1034-'Raw Price Data'!C1033)/'Raw Price Data'!C1033</f>
        <v>-9.1099987946379798E-3</v>
      </c>
      <c r="D1034" s="26">
        <f>('Raw Price Data'!D1034-'Raw Price Data'!D1033)/'Raw Price Data'!D1033</f>
        <v>1.1668408220132471E-2</v>
      </c>
      <c r="E1034" s="26">
        <f>('Raw Price Data'!E1034-'Raw Price Data'!E1033)/'Raw Price Data'!E1033</f>
        <v>-9.4967908090379874E-3</v>
      </c>
      <c r="F1034" s="26">
        <f>('Raw Price Data'!F1034-'Raw Price Data'!F1033)/'Raw Price Data'!F1033</f>
        <v>3.1345932579358031E-3</v>
      </c>
    </row>
    <row r="1035" spans="1:6" ht="15" customHeight="1" x14ac:dyDescent="0.3">
      <c r="A1035" s="21">
        <v>44911</v>
      </c>
      <c r="B1035" s="25">
        <f>('Raw Price Data'!B1035-'Raw Price Data'!B1034)/'Raw Price Data'!B1034</f>
        <v>-1.3203934772561474E-3</v>
      </c>
      <c r="C1035" s="25">
        <f>('Raw Price Data'!C1035-'Raw Price Data'!C1034)/'Raw Price Data'!C1034</f>
        <v>-8.4254736127739923E-3</v>
      </c>
      <c r="D1035" s="25">
        <f>('Raw Price Data'!D1035-'Raw Price Data'!D1034)/'Raw Price Data'!D1034</f>
        <v>-2.4674355884547359E-3</v>
      </c>
      <c r="E1035" s="25">
        <f>('Raw Price Data'!E1035-'Raw Price Data'!E1034)/'Raw Price Data'!E1034</f>
        <v>8.5315566028145817E-4</v>
      </c>
      <c r="F1035" s="25">
        <f>('Raw Price Data'!F1035-'Raw Price Data'!F1034)/'Raw Price Data'!F1034</f>
        <v>4.376161734185372E-5</v>
      </c>
    </row>
    <row r="1036" spans="1:6" ht="15" customHeight="1" x14ac:dyDescent="0.3">
      <c r="A1036" s="19">
        <v>44914</v>
      </c>
      <c r="B1036" s="26">
        <f>('Raw Price Data'!B1036-'Raw Price Data'!B1035)/'Raw Price Data'!B1035</f>
        <v>-2.3798505982680876E-3</v>
      </c>
      <c r="C1036" s="26">
        <f>('Raw Price Data'!C1036-'Raw Price Data'!C1035)/'Raw Price Data'!C1035</f>
        <v>-4.4874319621377255E-3</v>
      </c>
      <c r="D1036" s="26">
        <f>('Raw Price Data'!D1036-'Raw Price Data'!D1035)/'Raw Price Data'!D1035</f>
        <v>-1.5531523239761288E-3</v>
      </c>
      <c r="E1036" s="26">
        <f>('Raw Price Data'!E1036-'Raw Price Data'!E1035)/'Raw Price Data'!E1035</f>
        <v>1.6317915203669542E-2</v>
      </c>
      <c r="F1036" s="26">
        <f>('Raw Price Data'!F1036-'Raw Price Data'!F1035)/'Raw Price Data'!F1035</f>
        <v>1.2288380814433642E-2</v>
      </c>
    </row>
    <row r="1037" spans="1:6" ht="15" customHeight="1" x14ac:dyDescent="0.3">
      <c r="A1037" s="21">
        <v>44915</v>
      </c>
      <c r="B1037" s="25">
        <f>('Raw Price Data'!B1037-'Raw Price Data'!B1036)/'Raw Price Data'!B1036</f>
        <v>2.4650453912928229E-2</v>
      </c>
      <c r="C1037" s="25">
        <f>('Raw Price Data'!C1037-'Raw Price Data'!C1036)/'Raw Price Data'!C1036</f>
        <v>1.8050096639037082E-2</v>
      </c>
      <c r="D1037" s="25">
        <f>('Raw Price Data'!D1037-'Raw Price Data'!D1036)/'Raw Price Data'!D1036</f>
        <v>-1.5382842657141139E-2</v>
      </c>
      <c r="E1037" s="25">
        <f>('Raw Price Data'!E1037-'Raw Price Data'!E1036)/'Raw Price Data'!E1036</f>
        <v>-1.9610584123814265E-2</v>
      </c>
      <c r="F1037" s="25">
        <f>('Raw Price Data'!F1037-'Raw Price Data'!F1036)/'Raw Price Data'!F1036</f>
        <v>-4.4423762011577203E-3</v>
      </c>
    </row>
    <row r="1038" spans="1:6" ht="15" customHeight="1" x14ac:dyDescent="0.3">
      <c r="A1038" s="19">
        <v>44916</v>
      </c>
      <c r="B1038" s="26">
        <f>('Raw Price Data'!B1038-'Raw Price Data'!B1037)/'Raw Price Data'!B1037</f>
        <v>2.6514906551121814E-3</v>
      </c>
      <c r="C1038" s="26">
        <f>('Raw Price Data'!C1038-'Raw Price Data'!C1037)/'Raw Price Data'!C1037</f>
        <v>-5.3515114834517827E-3</v>
      </c>
      <c r="D1038" s="26">
        <f>('Raw Price Data'!D1038-'Raw Price Data'!D1037)/'Raw Price Data'!D1037</f>
        <v>4.4353423054417696E-2</v>
      </c>
      <c r="E1038" s="26">
        <f>('Raw Price Data'!E1038-'Raw Price Data'!E1037)/'Raw Price Data'!E1037</f>
        <v>1.5888212168740985E-2</v>
      </c>
      <c r="F1038" s="26">
        <f>('Raw Price Data'!F1038-'Raw Price Data'!F1037)/'Raw Price Data'!F1037</f>
        <v>-1.2847520367344989E-2</v>
      </c>
    </row>
    <row r="1039" spans="1:6" ht="15" customHeight="1" x14ac:dyDescent="0.3">
      <c r="A1039" s="21">
        <v>44917</v>
      </c>
      <c r="B1039" s="25">
        <f>('Raw Price Data'!B1039-'Raw Price Data'!B1038)/'Raw Price Data'!B1038</f>
        <v>1.2254901960784168E-3</v>
      </c>
      <c r="C1039" s="25">
        <f>('Raw Price Data'!C1039-'Raw Price Data'!C1038)/'Raw Price Data'!C1038</f>
        <v>-1.3578863090471678E-3</v>
      </c>
      <c r="D1039" s="25">
        <f>('Raw Price Data'!D1039-'Raw Price Data'!D1038)/'Raw Price Data'!D1038</f>
        <v>-3.5242043926490323E-2</v>
      </c>
      <c r="E1039" s="25">
        <f>('Raw Price Data'!E1039-'Raw Price Data'!E1038)/'Raw Price Data'!E1038</f>
        <v>2.0050929360557627E-5</v>
      </c>
      <c r="F1039" s="25">
        <f>('Raw Price Data'!F1039-'Raw Price Data'!F1038)/'Raw Price Data'!F1038</f>
        <v>1.6995286186103829E-2</v>
      </c>
    </row>
    <row r="1040" spans="1:6" ht="15" customHeight="1" x14ac:dyDescent="0.3">
      <c r="A1040" s="19">
        <v>44918</v>
      </c>
      <c r="B1040" s="26">
        <f>('Raw Price Data'!B1040-'Raw Price Data'!B1039)/'Raw Price Data'!B1039</f>
        <v>1.2562004767119869E-2</v>
      </c>
      <c r="C1040" s="26">
        <f>('Raw Price Data'!C1040-'Raw Price Data'!C1039)/'Raw Price Data'!C1039</f>
        <v>-1.1929730041754872E-3</v>
      </c>
      <c r="D1040" s="26">
        <f>('Raw Price Data'!D1040-'Raw Price Data'!D1039)/'Raw Price Data'!D1039</f>
        <v>-3.1593007724025769E-2</v>
      </c>
      <c r="E1040" s="26">
        <f>('Raw Price Data'!E1040-'Raw Price Data'!E1039)/'Raw Price Data'!E1039</f>
        <v>-8.2207162048362325E-3</v>
      </c>
      <c r="F1040" s="26">
        <f>('Raw Price Data'!F1040-'Raw Price Data'!F1039)/'Raw Price Data'!F1039</f>
        <v>8.257780284438708E-3</v>
      </c>
    </row>
    <row r="1041" spans="1:6" ht="15" customHeight="1" x14ac:dyDescent="0.3">
      <c r="A1041" s="21">
        <v>44921</v>
      </c>
      <c r="B1041" s="25">
        <f>('Raw Price Data'!B1041-'Raw Price Data'!B1040)/'Raw Price Data'!B1040</f>
        <v>2.3539890571319796E-3</v>
      </c>
      <c r="C1041" s="25">
        <f>('Raw Price Data'!C1041-'Raw Price Data'!C1040)/'Raw Price Data'!C1040</f>
        <v>1.0017530678687644E-2</v>
      </c>
      <c r="D1041" s="25">
        <f>('Raw Price Data'!D1041-'Raw Price Data'!D1040)/'Raw Price Data'!D1040</f>
        <v>-7.8560719640180052E-3</v>
      </c>
      <c r="E1041" s="25">
        <f>('Raw Price Data'!E1041-'Raw Price Data'!E1040)/'Raw Price Data'!E1040</f>
        <v>-1.7163998059194583E-2</v>
      </c>
      <c r="F1041" s="25">
        <f>('Raw Price Data'!F1041-'Raw Price Data'!F1040)/'Raw Price Data'!F1040</f>
        <v>1.7867327111952602E-2</v>
      </c>
    </row>
    <row r="1042" spans="1:6" ht="15" customHeight="1" x14ac:dyDescent="0.3">
      <c r="A1042" s="19">
        <v>44922</v>
      </c>
      <c r="B1042" s="26">
        <f>('Raw Price Data'!B1042-'Raw Price Data'!B1041)/'Raw Price Data'!B1041</f>
        <v>4.3795620437956061E-3</v>
      </c>
      <c r="C1042" s="26">
        <f>('Raw Price Data'!C1042-'Raw Price Data'!C1041)/'Raw Price Data'!C1041</f>
        <v>1.2041681766452443E-2</v>
      </c>
      <c r="D1042" s="26">
        <f>('Raw Price Data'!D1042-'Raw Price Data'!D1041)/'Raw Price Data'!D1041</f>
        <v>3.5662475822050496E-3</v>
      </c>
      <c r="E1042" s="26">
        <f>('Raw Price Data'!E1042-'Raw Price Data'!E1041)/'Raw Price Data'!E1041</f>
        <v>-8.4336110254036121E-3</v>
      </c>
      <c r="F1042" s="26">
        <f>('Raw Price Data'!F1042-'Raw Price Data'!F1041)/'Raw Price Data'!F1041</f>
        <v>-1.5361559267805443E-4</v>
      </c>
    </row>
    <row r="1043" spans="1:6" ht="15" customHeight="1" x14ac:dyDescent="0.3">
      <c r="A1043" s="21">
        <v>44923</v>
      </c>
      <c r="B1043" s="25">
        <f>('Raw Price Data'!B1043-'Raw Price Data'!B1042)/'Raw Price Data'!B1042</f>
        <v>-5.6875631951468285E-4</v>
      </c>
      <c r="C1043" s="25">
        <f>('Raw Price Data'!C1043-'Raw Price Data'!C1042)/'Raw Price Data'!C1042</f>
        <v>3.5418799982410029E-2</v>
      </c>
      <c r="D1043" s="25">
        <f>('Raw Price Data'!D1043-'Raw Price Data'!D1042)/'Raw Price Data'!D1042</f>
        <v>2.830813708365951E-2</v>
      </c>
      <c r="E1043" s="25">
        <f>('Raw Price Data'!E1043-'Raw Price Data'!E1042)/'Raw Price Data'!E1042</f>
        <v>6.2441655429934465E-3</v>
      </c>
      <c r="F1043" s="25">
        <f>('Raw Price Data'!F1043-'Raw Price Data'!F1042)/'Raw Price Data'!F1042</f>
        <v>4.2159100656433647E-3</v>
      </c>
    </row>
    <row r="1044" spans="1:6" ht="15" customHeight="1" x14ac:dyDescent="0.3">
      <c r="A1044" s="19">
        <v>44924</v>
      </c>
      <c r="B1044" s="26">
        <f>('Raw Price Data'!B1044-'Raw Price Data'!B1043)/'Raw Price Data'!B1043</f>
        <v>-1.6566550742965567E-2</v>
      </c>
      <c r="C1044" s="26">
        <f>('Raw Price Data'!C1044-'Raw Price Data'!C1043)/'Raw Price Data'!C1043</f>
        <v>-2.3977818091360813E-2</v>
      </c>
      <c r="D1044" s="26">
        <f>('Raw Price Data'!D1044-'Raw Price Data'!D1043)/'Raw Price Data'!D1043</f>
        <v>8.4929420722779665E-3</v>
      </c>
      <c r="E1044" s="26">
        <f>('Raw Price Data'!E1044-'Raw Price Data'!E1043)/'Raw Price Data'!E1043</f>
        <v>-3.216096977693486E-3</v>
      </c>
      <c r="F1044" s="26">
        <f>('Raw Price Data'!F1044-'Raw Price Data'!F1043)/'Raw Price Data'!F1043</f>
        <v>1.059416519216501E-2</v>
      </c>
    </row>
    <row r="1045" spans="1:6" ht="15" customHeight="1" x14ac:dyDescent="0.3">
      <c r="A1045" s="21">
        <v>44925</v>
      </c>
      <c r="B1045" s="25">
        <f>('Raw Price Data'!B1045-'Raw Price Data'!B1044)/'Raw Price Data'!B1044</f>
        <v>-1.2859255449116074E-4</v>
      </c>
      <c r="C1045" s="25">
        <f>('Raw Price Data'!C1045-'Raw Price Data'!C1044)/'Raw Price Data'!C1044</f>
        <v>-3.4251897530257857E-3</v>
      </c>
      <c r="D1045" s="25">
        <f>('Raw Price Data'!D1045-'Raw Price Data'!D1044)/'Raw Price Data'!D1044</f>
        <v>5.1109304216517331E-3</v>
      </c>
      <c r="E1045" s="25">
        <f>('Raw Price Data'!E1045-'Raw Price Data'!E1044)/'Raw Price Data'!E1044</f>
        <v>1.4746639089968967E-2</v>
      </c>
      <c r="F1045" s="25">
        <f>('Raw Price Data'!F1045-'Raw Price Data'!F1044)/'Raw Price Data'!F1044</f>
        <v>-1.1201223084346373E-2</v>
      </c>
    </row>
    <row r="1046" spans="1:6" ht="15" customHeight="1" x14ac:dyDescent="0.3">
      <c r="A1046" s="19">
        <v>44928</v>
      </c>
      <c r="B1046" s="26">
        <f>('Raw Price Data'!B1046-'Raw Price Data'!B1045)/'Raw Price Data'!B1045</f>
        <v>-1.5433091119542006E-2</v>
      </c>
      <c r="C1046" s="26">
        <f>('Raw Price Data'!C1046-'Raw Price Data'!C1045)/'Raw Price Data'!C1045</f>
        <v>1.0703859876743341E-2</v>
      </c>
      <c r="D1046" s="26">
        <f>('Raw Price Data'!D1046-'Raw Price Data'!D1045)/'Raw Price Data'!D1045</f>
        <v>1.4908124349936346E-2</v>
      </c>
      <c r="E1046" s="26">
        <f>('Raw Price Data'!E1046-'Raw Price Data'!E1045)/'Raw Price Data'!E1045</f>
        <v>-2.9981860057477081E-2</v>
      </c>
      <c r="F1046" s="26">
        <f>('Raw Price Data'!F1046-'Raw Price Data'!F1045)/'Raw Price Data'!F1045</f>
        <v>-1.7195047957241475E-2</v>
      </c>
    </row>
    <row r="1047" spans="1:6" ht="15" customHeight="1" x14ac:dyDescent="0.3">
      <c r="A1047" s="21">
        <v>44929</v>
      </c>
      <c r="B1047" s="25">
        <f>('Raw Price Data'!B1047-'Raw Price Data'!B1046)/'Raw Price Data'!B1046</f>
        <v>3.2003135000978422E-3</v>
      </c>
      <c r="C1047" s="25">
        <f>('Raw Price Data'!C1047-'Raw Price Data'!C1046)/'Raw Price Data'!C1046</f>
        <v>-2.9130048385504127E-2</v>
      </c>
      <c r="D1047" s="25">
        <f>('Raw Price Data'!D1047-'Raw Price Data'!D1046)/'Raw Price Data'!D1046</f>
        <v>1.8788430881348927E-3</v>
      </c>
      <c r="E1047" s="25">
        <f>('Raw Price Data'!E1047-'Raw Price Data'!E1046)/'Raw Price Data'!E1046</f>
        <v>-2.7294503277861842E-2</v>
      </c>
      <c r="F1047" s="25">
        <f>('Raw Price Data'!F1047-'Raw Price Data'!F1046)/'Raw Price Data'!F1046</f>
        <v>-8.9925198031607628E-3</v>
      </c>
    </row>
    <row r="1048" spans="1:6" ht="15" customHeight="1" x14ac:dyDescent="0.3">
      <c r="A1048" s="19">
        <v>44930</v>
      </c>
      <c r="B1048" s="26">
        <f>('Raw Price Data'!B1048-'Raw Price Data'!B1047)/'Raw Price Data'!B1047</f>
        <v>-1.6015625000000054E-2</v>
      </c>
      <c r="C1048" s="26">
        <f>('Raw Price Data'!C1048-'Raw Price Data'!C1047)/'Raw Price Data'!C1047</f>
        <v>3.1313567941415925E-2</v>
      </c>
      <c r="D1048" s="26">
        <f>('Raw Price Data'!D1048-'Raw Price Data'!D1047)/'Raw Price Data'!D1047</f>
        <v>-3.0402909586861364E-2</v>
      </c>
      <c r="E1048" s="26">
        <f>('Raw Price Data'!E1048-'Raw Price Data'!E1047)/'Raw Price Data'!E1047</f>
        <v>-1.9138962694143852E-2</v>
      </c>
      <c r="F1048" s="26">
        <f>('Raw Price Data'!F1048-'Raw Price Data'!F1047)/'Raw Price Data'!F1047</f>
        <v>-6.8897406455021761E-3</v>
      </c>
    </row>
    <row r="1049" spans="1:6" ht="15" customHeight="1" x14ac:dyDescent="0.3">
      <c r="A1049" s="21">
        <v>44931</v>
      </c>
      <c r="B1049" s="25">
        <f>('Raw Price Data'!B1049-'Raw Price Data'!B1048)/'Raw Price Data'!B1048</f>
        <v>1.2968109037978088E-2</v>
      </c>
      <c r="C1049" s="25">
        <f>('Raw Price Data'!C1049-'Raw Price Data'!C1048)/'Raw Price Data'!C1048</f>
        <v>-1.4546530405947602E-3</v>
      </c>
      <c r="D1049" s="25">
        <f>('Raw Price Data'!D1049-'Raw Price Data'!D1048)/'Raw Price Data'!D1048</f>
        <v>4.4543429844097465E-3</v>
      </c>
      <c r="E1049" s="25">
        <f>('Raw Price Data'!E1049-'Raw Price Data'!E1048)/'Raw Price Data'!E1048</f>
        <v>2.1450437157266522E-2</v>
      </c>
      <c r="F1049" s="25">
        <f>('Raw Price Data'!F1049-'Raw Price Data'!F1048)/'Raw Price Data'!F1048</f>
        <v>2.0557704183063661E-2</v>
      </c>
    </row>
    <row r="1050" spans="1:6" ht="15" customHeight="1" x14ac:dyDescent="0.3">
      <c r="A1050" s="19">
        <v>44932</v>
      </c>
      <c r="B1050" s="26">
        <f>('Raw Price Data'!B1050-'Raw Price Data'!B1049)/'Raw Price Data'!B1049</f>
        <v>1.071195297191388E-2</v>
      </c>
      <c r="C1050" s="26">
        <f>('Raw Price Data'!C1050-'Raw Price Data'!C1049)/'Raw Price Data'!C1049</f>
        <v>-1.3407241885902661E-2</v>
      </c>
      <c r="D1050" s="26">
        <f>('Raw Price Data'!D1050-'Raw Price Data'!D1049)/'Raw Price Data'!D1049</f>
        <v>3.792741276695097E-3</v>
      </c>
      <c r="E1050" s="26">
        <f>('Raw Price Data'!E1050-'Raw Price Data'!E1049)/'Raw Price Data'!E1049</f>
        <v>-2.1560552812574115E-3</v>
      </c>
      <c r="F1050" s="26">
        <f>('Raw Price Data'!F1050-'Raw Price Data'!F1049)/'Raw Price Data'!F1049</f>
        <v>2.9483620175554139E-2</v>
      </c>
    </row>
    <row r="1051" spans="1:6" ht="15" customHeight="1" x14ac:dyDescent="0.3">
      <c r="A1051" s="21">
        <v>44935</v>
      </c>
      <c r="B1051" s="25">
        <f>('Raw Price Data'!B1051-'Raw Price Data'!B1050)/'Raw Price Data'!B1050</f>
        <v>4.2005945456893966E-3</v>
      </c>
      <c r="C1051" s="25">
        <f>('Raw Price Data'!C1051-'Raw Price Data'!C1050)/'Raw Price Data'!C1050</f>
        <v>1.7718826252893661E-2</v>
      </c>
      <c r="D1051" s="25">
        <f>('Raw Price Data'!D1051-'Raw Price Data'!D1050)/'Raw Price Data'!D1050</f>
        <v>3.4586990641167173E-2</v>
      </c>
      <c r="E1051" s="25">
        <f>('Raw Price Data'!E1051-'Raw Price Data'!E1050)/'Raw Price Data'!E1050</f>
        <v>1.1883926449299093E-3</v>
      </c>
      <c r="F1051" s="25">
        <f>('Raw Price Data'!F1051-'Raw Price Data'!F1050)/'Raw Price Data'!F1050</f>
        <v>-2.0182765001604992E-3</v>
      </c>
    </row>
    <row r="1052" spans="1:6" ht="15" customHeight="1" x14ac:dyDescent="0.3">
      <c r="A1052" s="19">
        <v>44936</v>
      </c>
      <c r="B1052" s="26">
        <f>('Raw Price Data'!B1052-'Raw Price Data'!B1051)/'Raw Price Data'!B1051</f>
        <v>-1.0296672887572984E-3</v>
      </c>
      <c r="C1052" s="26">
        <f>('Raw Price Data'!C1052-'Raw Price Data'!C1051)/'Raw Price Data'!C1051</f>
        <v>-3.8177324759316809E-2</v>
      </c>
      <c r="D1052" s="26">
        <f>('Raw Price Data'!D1052-'Raw Price Data'!D1051)/'Raw Price Data'!D1051</f>
        <v>-1.0956287223283451E-2</v>
      </c>
      <c r="E1052" s="26">
        <f>('Raw Price Data'!E1052-'Raw Price Data'!E1051)/'Raw Price Data'!E1051</f>
        <v>1.165400552486183E-2</v>
      </c>
      <c r="F1052" s="26">
        <f>('Raw Price Data'!F1052-'Raw Price Data'!F1051)/'Raw Price Data'!F1051</f>
        <v>1.4093968626320075E-3</v>
      </c>
    </row>
    <row r="1053" spans="1:6" ht="15" customHeight="1" x14ac:dyDescent="0.3">
      <c r="A1053" s="21">
        <v>44937</v>
      </c>
      <c r="B1053" s="25">
        <f>('Raw Price Data'!B1053-'Raw Price Data'!B1052)/'Raw Price Data'!B1052</f>
        <v>6.0555305031243815E-3</v>
      </c>
      <c r="C1053" s="25">
        <f>('Raw Price Data'!C1053-'Raw Price Data'!C1052)/'Raw Price Data'!C1052</f>
        <v>4.3399892618822154E-3</v>
      </c>
      <c r="D1053" s="25">
        <f>('Raw Price Data'!D1053-'Raw Price Data'!D1052)/'Raw Price Data'!D1052</f>
        <v>2.016701698574113E-2</v>
      </c>
      <c r="E1053" s="25">
        <f>('Raw Price Data'!E1053-'Raw Price Data'!E1052)/'Raw Price Data'!E1052</f>
        <v>1.2885058452086399E-2</v>
      </c>
      <c r="F1053" s="25">
        <f>('Raw Price Data'!F1053-'Raw Price Data'!F1052)/'Raw Price Data'!F1052</f>
        <v>-3.2664560440810089E-3</v>
      </c>
    </row>
    <row r="1054" spans="1:6" ht="15" customHeight="1" x14ac:dyDescent="0.3">
      <c r="A1054" s="19">
        <v>44938</v>
      </c>
      <c r="B1054" s="26">
        <f>('Raw Price Data'!B1054-'Raw Price Data'!B1053)/'Raw Price Data'!B1053</f>
        <v>-2.689376961004027E-2</v>
      </c>
      <c r="C1054" s="26">
        <f>('Raw Price Data'!C1054-'Raw Price Data'!C1053)/'Raw Price Data'!C1053</f>
        <v>-1.6896729480497138E-2</v>
      </c>
      <c r="D1054" s="26">
        <f>('Raw Price Data'!D1054-'Raw Price Data'!D1053)/'Raw Price Data'!D1053</f>
        <v>-2.0993429112373372E-2</v>
      </c>
      <c r="E1054" s="26">
        <f>('Raw Price Data'!E1054-'Raw Price Data'!E1053)/'Raw Price Data'!E1053</f>
        <v>-9.6251053074978797E-3</v>
      </c>
      <c r="F1054" s="26">
        <f>('Raw Price Data'!F1054-'Raw Price Data'!F1053)/'Raw Price Data'!F1053</f>
        <v>-2.4030990704199881E-3</v>
      </c>
    </row>
    <row r="1055" spans="1:6" ht="15" customHeight="1" x14ac:dyDescent="0.3">
      <c r="A1055" s="21">
        <v>44939</v>
      </c>
      <c r="B1055" s="25">
        <f>('Raw Price Data'!B1055-'Raw Price Data'!B1054)/'Raw Price Data'!B1054</f>
        <v>-1.4871356188721398E-2</v>
      </c>
      <c r="C1055" s="25">
        <f>('Raw Price Data'!C1055-'Raw Price Data'!C1054)/'Raw Price Data'!C1054</f>
        <v>3.366218700639464E-4</v>
      </c>
      <c r="D1055" s="25">
        <f>('Raw Price Data'!D1055-'Raw Price Data'!D1054)/'Raw Price Data'!D1054</f>
        <v>2.4515101530060875E-2</v>
      </c>
      <c r="E1055" s="25">
        <f>('Raw Price Data'!E1055-'Raw Price Data'!E1054)/'Raw Price Data'!E1054</f>
        <v>-2.6497671352317027E-2</v>
      </c>
      <c r="F1055" s="25">
        <f>('Raw Price Data'!F1055-'Raw Price Data'!F1054)/'Raw Price Data'!F1054</f>
        <v>4.2369224299841591E-3</v>
      </c>
    </row>
    <row r="1056" spans="1:6" ht="15" customHeight="1" x14ac:dyDescent="0.3">
      <c r="A1056" s="19">
        <v>44942</v>
      </c>
      <c r="B1056" s="26">
        <f>('Raw Price Data'!B1056-'Raw Price Data'!B1055)/'Raw Price Data'!B1055</f>
        <v>-1.7366909358093603E-3</v>
      </c>
      <c r="C1056" s="26">
        <f>('Raw Price Data'!C1056-'Raw Price Data'!C1055)/'Raw Price Data'!C1055</f>
        <v>7.1896355353075992E-3</v>
      </c>
      <c r="D1056" s="26">
        <f>('Raw Price Data'!D1056-'Raw Price Data'!D1055)/'Raw Price Data'!D1055</f>
        <v>2.4983344437041338E-3</v>
      </c>
      <c r="E1056" s="26">
        <f>('Raw Price Data'!E1056-'Raw Price Data'!E1055)/'Raw Price Data'!E1055</f>
        <v>-6.2913690281145461E-3</v>
      </c>
      <c r="F1056" s="26">
        <f>('Raw Price Data'!F1056-'Raw Price Data'!F1055)/'Raw Price Data'!F1055</f>
        <v>4.2184253862643985E-3</v>
      </c>
    </row>
    <row r="1057" spans="1:6" ht="15" customHeight="1" x14ac:dyDescent="0.3">
      <c r="A1057" s="21">
        <v>44943</v>
      </c>
      <c r="B1057" s="25">
        <f>('Raw Price Data'!B1057-'Raw Price Data'!B1056)/'Raw Price Data'!B1056</f>
        <v>5.08531281365018E-3</v>
      </c>
      <c r="C1057" s="25">
        <f>('Raw Price Data'!C1057-'Raw Price Data'!C1056)/'Raw Price Data'!C1056</f>
        <v>1.4578608189463969E-2</v>
      </c>
      <c r="D1057" s="25">
        <f>('Raw Price Data'!D1057-'Raw Price Data'!D1056)/'Raw Price Data'!D1056</f>
        <v>1.3568145317605456E-2</v>
      </c>
      <c r="E1057" s="25">
        <f>('Raw Price Data'!E1057-'Raw Price Data'!E1056)/'Raw Price Data'!E1056</f>
        <v>-2.8402470927037217E-2</v>
      </c>
      <c r="F1057" s="25">
        <f>('Raw Price Data'!F1057-'Raw Price Data'!F1056)/'Raw Price Data'!F1056</f>
        <v>-3.6395799212485965E-3</v>
      </c>
    </row>
    <row r="1058" spans="1:6" ht="15" customHeight="1" x14ac:dyDescent="0.3">
      <c r="A1058" s="19">
        <v>44944</v>
      </c>
      <c r="B1058" s="26">
        <f>('Raw Price Data'!B1058-'Raw Price Data'!B1057)/'Raw Price Data'!B1057</f>
        <v>-7.9888156580789921E-4</v>
      </c>
      <c r="C1058" s="26">
        <f>('Raw Price Data'!C1058-'Raw Price Data'!C1057)/'Raw Price Data'!C1057</f>
        <v>7.8463409073638458E-3</v>
      </c>
      <c r="D1058" s="26">
        <f>('Raw Price Data'!D1058-'Raw Price Data'!D1057)/'Raw Price Data'!D1057</f>
        <v>1.1474155829963906E-2</v>
      </c>
      <c r="E1058" s="26">
        <f>('Raw Price Data'!E1058-'Raw Price Data'!E1057)/'Raw Price Data'!E1057</f>
        <v>-7.919089530964154E-4</v>
      </c>
      <c r="F1058" s="26">
        <f>('Raw Price Data'!F1058-'Raw Price Data'!F1057)/'Raw Price Data'!F1057</f>
        <v>-8.9640211800106142E-4</v>
      </c>
    </row>
    <row r="1059" spans="1:6" ht="15" customHeight="1" x14ac:dyDescent="0.3">
      <c r="A1059" s="21">
        <v>44945</v>
      </c>
      <c r="B1059" s="25">
        <f>('Raw Price Data'!B1059-'Raw Price Data'!B1058)/'Raw Price Data'!B1058</f>
        <v>-1.3591844893064108E-2</v>
      </c>
      <c r="C1059" s="25">
        <f>('Raw Price Data'!C1059-'Raw Price Data'!C1058)/'Raw Price Data'!C1058</f>
        <v>3.7399385473807223E-2</v>
      </c>
      <c r="D1059" s="25">
        <f>('Raw Price Data'!D1059-'Raw Price Data'!D1058)/'Raw Price Data'!D1058</f>
        <v>1.1073898012100167E-2</v>
      </c>
      <c r="E1059" s="25">
        <f>('Raw Price Data'!E1059-'Raw Price Data'!E1058)/'Raw Price Data'!E1058</f>
        <v>-1.401657533626194E-2</v>
      </c>
      <c r="F1059" s="25">
        <f>('Raw Price Data'!F1059-'Raw Price Data'!F1058)/'Raw Price Data'!F1058</f>
        <v>-6.4958901691786041E-3</v>
      </c>
    </row>
    <row r="1060" spans="1:6" ht="15" customHeight="1" x14ac:dyDescent="0.3">
      <c r="A1060" s="19">
        <v>44946</v>
      </c>
      <c r="B1060" s="26">
        <f>('Raw Price Data'!B1060-'Raw Price Data'!B1059)/'Raw Price Data'!B1059</f>
        <v>2.161431948665945E-3</v>
      </c>
      <c r="C1060" s="26">
        <f>('Raw Price Data'!C1060-'Raw Price Data'!C1059)/'Raw Price Data'!C1059</f>
        <v>1.6838381819393048E-3</v>
      </c>
      <c r="D1060" s="26">
        <f>('Raw Price Data'!D1060-'Raw Price Data'!D1059)/'Raw Price Data'!D1059</f>
        <v>1.923385157877938E-3</v>
      </c>
      <c r="E1060" s="26">
        <f>('Raw Price Data'!E1060-'Raw Price Data'!E1059)/'Raw Price Data'!E1059</f>
        <v>5.9022116069172847E-3</v>
      </c>
      <c r="F1060" s="26">
        <f>('Raw Price Data'!F1060-'Raw Price Data'!F1059)/'Raw Price Data'!F1059</f>
        <v>-7.945412793438569E-3</v>
      </c>
    </row>
    <row r="1061" spans="1:6" ht="15" customHeight="1" x14ac:dyDescent="0.3">
      <c r="A1061" s="21">
        <v>44949</v>
      </c>
      <c r="B1061" s="25">
        <f>('Raw Price Data'!B1061-'Raw Price Data'!B1060)/'Raw Price Data'!B1060</f>
        <v>-5.9985172204624574E-3</v>
      </c>
      <c r="C1061" s="25">
        <f>('Raw Price Data'!C1061-'Raw Price Data'!C1060)/'Raw Price Data'!C1060</f>
        <v>-5.4360642652847794E-3</v>
      </c>
      <c r="D1061" s="25">
        <f>('Raw Price Data'!D1061-'Raw Price Data'!D1060)/'Raw Price Data'!D1060</f>
        <v>-9.9184130539114474E-3</v>
      </c>
      <c r="E1061" s="25">
        <f>('Raw Price Data'!E1061-'Raw Price Data'!E1060)/'Raw Price Data'!E1060</f>
        <v>4.1780821917807853E-3</v>
      </c>
      <c r="F1061" s="25">
        <f>('Raw Price Data'!F1061-'Raw Price Data'!F1060)/'Raw Price Data'!F1060</f>
        <v>-4.1816037180647881E-3</v>
      </c>
    </row>
    <row r="1062" spans="1:6" ht="15" customHeight="1" x14ac:dyDescent="0.3">
      <c r="A1062" s="19">
        <v>44950</v>
      </c>
      <c r="B1062" s="26">
        <f>('Raw Price Data'!B1062-'Raw Price Data'!B1061)/'Raw Price Data'!B1061</f>
        <v>-1.4442636289666366E-2</v>
      </c>
      <c r="C1062" s="26">
        <f>('Raw Price Data'!C1062-'Raw Price Data'!C1061)/'Raw Price Data'!C1061</f>
        <v>2.2227896739989511E-2</v>
      </c>
      <c r="D1062" s="26">
        <f>('Raw Price Data'!D1062-'Raw Price Data'!D1061)/'Raw Price Data'!D1061</f>
        <v>-2.1005008886733796E-3</v>
      </c>
      <c r="E1062" s="26">
        <f>('Raw Price Data'!E1062-'Raw Price Data'!E1061)/'Raw Price Data'!E1061</f>
        <v>-6.3888320487461119E-3</v>
      </c>
      <c r="F1062" s="26">
        <f>('Raw Price Data'!F1062-'Raw Price Data'!F1061)/'Raw Price Data'!F1061</f>
        <v>8.1976019075322877E-3</v>
      </c>
    </row>
    <row r="1063" spans="1:6" ht="15" customHeight="1" x14ac:dyDescent="0.3">
      <c r="A1063" s="21">
        <v>44951</v>
      </c>
      <c r="B1063" s="25">
        <f>('Raw Price Data'!B1063-'Raw Price Data'!B1062)/'Raw Price Data'!B1062</f>
        <v>4.88476092191268E-3</v>
      </c>
      <c r="C1063" s="25">
        <f>('Raw Price Data'!C1063-'Raw Price Data'!C1062)/'Raw Price Data'!C1062</f>
        <v>-5.5907787835882529E-4</v>
      </c>
      <c r="D1063" s="25">
        <f>('Raw Price Data'!D1063-'Raw Price Data'!D1062)/'Raw Price Data'!D1062</f>
        <v>-1.1658031088082882E-2</v>
      </c>
      <c r="E1063" s="25">
        <f>('Raw Price Data'!E1063-'Raw Price Data'!E1062)/'Raw Price Data'!E1062</f>
        <v>1.2470825133861255E-2</v>
      </c>
      <c r="F1063" s="25">
        <f>('Raw Price Data'!F1063-'Raw Price Data'!F1062)/'Raw Price Data'!F1062</f>
        <v>5.8672452544525008E-3</v>
      </c>
    </row>
    <row r="1064" spans="1:6" ht="15" customHeight="1" x14ac:dyDescent="0.3">
      <c r="A1064" s="19">
        <v>44952</v>
      </c>
      <c r="B1064" s="26">
        <f>('Raw Price Data'!B1064-'Raw Price Data'!B1063)/'Raw Price Data'!B1063</f>
        <v>-2.6016705463507836E-3</v>
      </c>
      <c r="C1064" s="26">
        <f>('Raw Price Data'!C1064-'Raw Price Data'!C1063)/'Raw Price Data'!C1063</f>
        <v>7.9742918352772325E-3</v>
      </c>
      <c r="D1064" s="26">
        <f>('Raw Price Data'!D1064-'Raw Price Data'!D1063)/'Raw Price Data'!D1063</f>
        <v>-1.4198339886412783E-3</v>
      </c>
      <c r="E1064" s="26">
        <f>('Raw Price Data'!E1064-'Raw Price Data'!E1063)/'Raw Price Data'!E1063</f>
        <v>5.4082762673175466E-2</v>
      </c>
      <c r="F1064" s="26">
        <f>('Raw Price Data'!F1064-'Raw Price Data'!F1063)/'Raw Price Data'!F1063</f>
        <v>-5.595754502765421E-3</v>
      </c>
    </row>
    <row r="1065" spans="1:6" ht="15" customHeight="1" x14ac:dyDescent="0.3">
      <c r="A1065" s="21">
        <v>44953</v>
      </c>
      <c r="B1065" s="25">
        <f>('Raw Price Data'!B1065-'Raw Price Data'!B1064)/'Raw Price Data'!B1064</f>
        <v>1.6886326194398543E-2</v>
      </c>
      <c r="C1065" s="25">
        <f>('Raw Price Data'!C1065-'Raw Price Data'!C1064)/'Raw Price Data'!C1064</f>
        <v>-6.8857007911205512E-2</v>
      </c>
      <c r="D1065" s="25">
        <f>('Raw Price Data'!D1065-'Raw Price Data'!D1064)/'Raw Price Data'!D1064</f>
        <v>-2.4937110357650671E-2</v>
      </c>
      <c r="E1065" s="25">
        <f>('Raw Price Data'!E1065-'Raw Price Data'!E1064)/'Raw Price Data'!E1064</f>
        <v>-3.4391080617495635E-2</v>
      </c>
      <c r="F1065" s="25">
        <f>('Raw Price Data'!F1065-'Raw Price Data'!F1064)/'Raw Price Data'!F1064</f>
        <v>1.1370020017463961E-2</v>
      </c>
    </row>
    <row r="1066" spans="1:6" ht="15" customHeight="1" x14ac:dyDescent="0.3">
      <c r="A1066" s="19">
        <v>44956</v>
      </c>
      <c r="B1066" s="26">
        <f>('Raw Price Data'!B1066-'Raw Price Data'!B1065)/'Raw Price Data'!B1065</f>
        <v>9.5180234912921914E-3</v>
      </c>
      <c r="C1066" s="26">
        <f>('Raw Price Data'!C1066-'Raw Price Data'!C1065)/'Raw Price Data'!C1065</f>
        <v>8.5913376490802853E-3</v>
      </c>
      <c r="D1066" s="26">
        <f>('Raw Price Data'!D1066-'Raw Price Data'!D1065)/'Raw Price Data'!D1065</f>
        <v>3.1407739764442075E-3</v>
      </c>
      <c r="E1066" s="26">
        <f>('Raw Price Data'!E1066-'Raw Price Data'!E1065)/'Raw Price Data'!E1065</f>
        <v>4.6340705213606899E-2</v>
      </c>
      <c r="F1066" s="26">
        <f>('Raw Price Data'!F1066-'Raw Price Data'!F1065)/'Raw Price Data'!F1065</f>
        <v>1.0403232348652129E-3</v>
      </c>
    </row>
    <row r="1067" spans="1:6" ht="15" customHeight="1" x14ac:dyDescent="0.3">
      <c r="A1067" s="21">
        <v>44957</v>
      </c>
      <c r="B1067" s="25">
        <f>('Raw Price Data'!B1067-'Raw Price Data'!B1066)/'Raw Price Data'!B1066</f>
        <v>1.0498161150116972E-2</v>
      </c>
      <c r="C1067" s="25">
        <f>('Raw Price Data'!C1067-'Raw Price Data'!C1066)/'Raw Price Data'!C1066</f>
        <v>-7.2294306980492538E-4</v>
      </c>
      <c r="D1067" s="25">
        <f>('Raw Price Data'!D1067-'Raw Price Data'!D1066)/'Raw Price Data'!D1066</f>
        <v>1.5766521301576613E-2</v>
      </c>
      <c r="E1067" s="25">
        <f>('Raw Price Data'!E1067-'Raw Price Data'!E1066)/'Raw Price Data'!E1066</f>
        <v>-1.7910574454088231E-2</v>
      </c>
      <c r="F1067" s="25">
        <f>('Raw Price Data'!F1067-'Raw Price Data'!F1066)/'Raw Price Data'!F1066</f>
        <v>1.1206531740917625E-2</v>
      </c>
    </row>
    <row r="1068" spans="1:6" ht="15" customHeight="1" x14ac:dyDescent="0.3">
      <c r="A1068" s="19">
        <v>44958</v>
      </c>
      <c r="B1068" s="26">
        <f>('Raw Price Data'!B1068-'Raw Price Data'!B1067)/'Raw Price Data'!B1067</f>
        <v>4.7644256220222263E-3</v>
      </c>
      <c r="C1068" s="26">
        <f>('Raw Price Data'!C1068-'Raw Price Data'!C1067)/'Raw Price Data'!C1067</f>
        <v>-7.0773857080845765E-3</v>
      </c>
      <c r="D1068" s="26">
        <f>('Raw Price Data'!D1068-'Raw Price Data'!D1067)/'Raw Price Data'!D1067</f>
        <v>1.9319682959048828E-2</v>
      </c>
      <c r="E1068" s="26">
        <f>('Raw Price Data'!E1068-'Raw Price Data'!E1067)/'Raw Price Data'!E1067</f>
        <v>-2.5108580565699354E-2</v>
      </c>
      <c r="F1068" s="26">
        <f>('Raw Price Data'!F1068-'Raw Price Data'!F1067)/'Raw Price Data'!F1067</f>
        <v>-1.799285151634946E-3</v>
      </c>
    </row>
    <row r="1069" spans="1:6" ht="15" customHeight="1" x14ac:dyDescent="0.3">
      <c r="A1069" s="21">
        <v>44959</v>
      </c>
      <c r="B1069" s="25">
        <f>('Raw Price Data'!B1069-'Raw Price Data'!B1068)/'Raw Price Data'!B1068</f>
        <v>-1.1393572181243346E-2</v>
      </c>
      <c r="C1069" s="25">
        <f>('Raw Price Data'!C1069-'Raw Price Data'!C1068)/'Raw Price Data'!C1068</f>
        <v>-1.0980029398347564E-2</v>
      </c>
      <c r="D1069" s="25">
        <f>('Raw Price Data'!D1069-'Raw Price Data'!D1068)/'Raw Price Data'!D1068</f>
        <v>2.1113451050272673E-2</v>
      </c>
      <c r="E1069" s="25">
        <f>('Raw Price Data'!E1069-'Raw Price Data'!E1068)/'Raw Price Data'!E1068</f>
        <v>-1.7709510827404323E-2</v>
      </c>
      <c r="F1069" s="25">
        <f>('Raw Price Data'!F1069-'Raw Price Data'!F1068)/'Raw Price Data'!F1068</f>
        <v>2.0782839257721175E-2</v>
      </c>
    </row>
    <row r="1070" spans="1:6" ht="15" customHeight="1" x14ac:dyDescent="0.3">
      <c r="A1070" s="19">
        <v>44960</v>
      </c>
      <c r="B1070" s="26">
        <f>('Raw Price Data'!B1070-'Raw Price Data'!B1069)/'Raw Price Data'!B1069</f>
        <v>-1.2657384584637969E-2</v>
      </c>
      <c r="C1070" s="26">
        <f>('Raw Price Data'!C1070-'Raw Price Data'!C1069)/'Raw Price Data'!C1069</f>
        <v>1.6527972632752262E-2</v>
      </c>
      <c r="D1070" s="26">
        <f>('Raw Price Data'!D1070-'Raw Price Data'!D1069)/'Raw Price Data'!D1069</f>
        <v>2.8027498677948236E-3</v>
      </c>
      <c r="E1070" s="26">
        <f>('Raw Price Data'!E1070-'Raw Price Data'!E1069)/'Raw Price Data'!E1069</f>
        <v>1.4350828105961491E-2</v>
      </c>
      <c r="F1070" s="26">
        <f>('Raw Price Data'!F1070-'Raw Price Data'!F1069)/'Raw Price Data'!F1069</f>
        <v>1.6201650862951087E-2</v>
      </c>
    </row>
    <row r="1071" spans="1:6" ht="15" customHeight="1" x14ac:dyDescent="0.3">
      <c r="A1071" s="21">
        <v>44963</v>
      </c>
      <c r="B1071" s="25">
        <f>('Raw Price Data'!B1071-'Raw Price Data'!B1070)/'Raw Price Data'!B1070</f>
        <v>-2.0039133661696233E-2</v>
      </c>
      <c r="C1071" s="25">
        <f>('Raw Price Data'!C1071-'Raw Price Data'!C1070)/'Raw Price Data'!C1070</f>
        <v>-3.5417415032865121E-2</v>
      </c>
      <c r="D1071" s="25">
        <f>('Raw Price Data'!D1071-'Raw Price Data'!D1070)/'Raw Price Data'!D1070</f>
        <v>-2.0566366081315526E-3</v>
      </c>
      <c r="E1071" s="25">
        <f>('Raw Price Data'!E1071-'Raw Price Data'!E1070)/'Raw Price Data'!E1070</f>
        <v>4.5602171108242969E-3</v>
      </c>
      <c r="F1071" s="25">
        <f>('Raw Price Data'!F1071-'Raw Price Data'!F1070)/'Raw Price Data'!F1070</f>
        <v>8.5926224280872213E-3</v>
      </c>
    </row>
    <row r="1072" spans="1:6" ht="15" customHeight="1" x14ac:dyDescent="0.3">
      <c r="A1072" s="19">
        <v>44964</v>
      </c>
      <c r="B1072" s="26">
        <f>('Raw Price Data'!B1072-'Raw Price Data'!B1071)/'Raw Price Data'!B1071</f>
        <v>4.0209308730377327E-2</v>
      </c>
      <c r="C1072" s="26">
        <f>('Raw Price Data'!C1072-'Raw Price Data'!C1071)/'Raw Price Data'!C1071</f>
        <v>5.6141749260089288E-2</v>
      </c>
      <c r="D1072" s="26">
        <f>('Raw Price Data'!D1072-'Raw Price Data'!D1071)/'Raw Price Data'!D1071</f>
        <v>-3.5933206510251892E-3</v>
      </c>
      <c r="E1072" s="26">
        <f>('Raw Price Data'!E1072-'Raw Price Data'!E1071)/'Raw Price Data'!E1071</f>
        <v>-1.1249141920768804E-2</v>
      </c>
      <c r="F1072" s="26">
        <f>('Raw Price Data'!F1072-'Raw Price Data'!F1071)/'Raw Price Data'!F1071</f>
        <v>1.6705655272858201E-2</v>
      </c>
    </row>
    <row r="1073" spans="1:6" ht="15" customHeight="1" x14ac:dyDescent="0.3">
      <c r="A1073" s="21">
        <v>44965</v>
      </c>
      <c r="B1073" s="25">
        <f>('Raw Price Data'!B1073-'Raw Price Data'!B1072)/'Raw Price Data'!B1072</f>
        <v>-1.4628011649457293E-2</v>
      </c>
      <c r="C1073" s="25">
        <f>('Raw Price Data'!C1073-'Raw Price Data'!C1072)/'Raw Price Data'!C1072</f>
        <v>2.0952416301685175E-2</v>
      </c>
      <c r="D1073" s="25">
        <f>('Raw Price Data'!D1073-'Raw Price Data'!D1072)/'Raw Price Data'!D1072</f>
        <v>6.5761561306746348E-3</v>
      </c>
      <c r="E1073" s="25">
        <f>('Raw Price Data'!E1073-'Raw Price Data'!E1072)/'Raw Price Data'!E1072</f>
        <v>-1.0481288213029958E-2</v>
      </c>
      <c r="F1073" s="25">
        <f>('Raw Price Data'!F1073-'Raw Price Data'!F1072)/'Raw Price Data'!F1072</f>
        <v>-6.9638644595688502E-3</v>
      </c>
    </row>
    <row r="1074" spans="1:6" ht="15" customHeight="1" x14ac:dyDescent="0.3">
      <c r="A1074" s="19">
        <v>44966</v>
      </c>
      <c r="B1074" s="26">
        <f>('Raw Price Data'!B1074-'Raw Price Data'!B1073)/'Raw Price Data'!B1073</f>
        <v>-2.6197353395581028E-3</v>
      </c>
      <c r="C1074" s="26">
        <f>('Raw Price Data'!C1074-'Raw Price Data'!C1073)/'Raw Price Data'!C1073</f>
        <v>7.1134701494798254E-3</v>
      </c>
      <c r="D1074" s="26">
        <f>('Raw Price Data'!D1074-'Raw Price Data'!D1073)/'Raw Price Data'!D1073</f>
        <v>1.1643835616438248E-2</v>
      </c>
      <c r="E1074" s="26">
        <f>('Raw Price Data'!E1074-'Raw Price Data'!E1073)/'Raw Price Data'!E1073</f>
        <v>-1.3874114478419292E-2</v>
      </c>
      <c r="F1074" s="26">
        <f>('Raw Price Data'!F1074-'Raw Price Data'!F1073)/'Raw Price Data'!F1073</f>
        <v>2.0087251575375668E-2</v>
      </c>
    </row>
    <row r="1075" spans="1:6" ht="15" customHeight="1" x14ac:dyDescent="0.3">
      <c r="A1075" s="21">
        <v>44967</v>
      </c>
      <c r="B1075" s="25">
        <f>('Raw Price Data'!B1075-'Raw Price Data'!B1074)/'Raw Price Data'!B1074</f>
        <v>-4.6470905172413647E-3</v>
      </c>
      <c r="C1075" s="25">
        <f>('Raw Price Data'!C1075-'Raw Price Data'!C1074)/'Raw Price Data'!C1074</f>
        <v>3.4118871568409093E-2</v>
      </c>
      <c r="D1075" s="25">
        <f>('Raw Price Data'!D1075-'Raw Price Data'!D1074)/'Raw Price Data'!D1074</f>
        <v>5.7288682881101128E-3</v>
      </c>
      <c r="E1075" s="25">
        <f>('Raw Price Data'!E1075-'Raw Price Data'!E1074)/'Raw Price Data'!E1074</f>
        <v>1.1659398668808777E-2</v>
      </c>
      <c r="F1075" s="25">
        <f>('Raw Price Data'!F1075-'Raw Price Data'!F1074)/'Raw Price Data'!F1074</f>
        <v>-1.3526638915816111E-2</v>
      </c>
    </row>
    <row r="1076" spans="1:6" ht="15" customHeight="1" x14ac:dyDescent="0.3">
      <c r="A1076" s="19">
        <v>44970</v>
      </c>
      <c r="B1076" s="26">
        <f>('Raw Price Data'!B1076-'Raw Price Data'!B1075)/'Raw Price Data'!B1075</f>
        <v>-3.5861695649232099E-3</v>
      </c>
      <c r="C1076" s="26">
        <f>('Raw Price Data'!C1076-'Raw Price Data'!C1075)/'Raw Price Data'!C1075</f>
        <v>5.4397151567336906E-3</v>
      </c>
      <c r="D1076" s="26">
        <f>('Raw Price Data'!D1076-'Raw Price Data'!D1075)/'Raw Price Data'!D1075</f>
        <v>-2.0765366889337781E-2</v>
      </c>
      <c r="E1076" s="26">
        <f>('Raw Price Data'!E1076-'Raw Price Data'!E1075)/'Raw Price Data'!E1075</f>
        <v>2.4184400381142578E-2</v>
      </c>
      <c r="F1076" s="26">
        <f>('Raw Price Data'!F1076-'Raw Price Data'!F1075)/'Raw Price Data'!F1075</f>
        <v>1.2641776823794631E-3</v>
      </c>
    </row>
    <row r="1077" spans="1:6" ht="15" customHeight="1" x14ac:dyDescent="0.3">
      <c r="A1077" s="21">
        <v>44971</v>
      </c>
      <c r="B1077" s="25">
        <f>('Raw Price Data'!B1077-'Raw Price Data'!B1076)/'Raw Price Data'!B1076</f>
        <v>-7.8093168545428316E-3</v>
      </c>
      <c r="C1077" s="25">
        <f>('Raw Price Data'!C1077-'Raw Price Data'!C1076)/'Raw Price Data'!C1076</f>
        <v>-1.518930210219941E-2</v>
      </c>
      <c r="D1077" s="25">
        <f>('Raw Price Data'!D1077-'Raw Price Data'!D1076)/'Raw Price Data'!D1076</f>
        <v>2.2104706504495013E-2</v>
      </c>
      <c r="E1077" s="25">
        <f>('Raw Price Data'!E1077-'Raw Price Data'!E1076)/'Raw Price Data'!E1076</f>
        <v>-4.3416622363990328E-3</v>
      </c>
      <c r="F1077" s="25">
        <f>('Raw Price Data'!F1077-'Raw Price Data'!F1076)/'Raw Price Data'!F1076</f>
        <v>-6.5984848251590964E-3</v>
      </c>
    </row>
    <row r="1078" spans="1:6" ht="15" customHeight="1" x14ac:dyDescent="0.3">
      <c r="A1078" s="19">
        <v>44972</v>
      </c>
      <c r="B1078" s="26">
        <f>('Raw Price Data'!B1078-'Raw Price Data'!B1077)/'Raw Price Data'!B1077</f>
        <v>-2.5528711244952554E-2</v>
      </c>
      <c r="C1078" s="26">
        <f>('Raw Price Data'!C1078-'Raw Price Data'!C1077)/'Raw Price Data'!C1077</f>
        <v>1.8708062563897621E-2</v>
      </c>
      <c r="D1078" s="26">
        <f>('Raw Price Data'!D1078-'Raw Price Data'!D1077)/'Raw Price Data'!D1077</f>
        <v>7.9159768211920587E-3</v>
      </c>
      <c r="E1078" s="26">
        <f>('Raw Price Data'!E1078-'Raw Price Data'!E1077)/'Raw Price Data'!E1077</f>
        <v>-1.2369849603986833E-2</v>
      </c>
      <c r="F1078" s="26">
        <f>('Raw Price Data'!F1078-'Raw Price Data'!F1077)/'Raw Price Data'!F1077</f>
        <v>-2.1260092824638723E-2</v>
      </c>
    </row>
    <row r="1079" spans="1:6" ht="15" customHeight="1" x14ac:dyDescent="0.3">
      <c r="A1079" s="21">
        <v>44973</v>
      </c>
      <c r="B1079" s="25">
        <f>('Raw Price Data'!B1079-'Raw Price Data'!B1078)/'Raw Price Data'!B1078</f>
        <v>-1.3555274617221568E-2</v>
      </c>
      <c r="C1079" s="25">
        <f>('Raw Price Data'!C1079-'Raw Price Data'!C1078)/'Raw Price Data'!C1078</f>
        <v>-2.8261947882661006E-2</v>
      </c>
      <c r="D1079" s="25">
        <f>('Raw Price Data'!D1079-'Raw Price Data'!D1078)/'Raw Price Data'!D1078</f>
        <v>1.5964272881268851E-2</v>
      </c>
      <c r="E1079" s="25">
        <f>('Raw Price Data'!E1079-'Raw Price Data'!E1078)/'Raw Price Data'!E1078</f>
        <v>-6.6228149216074911E-3</v>
      </c>
      <c r="F1079" s="25">
        <f>('Raw Price Data'!F1079-'Raw Price Data'!F1078)/'Raw Price Data'!F1078</f>
        <v>-1.4343513592789972E-2</v>
      </c>
    </row>
    <row r="1080" spans="1:6" ht="15" customHeight="1" x14ac:dyDescent="0.3">
      <c r="A1080" s="19">
        <v>44974</v>
      </c>
      <c r="B1080" s="26">
        <f>('Raw Price Data'!B1080-'Raw Price Data'!B1079)/'Raw Price Data'!B1079</f>
        <v>-1.8939124243503004E-2</v>
      </c>
      <c r="C1080" s="26">
        <f>('Raw Price Data'!C1080-'Raw Price Data'!C1079)/'Raw Price Data'!C1079</f>
        <v>1.1182468927693775E-2</v>
      </c>
      <c r="D1080" s="26">
        <f>('Raw Price Data'!D1080-'Raw Price Data'!D1079)/'Raw Price Data'!D1079</f>
        <v>1.2126111560226815E-3</v>
      </c>
      <c r="E1080" s="26">
        <f>('Raw Price Data'!E1080-'Raw Price Data'!E1079)/'Raw Price Data'!E1079</f>
        <v>-4.3131207764524553E-2</v>
      </c>
      <c r="F1080" s="26">
        <f>('Raw Price Data'!F1080-'Raw Price Data'!F1079)/'Raw Price Data'!F1079</f>
        <v>-4.5775210703318794E-3</v>
      </c>
    </row>
    <row r="1081" spans="1:6" ht="15" customHeight="1" x14ac:dyDescent="0.3">
      <c r="A1081" s="21">
        <v>44977</v>
      </c>
      <c r="B1081" s="25">
        <f>('Raw Price Data'!B1081-'Raw Price Data'!B1080)/'Raw Price Data'!B1080</f>
        <v>-1.4514841425356604E-3</v>
      </c>
      <c r="C1081" s="25">
        <f>('Raw Price Data'!C1081-'Raw Price Data'!C1080)/'Raw Price Data'!C1080</f>
        <v>2.1724328195254938E-2</v>
      </c>
      <c r="D1081" s="25">
        <f>('Raw Price Data'!D1081-'Raw Price Data'!D1080)/'Raw Price Data'!D1080</f>
        <v>-3.6838918046022901E-3</v>
      </c>
      <c r="E1081" s="25">
        <f>('Raw Price Data'!E1081-'Raw Price Data'!E1080)/'Raw Price Data'!E1080</f>
        <v>-5.4507536259351924E-4</v>
      </c>
      <c r="F1081" s="25">
        <f>('Raw Price Data'!F1081-'Raw Price Data'!F1080)/'Raw Price Data'!F1080</f>
        <v>5.8815555257897001E-3</v>
      </c>
    </row>
    <row r="1082" spans="1:6" ht="15" customHeight="1" x14ac:dyDescent="0.3">
      <c r="A1082" s="19">
        <v>44978</v>
      </c>
      <c r="B1082" s="26">
        <f>('Raw Price Data'!B1082-'Raw Price Data'!B1081)/'Raw Price Data'!B1081</f>
        <v>-9.1576422705137786E-3</v>
      </c>
      <c r="C1082" s="26">
        <f>('Raw Price Data'!C1082-'Raw Price Data'!C1081)/'Raw Price Data'!C1081</f>
        <v>1.0030850898812388E-2</v>
      </c>
      <c r="D1082" s="26">
        <f>('Raw Price Data'!D1082-'Raw Price Data'!D1081)/'Raw Price Data'!D1081</f>
        <v>3.0897026794306812E-2</v>
      </c>
      <c r="E1082" s="26">
        <f>('Raw Price Data'!E1082-'Raw Price Data'!E1081)/'Raw Price Data'!E1081</f>
        <v>7.7063524055675427E-3</v>
      </c>
      <c r="F1082" s="26">
        <f>('Raw Price Data'!F1082-'Raw Price Data'!F1081)/'Raw Price Data'!F1081</f>
        <v>-3.8412882534472293E-3</v>
      </c>
    </row>
    <row r="1083" spans="1:6" ht="15" customHeight="1" x14ac:dyDescent="0.3">
      <c r="A1083" s="21">
        <v>44979</v>
      </c>
      <c r="B1083" s="25">
        <f>('Raw Price Data'!B1083-'Raw Price Data'!B1082)/'Raw Price Data'!B1082</f>
        <v>-9.1689283356561277E-3</v>
      </c>
      <c r="C1083" s="25">
        <f>('Raw Price Data'!C1083-'Raw Price Data'!C1082)/'Raw Price Data'!C1082</f>
        <v>-2.4998720202037337E-2</v>
      </c>
      <c r="D1083" s="25">
        <f>('Raw Price Data'!D1083-'Raw Price Data'!D1082)/'Raw Price Data'!D1082</f>
        <v>-1.6459490001473957E-2</v>
      </c>
      <c r="E1083" s="25">
        <f>('Raw Price Data'!E1083-'Raw Price Data'!E1082)/'Raw Price Data'!E1082</f>
        <v>-6.4944232669772476E-3</v>
      </c>
      <c r="F1083" s="25">
        <f>('Raw Price Data'!F1083-'Raw Price Data'!F1082)/'Raw Price Data'!F1082</f>
        <v>1.0992725470356077E-2</v>
      </c>
    </row>
    <row r="1084" spans="1:6" ht="15" customHeight="1" x14ac:dyDescent="0.3">
      <c r="A1084" s="19">
        <v>44980</v>
      </c>
      <c r="B1084" s="26">
        <f>('Raw Price Data'!B1084-'Raw Price Data'!B1083)/'Raw Price Data'!B1083</f>
        <v>3.2573289902279958E-3</v>
      </c>
      <c r="C1084" s="26">
        <f>('Raw Price Data'!C1084-'Raw Price Data'!C1083)/'Raw Price Data'!C1083</f>
        <v>4.2120246887650944E-3</v>
      </c>
      <c r="D1084" s="26">
        <f>('Raw Price Data'!D1084-'Raw Price Data'!D1083)/'Raw Price Data'!D1083</f>
        <v>-2.6176441202917417E-2</v>
      </c>
      <c r="E1084" s="26">
        <f>('Raw Price Data'!E1084-'Raw Price Data'!E1083)/'Raw Price Data'!E1083</f>
        <v>-9.0711003742125918E-3</v>
      </c>
      <c r="F1084" s="26">
        <f>('Raw Price Data'!F1084-'Raw Price Data'!F1083)/'Raw Price Data'!F1083</f>
        <v>-3.3583595673023314E-3</v>
      </c>
    </row>
    <row r="1085" spans="1:6" ht="15" customHeight="1" x14ac:dyDescent="0.3">
      <c r="A1085" s="21">
        <v>44981</v>
      </c>
      <c r="B1085" s="25">
        <f>('Raw Price Data'!B1085-'Raw Price Data'!B1084)/'Raw Price Data'!B1084</f>
        <v>-7.7479338842976041E-3</v>
      </c>
      <c r="C1085" s="25">
        <f>('Raw Price Data'!C1085-'Raw Price Data'!C1084)/'Raw Price Data'!C1084</f>
        <v>-1.5743365710832187E-3</v>
      </c>
      <c r="D1085" s="25">
        <f>('Raw Price Data'!D1085-'Raw Price Data'!D1084)/'Raw Price Data'!D1084</f>
        <v>3.1804657843438951E-2</v>
      </c>
      <c r="E1085" s="25">
        <f>('Raw Price Data'!E1085-'Raw Price Data'!E1084)/'Raw Price Data'!E1084</f>
        <v>2.1654437247544164E-2</v>
      </c>
      <c r="F1085" s="25">
        <f>('Raw Price Data'!F1085-'Raw Price Data'!F1084)/'Raw Price Data'!F1084</f>
        <v>-1.0140197708979903E-2</v>
      </c>
    </row>
    <row r="1086" spans="1:6" ht="15" customHeight="1" x14ac:dyDescent="0.3">
      <c r="A1086" s="19">
        <v>44984</v>
      </c>
      <c r="B1086" s="26">
        <f>('Raw Price Data'!B1086-'Raw Price Data'!B1085)/'Raw Price Data'!B1085</f>
        <v>1.3237153268387009E-2</v>
      </c>
      <c r="C1086" s="26">
        <f>('Raw Price Data'!C1086-'Raw Price Data'!C1085)/'Raw Price Data'!C1085</f>
        <v>-1.2498181712390548E-2</v>
      </c>
      <c r="D1086" s="26">
        <f>('Raw Price Data'!D1086-'Raw Price Data'!D1085)/'Raw Price Data'!D1085</f>
        <v>4.2259122998907364E-3</v>
      </c>
      <c r="E1086" s="26">
        <f>('Raw Price Data'!E1086-'Raw Price Data'!E1085)/'Raw Price Data'!E1085</f>
        <v>6.4101064451982902E-3</v>
      </c>
      <c r="F1086" s="26">
        <f>('Raw Price Data'!F1086-'Raw Price Data'!F1085)/'Raw Price Data'!F1085</f>
        <v>1.5767490126016824E-2</v>
      </c>
    </row>
    <row r="1087" spans="1:6" ht="15" customHeight="1" x14ac:dyDescent="0.3">
      <c r="A1087" s="21">
        <v>44985</v>
      </c>
      <c r="B1087" s="25">
        <f>('Raw Price Data'!B1087-'Raw Price Data'!B1086)/'Raw Price Data'!B1086</f>
        <v>-4.9908256880734445E-3</v>
      </c>
      <c r="C1087" s="25">
        <f>('Raw Price Data'!C1087-'Raw Price Data'!C1086)/'Raw Price Data'!C1086</f>
        <v>-4.0184542503108142E-2</v>
      </c>
      <c r="D1087" s="25">
        <f>('Raw Price Data'!D1087-'Raw Price Data'!D1086)/'Raw Price Data'!D1086</f>
        <v>-6.3864547749889616E-3</v>
      </c>
      <c r="E1087" s="25">
        <f>('Raw Price Data'!E1087-'Raw Price Data'!E1086)/'Raw Price Data'!E1086</f>
        <v>7.8105023361770701E-3</v>
      </c>
      <c r="F1087" s="25">
        <f>('Raw Price Data'!F1087-'Raw Price Data'!F1086)/'Raw Price Data'!F1086</f>
        <v>1.4042496705281318E-2</v>
      </c>
    </row>
    <row r="1088" spans="1:6" ht="15" customHeight="1" x14ac:dyDescent="0.3">
      <c r="A1088" s="19">
        <v>44986</v>
      </c>
      <c r="B1088" s="26">
        <f>('Raw Price Data'!B1088-'Raw Price Data'!B1087)/'Raw Price Data'!B1087</f>
        <v>3.3930810651324628E-3</v>
      </c>
      <c r="C1088" s="26">
        <f>('Raw Price Data'!C1088-'Raw Price Data'!C1087)/'Raw Price Data'!C1087</f>
        <v>-2.0313449603123396E-2</v>
      </c>
      <c r="D1088" s="26">
        <f>('Raw Price Data'!D1088-'Raw Price Data'!D1087)/'Raw Price Data'!D1087</f>
        <v>-8.8191330343795806E-3</v>
      </c>
      <c r="E1088" s="26">
        <f>('Raw Price Data'!E1088-'Raw Price Data'!E1087)/'Raw Price Data'!E1087</f>
        <v>9.9642486449082988E-3</v>
      </c>
      <c r="F1088" s="26">
        <f>('Raw Price Data'!F1088-'Raw Price Data'!F1087)/'Raw Price Data'!F1087</f>
        <v>-2.4321168764337374E-3</v>
      </c>
    </row>
    <row r="1089" spans="1:6" ht="15" customHeight="1" x14ac:dyDescent="0.3">
      <c r="A1089" s="21">
        <v>44987</v>
      </c>
      <c r="B1089" s="25">
        <f>('Raw Price Data'!B1089-'Raw Price Data'!B1088)/'Raw Price Data'!B1088</f>
        <v>-1.8010732926560233E-2</v>
      </c>
      <c r="C1089" s="25">
        <f>('Raw Price Data'!C1089-'Raw Price Data'!C1088)/'Raw Price Data'!C1088</f>
        <v>-8.2399679173873284E-3</v>
      </c>
      <c r="D1089" s="25">
        <f>('Raw Price Data'!D1089-'Raw Price Data'!D1088)/'Raw Price Data'!D1088</f>
        <v>-3.1166742070074985E-2</v>
      </c>
      <c r="E1089" s="25">
        <f>('Raw Price Data'!E1089-'Raw Price Data'!E1088)/'Raw Price Data'!E1088</f>
        <v>3.1972960010961636E-3</v>
      </c>
      <c r="F1089" s="25">
        <f>('Raw Price Data'!F1089-'Raw Price Data'!F1088)/'Raw Price Data'!F1088</f>
        <v>-1.7928314636274176E-2</v>
      </c>
    </row>
    <row r="1090" spans="1:6" ht="15" customHeight="1" x14ac:dyDescent="0.3">
      <c r="A1090" s="19">
        <v>44988</v>
      </c>
      <c r="B1090" s="26">
        <f>('Raw Price Data'!B1090-'Raw Price Data'!B1089)/'Raw Price Data'!B1089</f>
        <v>9.4325497829015632E-3</v>
      </c>
      <c r="C1090" s="26">
        <f>('Raw Price Data'!C1090-'Raw Price Data'!C1089)/'Raw Price Data'!C1089</f>
        <v>2.0452003816190941E-2</v>
      </c>
      <c r="D1090" s="26">
        <f>('Raw Price Data'!D1090-'Raw Price Data'!D1089)/'Raw Price Data'!D1089</f>
        <v>2.978259741607435E-2</v>
      </c>
      <c r="E1090" s="26">
        <f>('Raw Price Data'!E1090-'Raw Price Data'!E1089)/'Raw Price Data'!E1089</f>
        <v>2.5291961663669302E-2</v>
      </c>
      <c r="F1090" s="26">
        <f>('Raw Price Data'!F1090-'Raw Price Data'!F1089)/'Raw Price Data'!F1089</f>
        <v>-1.2005514387454575E-2</v>
      </c>
    </row>
    <row r="1091" spans="1:6" ht="15" customHeight="1" x14ac:dyDescent="0.3">
      <c r="A1091" s="21">
        <v>44991</v>
      </c>
      <c r="B1091" s="25">
        <f>('Raw Price Data'!B1091-'Raw Price Data'!B1090)/'Raw Price Data'!B1090</f>
        <v>-5.3396618214179683E-3</v>
      </c>
      <c r="C1091" s="25">
        <f>('Raw Price Data'!C1091-'Raw Price Data'!C1090)/'Raw Price Data'!C1090</f>
        <v>4.9154851092811654E-2</v>
      </c>
      <c r="D1091" s="25">
        <f>('Raw Price Data'!D1091-'Raw Price Data'!D1090)/'Raw Price Data'!D1090</f>
        <v>1.1538267748274258E-2</v>
      </c>
      <c r="E1091" s="25">
        <f>('Raw Price Data'!E1091-'Raw Price Data'!E1090)/'Raw Price Data'!E1090</f>
        <v>-2.540077268084728E-2</v>
      </c>
      <c r="F1091" s="25">
        <f>('Raw Price Data'!F1091-'Raw Price Data'!F1090)/'Raw Price Data'!F1090</f>
        <v>-5.5044604796622128E-3</v>
      </c>
    </row>
    <row r="1092" spans="1:6" ht="15" customHeight="1" x14ac:dyDescent="0.3">
      <c r="A1092" s="19">
        <v>44992</v>
      </c>
      <c r="B1092" s="26">
        <f>('Raw Price Data'!B1092-'Raw Price Data'!B1091)/'Raw Price Data'!B1091</f>
        <v>5.9648076349536451E-3</v>
      </c>
      <c r="C1092" s="26">
        <f>('Raw Price Data'!C1092-'Raw Price Data'!C1091)/'Raw Price Data'!C1091</f>
        <v>1.5709741574160892E-2</v>
      </c>
      <c r="D1092" s="26">
        <f>('Raw Price Data'!D1092-'Raw Price Data'!D1091)/'Raw Price Data'!D1091</f>
        <v>8.4180115560868584E-3</v>
      </c>
      <c r="E1092" s="26">
        <f>('Raw Price Data'!E1092-'Raw Price Data'!E1091)/'Raw Price Data'!E1091</f>
        <v>-1.1391078507315663E-4</v>
      </c>
      <c r="F1092" s="26">
        <f>('Raw Price Data'!F1092-'Raw Price Data'!F1091)/'Raw Price Data'!F1091</f>
        <v>1.2153713325864077E-3</v>
      </c>
    </row>
    <row r="1093" spans="1:6" ht="15" customHeight="1" x14ac:dyDescent="0.3">
      <c r="A1093" s="21">
        <v>44993</v>
      </c>
      <c r="B1093" s="25">
        <f>('Raw Price Data'!B1093-'Raw Price Data'!B1092)/'Raw Price Data'!B1092</f>
        <v>4.891787726060073E-3</v>
      </c>
      <c r="C1093" s="25">
        <f>('Raw Price Data'!C1093-'Raw Price Data'!C1092)/'Raw Price Data'!C1092</f>
        <v>-1.3311177089203976E-2</v>
      </c>
      <c r="D1093" s="25">
        <f>('Raw Price Data'!D1093-'Raw Price Data'!D1092)/'Raw Price Data'!D1092</f>
        <v>1.338602123981234E-2</v>
      </c>
      <c r="E1093" s="25">
        <f>('Raw Price Data'!E1093-'Raw Price Data'!E1092)/'Raw Price Data'!E1092</f>
        <v>-4.2675841326983897E-2</v>
      </c>
      <c r="F1093" s="25">
        <f>('Raw Price Data'!F1093-'Raw Price Data'!F1092)/'Raw Price Data'!F1092</f>
        <v>1.3945774025431642E-2</v>
      </c>
    </row>
    <row r="1094" spans="1:6" ht="15" customHeight="1" x14ac:dyDescent="0.3">
      <c r="A1094" s="19">
        <v>44994</v>
      </c>
      <c r="B1094" s="26">
        <f>('Raw Price Data'!B1094-'Raw Price Data'!B1093)/'Raw Price Data'!B1093</f>
        <v>-2.0652013571323285E-3</v>
      </c>
      <c r="C1094" s="26">
        <f>('Raw Price Data'!C1094-'Raw Price Data'!C1093)/'Raw Price Data'!C1093</f>
        <v>-6.83076198327649E-3</v>
      </c>
      <c r="D1094" s="26">
        <f>('Raw Price Data'!D1094-'Raw Price Data'!D1093)/'Raw Price Data'!D1093</f>
        <v>-1.4037824137258703E-2</v>
      </c>
      <c r="E1094" s="26">
        <f>('Raw Price Data'!E1094-'Raw Price Data'!E1093)/'Raw Price Data'!E1093</f>
        <v>-7.4733434881950759E-3</v>
      </c>
      <c r="F1094" s="26">
        <f>('Raw Price Data'!F1094-'Raw Price Data'!F1093)/'Raw Price Data'!F1093</f>
        <v>1.1691250713156852E-3</v>
      </c>
    </row>
    <row r="1095" spans="1:6" ht="15" customHeight="1" x14ac:dyDescent="0.3">
      <c r="A1095" s="21">
        <v>44995</v>
      </c>
      <c r="B1095" s="25">
        <f>('Raw Price Data'!B1095-'Raw Price Data'!B1094)/'Raw Price Data'!B1094</f>
        <v>3.3259423503325101E-3</v>
      </c>
      <c r="C1095" s="25">
        <f>('Raw Price Data'!C1095-'Raw Price Data'!C1094)/'Raw Price Data'!C1094</f>
        <v>1.9684572512747568E-2</v>
      </c>
      <c r="D1095" s="25">
        <f>('Raw Price Data'!D1095-'Raw Price Data'!D1094)/'Raw Price Data'!D1094</f>
        <v>7.6132094126952349E-3</v>
      </c>
      <c r="E1095" s="25">
        <f>('Raw Price Data'!E1095-'Raw Price Data'!E1094)/'Raw Price Data'!E1094</f>
        <v>3.8343484724953261E-2</v>
      </c>
      <c r="F1095" s="25">
        <f>('Raw Price Data'!F1095-'Raw Price Data'!F1094)/'Raw Price Data'!F1094</f>
        <v>3.6549079462750598E-3</v>
      </c>
    </row>
    <row r="1096" spans="1:6" ht="15" customHeight="1" x14ac:dyDescent="0.3">
      <c r="A1096" s="19">
        <v>44998</v>
      </c>
      <c r="B1096" s="26">
        <f>('Raw Price Data'!B1096-'Raw Price Data'!B1095)/'Raw Price Data'!B1095</f>
        <v>-5.0092081031308053E-3</v>
      </c>
      <c r="C1096" s="26">
        <f>('Raw Price Data'!C1096-'Raw Price Data'!C1095)/'Raw Price Data'!C1095</f>
        <v>1.1419932550296604E-2</v>
      </c>
      <c r="D1096" s="26">
        <f>('Raw Price Data'!D1096-'Raw Price Data'!D1095)/'Raw Price Data'!D1095</f>
        <v>1.7515454813070323E-2</v>
      </c>
      <c r="E1096" s="26">
        <f>('Raw Price Data'!E1096-'Raw Price Data'!E1095)/'Raw Price Data'!E1095</f>
        <v>-2.3810073670354041E-2</v>
      </c>
      <c r="F1096" s="26">
        <f>('Raw Price Data'!F1096-'Raw Price Data'!F1095)/'Raw Price Data'!F1095</f>
        <v>5.2421691767556835E-3</v>
      </c>
    </row>
    <row r="1097" spans="1:6" ht="15" customHeight="1" x14ac:dyDescent="0.3">
      <c r="A1097" s="21">
        <v>44999</v>
      </c>
      <c r="B1097" s="25">
        <f>('Raw Price Data'!B1097-'Raw Price Data'!B1096)/'Raw Price Data'!B1096</f>
        <v>1.8953135411268248E-2</v>
      </c>
      <c r="C1097" s="25">
        <f>('Raw Price Data'!C1097-'Raw Price Data'!C1096)/'Raw Price Data'!C1096</f>
        <v>7.4909166168421861E-3</v>
      </c>
      <c r="D1097" s="25">
        <f>('Raw Price Data'!D1097-'Raw Price Data'!D1096)/'Raw Price Data'!D1096</f>
        <v>-3.4331452818361426E-2</v>
      </c>
      <c r="E1097" s="25">
        <f>('Raw Price Data'!E1097-'Raw Price Data'!E1096)/'Raw Price Data'!E1096</f>
        <v>-2.0369056068133461E-2</v>
      </c>
      <c r="F1097" s="25">
        <f>('Raw Price Data'!F1097-'Raw Price Data'!F1096)/'Raw Price Data'!F1096</f>
        <v>-1.3026260383455984E-2</v>
      </c>
    </row>
    <row r="1098" spans="1:6" ht="15" customHeight="1" x14ac:dyDescent="0.3">
      <c r="A1098" s="19">
        <v>45000</v>
      </c>
      <c r="B1098" s="26">
        <f>('Raw Price Data'!B1098-'Raw Price Data'!B1097)/'Raw Price Data'!B1097</f>
        <v>1.3296519654145264E-2</v>
      </c>
      <c r="C1098" s="26">
        <f>('Raw Price Data'!C1098-'Raw Price Data'!C1097)/'Raw Price Data'!C1097</f>
        <v>4.7932346916066257E-3</v>
      </c>
      <c r="D1098" s="26">
        <f>('Raw Price Data'!D1098-'Raw Price Data'!D1097)/'Raw Price Data'!D1097</f>
        <v>9.7867878364207295E-3</v>
      </c>
      <c r="E1098" s="26">
        <f>('Raw Price Data'!E1098-'Raw Price Data'!E1097)/'Raw Price Data'!E1097</f>
        <v>-9.4182424110697289E-4</v>
      </c>
      <c r="F1098" s="26">
        <f>('Raw Price Data'!F1098-'Raw Price Data'!F1097)/'Raw Price Data'!F1097</f>
        <v>1.3116113357978382E-2</v>
      </c>
    </row>
    <row r="1099" spans="1:6" ht="15" customHeight="1" x14ac:dyDescent="0.3">
      <c r="A1099" s="21">
        <v>45001</v>
      </c>
      <c r="B1099" s="25">
        <f>('Raw Price Data'!B1099-'Raw Price Data'!B1098)/'Raw Price Data'!B1098</f>
        <v>6.955399397676745E-3</v>
      </c>
      <c r="C1099" s="25">
        <f>('Raw Price Data'!C1099-'Raw Price Data'!C1098)/'Raw Price Data'!C1098</f>
        <v>2.1750611913429262E-2</v>
      </c>
      <c r="D1099" s="25">
        <f>('Raw Price Data'!D1099-'Raw Price Data'!D1098)/'Raw Price Data'!D1098</f>
        <v>1.2164367304554261E-2</v>
      </c>
      <c r="E1099" s="25">
        <f>('Raw Price Data'!E1099-'Raw Price Data'!E1098)/'Raw Price Data'!E1098</f>
        <v>1.6799613246313728E-2</v>
      </c>
      <c r="F1099" s="25">
        <f>('Raw Price Data'!F1099-'Raw Price Data'!F1098)/'Raw Price Data'!F1098</f>
        <v>1.759133346874292E-2</v>
      </c>
    </row>
    <row r="1100" spans="1:6" ht="15" customHeight="1" x14ac:dyDescent="0.3">
      <c r="A1100" s="19">
        <v>45002</v>
      </c>
      <c r="B1100" s="26">
        <f>('Raw Price Data'!B1100-'Raw Price Data'!B1099)/'Raw Price Data'!B1099</f>
        <v>-1.6022217474898525E-2</v>
      </c>
      <c r="C1100" s="26">
        <f>('Raw Price Data'!C1100-'Raw Price Data'!C1099)/'Raw Price Data'!C1099</f>
        <v>4.0035127308703441E-2</v>
      </c>
      <c r="D1100" s="26">
        <f>('Raw Price Data'!D1100-'Raw Price Data'!D1099)/'Raw Price Data'!D1099</f>
        <v>2.0030289706385101E-3</v>
      </c>
      <c r="E1100" s="26">
        <f>('Raw Price Data'!E1100-'Raw Price Data'!E1099)/'Raw Price Data'!E1099</f>
        <v>1.3336503031023449E-2</v>
      </c>
      <c r="F1100" s="26">
        <f>('Raw Price Data'!F1100-'Raw Price Data'!F1099)/'Raw Price Data'!F1099</f>
        <v>6.3020336297071444E-3</v>
      </c>
    </row>
    <row r="1101" spans="1:6" ht="15" customHeight="1" x14ac:dyDescent="0.3">
      <c r="A1101" s="21">
        <v>45005</v>
      </c>
      <c r="B1101" s="25">
        <f>('Raw Price Data'!B1101-'Raw Price Data'!B1100)/'Raw Price Data'!B1100</f>
        <v>-1.4908090895932856E-2</v>
      </c>
      <c r="C1101" s="25">
        <f>('Raw Price Data'!C1101-'Raw Price Data'!C1100)/'Raw Price Data'!C1100</f>
        <v>7.6421547669947823E-4</v>
      </c>
      <c r="D1101" s="25">
        <f>('Raw Price Data'!D1101-'Raw Price Data'!D1100)/'Raw Price Data'!D1100</f>
        <v>-1.3554363725012196E-2</v>
      </c>
      <c r="E1101" s="25">
        <f>('Raw Price Data'!E1101-'Raw Price Data'!E1100)/'Raw Price Data'!E1100</f>
        <v>-9.8062215549195482E-3</v>
      </c>
      <c r="F1101" s="25">
        <f>('Raw Price Data'!F1101-'Raw Price Data'!F1100)/'Raw Price Data'!F1100</f>
        <v>1.7908780855729639E-2</v>
      </c>
    </row>
    <row r="1102" spans="1:6" ht="15" customHeight="1" x14ac:dyDescent="0.3">
      <c r="A1102" s="19">
        <v>45006</v>
      </c>
      <c r="B1102" s="26">
        <f>('Raw Price Data'!B1102-'Raw Price Data'!B1101)/'Raw Price Data'!B1101</f>
        <v>-8.889215398178137E-3</v>
      </c>
      <c r="C1102" s="26">
        <f>('Raw Price Data'!C1102-'Raw Price Data'!C1101)/'Raw Price Data'!C1101</f>
        <v>3.3962929142435502E-3</v>
      </c>
      <c r="D1102" s="26">
        <f>('Raw Price Data'!D1102-'Raw Price Data'!D1101)/'Raw Price Data'!D1101</f>
        <v>-2.2241992882561716E-3</v>
      </c>
      <c r="E1102" s="26">
        <f>('Raw Price Data'!E1102-'Raw Price Data'!E1101)/'Raw Price Data'!E1101</f>
        <v>3.2553070507960601E-2</v>
      </c>
      <c r="F1102" s="26">
        <f>('Raw Price Data'!F1102-'Raw Price Data'!F1101)/'Raw Price Data'!F1101</f>
        <v>-2.4793164888641476E-3</v>
      </c>
    </row>
    <row r="1103" spans="1:6" ht="15" customHeight="1" x14ac:dyDescent="0.3">
      <c r="A1103" s="21">
        <v>45007</v>
      </c>
      <c r="B1103" s="25">
        <f>('Raw Price Data'!B1103-'Raw Price Data'!B1102)/'Raw Price Data'!B1102</f>
        <v>-3.0390630790897385E-3</v>
      </c>
      <c r="C1103" s="25">
        <f>('Raw Price Data'!C1103-'Raw Price Data'!C1102)/'Raw Price Data'!C1102</f>
        <v>9.4891404424717139E-3</v>
      </c>
      <c r="D1103" s="25">
        <f>('Raw Price Data'!D1103-'Raw Price Data'!D1102)/'Raw Price Data'!D1102</f>
        <v>-6.7865457967999435E-3</v>
      </c>
      <c r="E1103" s="25">
        <f>('Raw Price Data'!E1103-'Raw Price Data'!E1102)/'Raw Price Data'!E1102</f>
        <v>-6.195218209352068E-4</v>
      </c>
      <c r="F1103" s="25">
        <f>('Raw Price Data'!F1103-'Raw Price Data'!F1102)/'Raw Price Data'!F1102</f>
        <v>4.4378093720266699E-4</v>
      </c>
    </row>
    <row r="1104" spans="1:6" ht="15" customHeight="1" x14ac:dyDescent="0.3">
      <c r="A1104" s="19">
        <v>45008</v>
      </c>
      <c r="B1104" s="26">
        <f>('Raw Price Data'!B1104-'Raw Price Data'!B1103)/'Raw Price Data'!B1103</f>
        <v>6.468401486988881E-3</v>
      </c>
      <c r="C1104" s="26">
        <f>('Raw Price Data'!C1104-'Raw Price Data'!C1103)/'Raw Price Data'!C1103</f>
        <v>-7.5547495281576152E-3</v>
      </c>
      <c r="D1104" s="26">
        <f>('Raw Price Data'!D1104-'Raw Price Data'!D1103)/'Raw Price Data'!D1103</f>
        <v>6.0847880299251811E-3</v>
      </c>
      <c r="E1104" s="26">
        <f>('Raw Price Data'!E1104-'Raw Price Data'!E1103)/'Raw Price Data'!E1103</f>
        <v>2.1995178509929936E-2</v>
      </c>
      <c r="F1104" s="26">
        <f>('Raw Price Data'!F1104-'Raw Price Data'!F1103)/'Raw Price Data'!F1103</f>
        <v>1.5889815546133418E-2</v>
      </c>
    </row>
    <row r="1105" spans="1:6" ht="15" customHeight="1" x14ac:dyDescent="0.3">
      <c r="A1105" s="21">
        <v>45009</v>
      </c>
      <c r="B1105" s="25">
        <f>('Raw Price Data'!B1105-'Raw Price Data'!B1104)/'Raw Price Data'!B1104</f>
        <v>-1.2041072615793716E-2</v>
      </c>
      <c r="C1105" s="25">
        <f>('Raw Price Data'!C1105-'Raw Price Data'!C1104)/'Raw Price Data'!C1104</f>
        <v>-3.8077227501872556E-2</v>
      </c>
      <c r="D1105" s="25">
        <f>('Raw Price Data'!D1105-'Raw Price Data'!D1104)/'Raw Price Data'!D1104</f>
        <v>-7.9813603014078187E-3</v>
      </c>
      <c r="E1105" s="25">
        <f>('Raw Price Data'!E1105-'Raw Price Data'!E1104)/'Raw Price Data'!E1104</f>
        <v>3.0597802889043662E-2</v>
      </c>
      <c r="F1105" s="25">
        <f>('Raw Price Data'!F1105-'Raw Price Data'!F1104)/'Raw Price Data'!F1104</f>
        <v>-1.5769228529057765E-3</v>
      </c>
    </row>
    <row r="1106" spans="1:6" ht="15" customHeight="1" x14ac:dyDescent="0.3">
      <c r="A1106" s="19">
        <v>45012</v>
      </c>
      <c r="B1106" s="26">
        <f>('Raw Price Data'!B1106-'Raw Price Data'!B1105)/'Raw Price Data'!B1105</f>
        <v>1.6599371915657236E-2</v>
      </c>
      <c r="C1106" s="26">
        <f>('Raw Price Data'!C1106-'Raw Price Data'!C1105)/'Raw Price Data'!C1105</f>
        <v>9.2997056565847034E-3</v>
      </c>
      <c r="D1106" s="26">
        <f>('Raw Price Data'!D1106-'Raw Price Data'!D1105)/'Raw Price Data'!D1105</f>
        <v>1.2443156264054673E-2</v>
      </c>
      <c r="E1106" s="26">
        <f>('Raw Price Data'!E1106-'Raw Price Data'!E1105)/'Raw Price Data'!E1105</f>
        <v>-1.8114441416893737E-2</v>
      </c>
      <c r="F1106" s="26">
        <f>('Raw Price Data'!F1106-'Raw Price Data'!F1105)/'Raw Price Data'!F1105</f>
        <v>-6.5901417350929439E-3</v>
      </c>
    </row>
    <row r="1107" spans="1:6" ht="15" customHeight="1" x14ac:dyDescent="0.3">
      <c r="A1107" s="21">
        <v>45013</v>
      </c>
      <c r="B1107" s="25">
        <f>('Raw Price Data'!B1107-'Raw Price Data'!B1106)/'Raw Price Data'!B1106</f>
        <v>3.6775522212402869E-4</v>
      </c>
      <c r="C1107" s="25">
        <f>('Raw Price Data'!C1107-'Raw Price Data'!C1106)/'Raw Price Data'!C1106</f>
        <v>-1.2343720077695495E-2</v>
      </c>
      <c r="D1107" s="25">
        <f>('Raw Price Data'!D1107-'Raw Price Data'!D1106)/'Raw Price Data'!D1106</f>
        <v>-7.7492596248765703E-3</v>
      </c>
      <c r="E1107" s="25">
        <f>('Raw Price Data'!E1107-'Raw Price Data'!E1106)/'Raw Price Data'!E1106</f>
        <v>-2.7772844329988437E-2</v>
      </c>
      <c r="F1107" s="25">
        <f>('Raw Price Data'!F1107-'Raw Price Data'!F1106)/'Raw Price Data'!F1106</f>
        <v>2.057671011320748E-2</v>
      </c>
    </row>
    <row r="1108" spans="1:6" ht="15" customHeight="1" x14ac:dyDescent="0.3">
      <c r="A1108" s="19">
        <v>45014</v>
      </c>
      <c r="B1108" s="26">
        <f>('Raw Price Data'!B1108-'Raw Price Data'!B1107)/'Raw Price Data'!B1107</f>
        <v>-2.7571502095434162E-2</v>
      </c>
      <c r="C1108" s="26">
        <f>('Raw Price Data'!C1108-'Raw Price Data'!C1107)/'Raw Price Data'!C1107</f>
        <v>2.3821526904475677E-2</v>
      </c>
      <c r="D1108" s="26">
        <f>('Raw Price Data'!D1108-'Raw Price Data'!D1107)/'Raw Price Data'!D1107</f>
        <v>-7.8097796348803325E-3</v>
      </c>
      <c r="E1108" s="26">
        <f>('Raw Price Data'!E1108-'Raw Price Data'!E1107)/'Raw Price Data'!E1107</f>
        <v>1.0595300618820329E-2</v>
      </c>
      <c r="F1108" s="26">
        <f>('Raw Price Data'!F1108-'Raw Price Data'!F1107)/'Raw Price Data'!F1107</f>
        <v>-1.3944979603169904E-3</v>
      </c>
    </row>
    <row r="1109" spans="1:6" ht="15" customHeight="1" x14ac:dyDescent="0.3">
      <c r="A1109" s="21">
        <v>45015</v>
      </c>
      <c r="B1109" s="25">
        <f>('Raw Price Data'!B1109-'Raw Price Data'!B1108)/'Raw Price Data'!B1108</f>
        <v>-6.2755179192498425E-3</v>
      </c>
      <c r="C1109" s="25">
        <f>('Raw Price Data'!C1109-'Raw Price Data'!C1108)/'Raw Price Data'!C1108</f>
        <v>3.8093382898020073E-3</v>
      </c>
      <c r="D1109" s="25">
        <f>('Raw Price Data'!D1109-'Raw Price Data'!D1108)/'Raw Price Data'!D1108</f>
        <v>1.88007620575554E-2</v>
      </c>
      <c r="E1109" s="25">
        <f>('Raw Price Data'!E1109-'Raw Price Data'!E1108)/'Raw Price Data'!E1108</f>
        <v>3.9993673317214942E-3</v>
      </c>
      <c r="F1109" s="25">
        <f>('Raw Price Data'!F1109-'Raw Price Data'!F1108)/'Raw Price Data'!F1108</f>
        <v>-8.7517139586352297E-3</v>
      </c>
    </row>
    <row r="1110" spans="1:6" ht="15" customHeight="1" x14ac:dyDescent="0.3">
      <c r="A1110" s="19">
        <v>45016</v>
      </c>
      <c r="B1110" s="26">
        <f>('Raw Price Data'!B1110-'Raw Price Data'!B1109)/'Raw Price Data'!B1109</f>
        <v>-3.5532222475842666E-2</v>
      </c>
      <c r="C1110" s="26">
        <f>('Raw Price Data'!C1110-'Raw Price Data'!C1109)/'Raw Price Data'!C1109</f>
        <v>2.7006193636025456E-2</v>
      </c>
      <c r="D1110" s="26">
        <f>('Raw Price Data'!D1110-'Raw Price Data'!D1109)/'Raw Price Data'!D1109</f>
        <v>-2.116037596575005E-3</v>
      </c>
      <c r="E1110" s="26">
        <f>('Raw Price Data'!E1110-'Raw Price Data'!E1109)/'Raw Price Data'!E1109</f>
        <v>1.1252644371427287E-3</v>
      </c>
      <c r="F1110" s="26">
        <f>('Raw Price Data'!F1110-'Raw Price Data'!F1109)/'Raw Price Data'!F1109</f>
        <v>2.2970168407899187E-4</v>
      </c>
    </row>
    <row r="1111" spans="1:6" ht="15" customHeight="1" x14ac:dyDescent="0.3">
      <c r="A1111" s="21">
        <v>45019</v>
      </c>
      <c r="B1111" s="25">
        <f>('Raw Price Data'!B1111-'Raw Price Data'!B1110)/'Raw Price Data'!B1110</f>
        <v>-1.0097822656989596E-2</v>
      </c>
      <c r="C1111" s="25">
        <f>('Raw Price Data'!C1111-'Raw Price Data'!C1110)/'Raw Price Data'!C1110</f>
        <v>-1.4528429638416392E-2</v>
      </c>
      <c r="D1111" s="25">
        <f>('Raw Price Data'!D1111-'Raw Price Data'!D1110)/'Raw Price Data'!D1110</f>
        <v>8.7286714666141157E-3</v>
      </c>
      <c r="E1111" s="25">
        <f>('Raw Price Data'!E1111-'Raw Price Data'!E1110)/'Raw Price Data'!E1110</f>
        <v>5.5525582231814299E-3</v>
      </c>
      <c r="F1111" s="25">
        <f>('Raw Price Data'!F1111-'Raw Price Data'!F1110)/'Raw Price Data'!F1110</f>
        <v>-2.3938417342037627E-2</v>
      </c>
    </row>
    <row r="1112" spans="1:6" ht="15" customHeight="1" x14ac:dyDescent="0.3">
      <c r="A1112" s="19">
        <v>45020</v>
      </c>
      <c r="B1112" s="26">
        <f>('Raw Price Data'!B1112-'Raw Price Data'!B1111)/'Raw Price Data'!B1111</f>
        <v>-7.2521517373287442E-3</v>
      </c>
      <c r="C1112" s="26">
        <f>('Raw Price Data'!C1112-'Raw Price Data'!C1111)/'Raw Price Data'!C1111</f>
        <v>2.0548054645681955E-2</v>
      </c>
      <c r="D1112" s="26">
        <f>('Raw Price Data'!D1112-'Raw Price Data'!D1111)/'Raw Price Data'!D1111</f>
        <v>-1.9995111219750689E-2</v>
      </c>
      <c r="E1112" s="26">
        <f>('Raw Price Data'!E1112-'Raw Price Data'!E1111)/'Raw Price Data'!E1111</f>
        <v>-1.430775077686585E-3</v>
      </c>
      <c r="F1112" s="26">
        <f>('Raw Price Data'!F1112-'Raw Price Data'!F1111)/'Raw Price Data'!F1111</f>
        <v>1.220926927231465E-2</v>
      </c>
    </row>
    <row r="1113" spans="1:6" ht="15" customHeight="1" x14ac:dyDescent="0.3">
      <c r="A1113" s="21">
        <v>45021</v>
      </c>
      <c r="B1113" s="25">
        <f>('Raw Price Data'!B1113-'Raw Price Data'!B1112)/'Raw Price Data'!B1112</f>
        <v>-8.1881672954964759E-3</v>
      </c>
      <c r="C1113" s="25">
        <f>('Raw Price Data'!C1113-'Raw Price Data'!C1112)/'Raw Price Data'!C1112</f>
        <v>-2.8181803948583863E-2</v>
      </c>
      <c r="D1113" s="25">
        <f>('Raw Price Data'!D1113-'Raw Price Data'!D1112)/'Raw Price Data'!D1112</f>
        <v>2.4344008779806421E-2</v>
      </c>
      <c r="E1113" s="25">
        <f>('Raw Price Data'!E1113-'Raw Price Data'!E1112)/'Raw Price Data'!E1112</f>
        <v>2.9977388228446023E-2</v>
      </c>
      <c r="F1113" s="25">
        <f>('Raw Price Data'!F1113-'Raw Price Data'!F1112)/'Raw Price Data'!F1112</f>
        <v>1.5641626806605746E-2</v>
      </c>
    </row>
    <row r="1114" spans="1:6" ht="15" customHeight="1" x14ac:dyDescent="0.3">
      <c r="A1114" s="19">
        <v>45022</v>
      </c>
      <c r="B1114" s="26">
        <f>('Raw Price Data'!B1114-'Raw Price Data'!B1113)/'Raw Price Data'!B1113</f>
        <v>-4.2088223391339216E-3</v>
      </c>
      <c r="C1114" s="26">
        <f>('Raw Price Data'!C1114-'Raw Price Data'!C1113)/'Raw Price Data'!C1113</f>
        <v>1.7130919967993569E-2</v>
      </c>
      <c r="D1114" s="26">
        <f>('Raw Price Data'!D1114-'Raw Price Data'!D1113)/'Raw Price Data'!D1113</f>
        <v>-2.2499269504236898E-2</v>
      </c>
      <c r="E1114" s="26">
        <f>('Raw Price Data'!E1114-'Raw Price Data'!E1113)/'Raw Price Data'!E1113</f>
        <v>-5.6405686214841516E-2</v>
      </c>
      <c r="F1114" s="26">
        <f>('Raw Price Data'!F1114-'Raw Price Data'!F1113)/'Raw Price Data'!F1113</f>
        <v>-1.3747125895626685E-2</v>
      </c>
    </row>
    <row r="1115" spans="1:6" ht="15" customHeight="1" x14ac:dyDescent="0.3">
      <c r="A1115" s="21">
        <v>45023</v>
      </c>
      <c r="B1115" s="25">
        <f>('Raw Price Data'!B1115-'Raw Price Data'!B1114)/'Raw Price Data'!B1114</f>
        <v>-5.1207022677395384E-3</v>
      </c>
      <c r="C1115" s="25">
        <f>('Raw Price Data'!C1115-'Raw Price Data'!C1114)/'Raw Price Data'!C1114</f>
        <v>-3.590228243480808E-3</v>
      </c>
      <c r="D1115" s="25">
        <f>('Raw Price Data'!D1115-'Raw Price Data'!D1114)/'Raw Price Data'!D1114</f>
        <v>1.9430051813472239E-3</v>
      </c>
      <c r="E1115" s="25">
        <f>('Raw Price Data'!E1115-'Raw Price Data'!E1114)/'Raw Price Data'!E1114</f>
        <v>2.4486881205224471E-2</v>
      </c>
      <c r="F1115" s="25">
        <f>('Raw Price Data'!F1115-'Raw Price Data'!F1114)/'Raw Price Data'!F1114</f>
        <v>-7.2556026713621168E-3</v>
      </c>
    </row>
    <row r="1116" spans="1:6" ht="15" customHeight="1" x14ac:dyDescent="0.3">
      <c r="A1116" s="19">
        <v>45026</v>
      </c>
      <c r="B1116" s="26">
        <f>('Raw Price Data'!B1116-'Raw Price Data'!B1115)/'Raw Price Data'!B1115</f>
        <v>-7.9248366013071805E-3</v>
      </c>
      <c r="C1116" s="26">
        <f>('Raw Price Data'!C1116-'Raw Price Data'!C1115)/'Raw Price Data'!C1115</f>
        <v>1.713092733795029E-2</v>
      </c>
      <c r="D1116" s="26">
        <f>('Raw Price Data'!D1116-'Raw Price Data'!D1115)/'Raw Price Data'!D1115</f>
        <v>-3.1326139923426176E-3</v>
      </c>
      <c r="E1116" s="26">
        <f>('Raw Price Data'!E1116-'Raw Price Data'!E1115)/'Raw Price Data'!E1115</f>
        <v>5.3739263389845447E-3</v>
      </c>
      <c r="F1116" s="26">
        <f>('Raw Price Data'!F1116-'Raw Price Data'!F1115)/'Raw Price Data'!F1115</f>
        <v>2.1424429360234285E-2</v>
      </c>
    </row>
    <row r="1117" spans="1:6" ht="15" customHeight="1" x14ac:dyDescent="0.3">
      <c r="A1117" s="21">
        <v>45027</v>
      </c>
      <c r="B1117" s="25">
        <f>('Raw Price Data'!B1117-'Raw Price Data'!B1116)/'Raw Price Data'!B1116</f>
        <v>2.1164456888742429E-2</v>
      </c>
      <c r="C1117" s="25">
        <f>('Raw Price Data'!C1117-'Raw Price Data'!C1116)/'Raw Price Data'!C1116</f>
        <v>-5.7200608472775111E-3</v>
      </c>
      <c r="D1117" s="25">
        <f>('Raw Price Data'!D1117-'Raw Price Data'!D1116)/'Raw Price Data'!D1116</f>
        <v>-1.1622106943335915E-2</v>
      </c>
      <c r="E1117" s="25">
        <f>('Raw Price Data'!E1117-'Raw Price Data'!E1116)/'Raw Price Data'!E1116</f>
        <v>-1.9457428488359192E-3</v>
      </c>
      <c r="F1117" s="25">
        <f>('Raw Price Data'!F1117-'Raw Price Data'!F1116)/'Raw Price Data'!F1116</f>
        <v>1.1314362169062174E-2</v>
      </c>
    </row>
    <row r="1118" spans="1:6" ht="15" customHeight="1" x14ac:dyDescent="0.3">
      <c r="A1118" s="19">
        <v>45028</v>
      </c>
      <c r="B1118" s="26">
        <f>('Raw Price Data'!B1118-'Raw Price Data'!B1117)/'Raw Price Data'!B1117</f>
        <v>1.7177419354838672E-2</v>
      </c>
      <c r="C1118" s="26">
        <f>('Raw Price Data'!C1118-'Raw Price Data'!C1117)/'Raw Price Data'!C1117</f>
        <v>1.2632428297477773E-2</v>
      </c>
      <c r="D1118" s="26">
        <f>('Raw Price Data'!D1118-'Raw Price Data'!D1117)/'Raw Price Data'!D1117</f>
        <v>-3.9364118092354329E-3</v>
      </c>
      <c r="E1118" s="26">
        <f>('Raw Price Data'!E1118-'Raw Price Data'!E1117)/'Raw Price Data'!E1117</f>
        <v>-1.7949177609465315E-2</v>
      </c>
      <c r="F1118" s="26">
        <f>('Raw Price Data'!F1118-'Raw Price Data'!F1117)/'Raw Price Data'!F1117</f>
        <v>-3.3978043024323343E-3</v>
      </c>
    </row>
    <row r="1119" spans="1:6" ht="15" customHeight="1" x14ac:dyDescent="0.3">
      <c r="A1119" s="21">
        <v>45029</v>
      </c>
      <c r="B1119" s="25">
        <f>('Raw Price Data'!B1119-'Raw Price Data'!B1118)/'Raw Price Data'!B1118</f>
        <v>-1.5539522714659429E-2</v>
      </c>
      <c r="C1119" s="25">
        <f>('Raw Price Data'!C1119-'Raw Price Data'!C1118)/'Raw Price Data'!C1118</f>
        <v>9.4583197512275487E-3</v>
      </c>
      <c r="D1119" s="25">
        <f>('Raw Price Data'!D1119-'Raw Price Data'!D1118)/'Raw Price Data'!D1118</f>
        <v>1.9861174443937719E-2</v>
      </c>
      <c r="E1119" s="25">
        <f>('Raw Price Data'!E1119-'Raw Price Data'!E1118)/'Raw Price Data'!E1118</f>
        <v>2.3776383342840882E-2</v>
      </c>
      <c r="F1119" s="25">
        <f>('Raw Price Data'!F1119-'Raw Price Data'!F1118)/'Raw Price Data'!F1118</f>
        <v>-1.5358375059450833E-3</v>
      </c>
    </row>
    <row r="1120" spans="1:6" ht="15" customHeight="1" x14ac:dyDescent="0.3">
      <c r="A1120" s="19">
        <v>45030</v>
      </c>
      <c r="B1120" s="26">
        <f>('Raw Price Data'!B1120-'Raw Price Data'!B1119)/'Raw Price Data'!B1119</f>
        <v>1.771764516388824E-2</v>
      </c>
      <c r="C1120" s="26">
        <f>('Raw Price Data'!C1120-'Raw Price Data'!C1119)/'Raw Price Data'!C1119</f>
        <v>7.3553155609773135E-3</v>
      </c>
      <c r="D1120" s="26">
        <f>('Raw Price Data'!D1120-'Raw Price Data'!D1119)/'Raw Price Data'!D1119</f>
        <v>2.7770877837945272E-2</v>
      </c>
      <c r="E1120" s="26">
        <f>('Raw Price Data'!E1120-'Raw Price Data'!E1119)/'Raw Price Data'!E1119</f>
        <v>-2.1463436378630164E-2</v>
      </c>
      <c r="F1120" s="26">
        <f>('Raw Price Data'!F1120-'Raw Price Data'!F1119)/'Raw Price Data'!F1119</f>
        <v>4.9079084936258701E-3</v>
      </c>
    </row>
    <row r="1121" spans="1:6" ht="15" customHeight="1" x14ac:dyDescent="0.3">
      <c r="A1121" s="21">
        <v>45033</v>
      </c>
      <c r="B1121" s="25">
        <f>('Raw Price Data'!B1121-'Raw Price Data'!B1120)/'Raw Price Data'!B1120</f>
        <v>-2.2157157553216834E-2</v>
      </c>
      <c r="C1121" s="25">
        <f>('Raw Price Data'!C1121-'Raw Price Data'!C1120)/'Raw Price Data'!C1120</f>
        <v>8.4057558056703143E-3</v>
      </c>
      <c r="D1121" s="25">
        <f>('Raw Price Data'!D1121-'Raw Price Data'!D1120)/'Raw Price Data'!D1120</f>
        <v>-3.3352668213456967E-3</v>
      </c>
      <c r="E1121" s="25">
        <f>('Raw Price Data'!E1121-'Raw Price Data'!E1120)/'Raw Price Data'!E1120</f>
        <v>2.5282434402331376E-3</v>
      </c>
      <c r="F1121" s="25">
        <f>('Raw Price Data'!F1121-'Raw Price Data'!F1120)/'Raw Price Data'!F1120</f>
        <v>1.6464403850253509E-2</v>
      </c>
    </row>
    <row r="1122" spans="1:6" ht="15" customHeight="1" x14ac:dyDescent="0.3">
      <c r="A1122" s="19">
        <v>45034</v>
      </c>
      <c r="B1122" s="26">
        <f>('Raw Price Data'!B1122-'Raw Price Data'!B1121)/'Raw Price Data'!B1121</f>
        <v>-1.1005907582746617E-2</v>
      </c>
      <c r="C1122" s="26">
        <f>('Raw Price Data'!C1122-'Raw Price Data'!C1121)/'Raw Price Data'!C1121</f>
        <v>3.0234529528115325E-2</v>
      </c>
      <c r="D1122" s="26">
        <f>('Raw Price Data'!D1122-'Raw Price Data'!D1121)/'Raw Price Data'!D1121</f>
        <v>-5.2378873854211361E-3</v>
      </c>
      <c r="E1122" s="26">
        <f>('Raw Price Data'!E1122-'Raw Price Data'!E1121)/'Raw Price Data'!E1121</f>
        <v>2.1969783028513046E-2</v>
      </c>
      <c r="F1122" s="26">
        <f>('Raw Price Data'!F1122-'Raw Price Data'!F1121)/'Raw Price Data'!F1121</f>
        <v>9.1431344254667337E-3</v>
      </c>
    </row>
    <row r="1123" spans="1:6" ht="15" customHeight="1" x14ac:dyDescent="0.3">
      <c r="A1123" s="21">
        <v>45035</v>
      </c>
      <c r="B1123" s="25">
        <f>('Raw Price Data'!B1123-'Raw Price Data'!B1122)/'Raw Price Data'!B1122</f>
        <v>2.1520333851567056E-2</v>
      </c>
      <c r="C1123" s="25">
        <f>('Raw Price Data'!C1123-'Raw Price Data'!C1122)/'Raw Price Data'!C1122</f>
        <v>-9.3056970456860746E-3</v>
      </c>
      <c r="D1123" s="25">
        <f>('Raw Price Data'!D1123-'Raw Price Data'!D1122)/'Raw Price Data'!D1122</f>
        <v>-2.9155087514016957E-2</v>
      </c>
      <c r="E1123" s="25">
        <f>('Raw Price Data'!E1123-'Raw Price Data'!E1122)/'Raw Price Data'!E1122</f>
        <v>-3.0790093815303825E-2</v>
      </c>
      <c r="F1123" s="25">
        <f>('Raw Price Data'!F1123-'Raw Price Data'!F1122)/'Raw Price Data'!F1122</f>
        <v>6.7644703314016074E-3</v>
      </c>
    </row>
    <row r="1124" spans="1:6" ht="15" customHeight="1" x14ac:dyDescent="0.3">
      <c r="A1124" s="19">
        <v>45036</v>
      </c>
      <c r="B1124" s="26">
        <f>('Raw Price Data'!B1124-'Raw Price Data'!B1123)/'Raw Price Data'!B1123</f>
        <v>-3.0759371996155103E-2</v>
      </c>
      <c r="C1124" s="26">
        <f>('Raw Price Data'!C1124-'Raw Price Data'!C1123)/'Raw Price Data'!C1123</f>
        <v>2.5346556190551626E-2</v>
      </c>
      <c r="D1124" s="26">
        <f>('Raw Price Data'!D1124-'Raw Price Data'!D1123)/'Raw Price Data'!D1123</f>
        <v>2.7369055390950723E-2</v>
      </c>
      <c r="E1124" s="26">
        <f>('Raw Price Data'!E1124-'Raw Price Data'!E1123)/'Raw Price Data'!E1123</f>
        <v>6.4453976191021067E-3</v>
      </c>
      <c r="F1124" s="26">
        <f>('Raw Price Data'!F1124-'Raw Price Data'!F1123)/'Raw Price Data'!F1123</f>
        <v>-1.9555476052054866E-3</v>
      </c>
    </row>
    <row r="1125" spans="1:6" ht="15" customHeight="1" x14ac:dyDescent="0.3">
      <c r="A1125" s="21">
        <v>45037</v>
      </c>
      <c r="B1125" s="25">
        <f>('Raw Price Data'!B1125-'Raw Price Data'!B1124)/'Raw Price Data'!B1124</f>
        <v>8.2644628099173556E-3</v>
      </c>
      <c r="C1125" s="25">
        <f>('Raw Price Data'!C1125-'Raw Price Data'!C1124)/'Raw Price Data'!C1124</f>
        <v>-5.6508343659446847E-3</v>
      </c>
      <c r="D1125" s="25">
        <f>('Raw Price Data'!D1125-'Raw Price Data'!D1124)/'Raw Price Data'!D1124</f>
        <v>-1.6375012220158483E-2</v>
      </c>
      <c r="E1125" s="25">
        <f>('Raw Price Data'!E1125-'Raw Price Data'!E1124)/'Raw Price Data'!E1124</f>
        <v>6.3357491225671855E-3</v>
      </c>
      <c r="F1125" s="25">
        <f>('Raw Price Data'!F1125-'Raw Price Data'!F1124)/'Raw Price Data'!F1124</f>
        <v>1.7855945834239918E-2</v>
      </c>
    </row>
    <row r="1126" spans="1:6" ht="15" customHeight="1" x14ac:dyDescent="0.3">
      <c r="A1126" s="19">
        <v>45040</v>
      </c>
      <c r="B1126" s="26">
        <f>('Raw Price Data'!B1126-'Raw Price Data'!B1125)/'Raw Price Data'!B1125</f>
        <v>-1.7049180327868837E-2</v>
      </c>
      <c r="C1126" s="26">
        <f>('Raw Price Data'!C1126-'Raw Price Data'!C1125)/'Raw Price Data'!C1125</f>
        <v>2.188807696224131E-2</v>
      </c>
      <c r="D1126" s="26">
        <f>('Raw Price Data'!D1126-'Raw Price Data'!D1125)/'Raw Price Data'!D1125</f>
        <v>-1.3914426278387831E-2</v>
      </c>
      <c r="E1126" s="26">
        <f>('Raw Price Data'!E1126-'Raw Price Data'!E1125)/'Raw Price Data'!E1125</f>
        <v>8.5605580215598626E-3</v>
      </c>
      <c r="F1126" s="26">
        <f>('Raw Price Data'!F1126-'Raw Price Data'!F1125)/'Raw Price Data'!F1125</f>
        <v>6.958162277410149E-3</v>
      </c>
    </row>
    <row r="1127" spans="1:6" ht="15" customHeight="1" x14ac:dyDescent="0.3">
      <c r="A1127" s="21">
        <v>45041</v>
      </c>
      <c r="B1127" s="25">
        <f>('Raw Price Data'!B1127-'Raw Price Data'!B1126)/'Raw Price Data'!B1126</f>
        <v>-1.6677785190126989E-3</v>
      </c>
      <c r="C1127" s="25">
        <f>('Raw Price Data'!C1127-'Raw Price Data'!C1126)/'Raw Price Data'!C1126</f>
        <v>4.1861016868727736E-2</v>
      </c>
      <c r="D1127" s="25">
        <f>('Raw Price Data'!D1127-'Raw Price Data'!D1126)/'Raw Price Data'!D1126</f>
        <v>2.0158242201280333E-3</v>
      </c>
      <c r="E1127" s="25">
        <f>('Raw Price Data'!E1127-'Raw Price Data'!E1126)/'Raw Price Data'!E1126</f>
        <v>-8.3307136120716295E-3</v>
      </c>
      <c r="F1127" s="25">
        <f>('Raw Price Data'!F1127-'Raw Price Data'!F1126)/'Raw Price Data'!F1126</f>
        <v>-1.2098193621111459E-2</v>
      </c>
    </row>
    <row r="1128" spans="1:6" ht="15" customHeight="1" x14ac:dyDescent="0.3">
      <c r="A1128" s="19">
        <v>45042</v>
      </c>
      <c r="B1128" s="26">
        <f>('Raw Price Data'!B1128-'Raw Price Data'!B1127)/'Raw Price Data'!B1127</f>
        <v>-2.1717340461076271E-3</v>
      </c>
      <c r="C1128" s="26">
        <f>('Raw Price Data'!C1128-'Raw Price Data'!C1127)/'Raw Price Data'!C1127</f>
        <v>-1.3485633086939352E-2</v>
      </c>
      <c r="D1128" s="26">
        <f>('Raw Price Data'!D1128-'Raw Price Data'!D1127)/'Raw Price Data'!D1127</f>
        <v>1.1970024644168362E-2</v>
      </c>
      <c r="E1128" s="26">
        <f>('Raw Price Data'!E1128-'Raw Price Data'!E1127)/'Raw Price Data'!E1127</f>
        <v>1.1548128523877505E-2</v>
      </c>
      <c r="F1128" s="26">
        <f>('Raw Price Data'!F1128-'Raw Price Data'!F1127)/'Raw Price Data'!F1127</f>
        <v>-4.0529101615534866E-3</v>
      </c>
    </row>
    <row r="1129" spans="1:6" ht="15" customHeight="1" x14ac:dyDescent="0.3">
      <c r="A1129" s="21">
        <v>45043</v>
      </c>
      <c r="B1129" s="25">
        <f>('Raw Price Data'!B1129-'Raw Price Data'!B1128)/'Raw Price Data'!B1128</f>
        <v>2.3857358111501831E-2</v>
      </c>
      <c r="C1129" s="25">
        <f>('Raw Price Data'!C1129-'Raw Price Data'!C1128)/'Raw Price Data'!C1128</f>
        <v>-3.7432019426977985E-2</v>
      </c>
      <c r="D1129" s="25">
        <f>('Raw Price Data'!D1129-'Raw Price Data'!D1128)/'Raw Price Data'!D1128</f>
        <v>2.4402365687590064E-2</v>
      </c>
      <c r="E1129" s="25">
        <f>('Raw Price Data'!E1129-'Raw Price Data'!E1128)/'Raw Price Data'!E1128</f>
        <v>2.010162738119213E-2</v>
      </c>
      <c r="F1129" s="25">
        <f>('Raw Price Data'!F1129-'Raw Price Data'!F1128)/'Raw Price Data'!F1128</f>
        <v>2.0792061962420651E-2</v>
      </c>
    </row>
    <row r="1130" spans="1:6" ht="15" customHeight="1" x14ac:dyDescent="0.3">
      <c r="A1130" s="19">
        <v>45044</v>
      </c>
      <c r="B1130" s="26">
        <f>('Raw Price Data'!B1130-'Raw Price Data'!B1129)/'Raw Price Data'!B1129</f>
        <v>-1.0955768130161093E-2</v>
      </c>
      <c r="C1130" s="26">
        <f>('Raw Price Data'!C1130-'Raw Price Data'!C1129)/'Raw Price Data'!C1129</f>
        <v>3.4820477894271233E-3</v>
      </c>
      <c r="D1130" s="26">
        <f>('Raw Price Data'!D1130-'Raw Price Data'!D1129)/'Raw Price Data'!D1129</f>
        <v>3.4640015524936861E-2</v>
      </c>
      <c r="E1130" s="26">
        <f>('Raw Price Data'!E1130-'Raw Price Data'!E1129)/'Raw Price Data'!E1129</f>
        <v>-5.2006758684251054E-3</v>
      </c>
      <c r="F1130" s="26">
        <f>('Raw Price Data'!F1130-'Raw Price Data'!F1129)/'Raw Price Data'!F1129</f>
        <v>-2.0244762562415589E-2</v>
      </c>
    </row>
    <row r="1131" spans="1:6" ht="15" customHeight="1" x14ac:dyDescent="0.3">
      <c r="A1131" s="21">
        <v>45047</v>
      </c>
      <c r="B1131" s="25">
        <f>('Raw Price Data'!B1131-'Raw Price Data'!B1130)/'Raw Price Data'!B1130</f>
        <v>-5.7865586509046191E-4</v>
      </c>
      <c r="C1131" s="25">
        <f>('Raw Price Data'!C1131-'Raw Price Data'!C1130)/'Raw Price Data'!C1130</f>
        <v>-1.1604787213703852E-2</v>
      </c>
      <c r="D1131" s="25">
        <f>('Raw Price Data'!D1131-'Raw Price Data'!D1130)/'Raw Price Data'!D1130</f>
        <v>1.2238582012566885E-2</v>
      </c>
      <c r="E1131" s="25">
        <f>('Raw Price Data'!E1131-'Raw Price Data'!E1130)/'Raw Price Data'!E1130</f>
        <v>3.9859707945471501E-2</v>
      </c>
      <c r="F1131" s="25">
        <f>('Raw Price Data'!F1131-'Raw Price Data'!F1130)/'Raw Price Data'!F1130</f>
        <v>-1.1648118592046387E-2</v>
      </c>
    </row>
    <row r="1132" spans="1:6" ht="15" customHeight="1" x14ac:dyDescent="0.3">
      <c r="A1132" s="19">
        <v>45048</v>
      </c>
      <c r="B1132" s="26">
        <f>('Raw Price Data'!B1132-'Raw Price Data'!B1131)/'Raw Price Data'!B1131</f>
        <v>8.9330024813895643E-3</v>
      </c>
      <c r="C1132" s="26">
        <f>('Raw Price Data'!C1132-'Raw Price Data'!C1131)/'Raw Price Data'!C1131</f>
        <v>-8.6897232054779852E-3</v>
      </c>
      <c r="D1132" s="26">
        <f>('Raw Price Data'!D1132-'Raw Price Data'!D1131)/'Raw Price Data'!D1131</f>
        <v>-7.1339231945151804E-3</v>
      </c>
      <c r="E1132" s="26">
        <f>('Raw Price Data'!E1132-'Raw Price Data'!E1131)/'Raw Price Data'!E1131</f>
        <v>-2.1000827305318159E-2</v>
      </c>
      <c r="F1132" s="26">
        <f>('Raw Price Data'!F1132-'Raw Price Data'!F1131)/'Raw Price Data'!F1131</f>
        <v>6.5710169693883047E-3</v>
      </c>
    </row>
    <row r="1133" spans="1:6" ht="15" customHeight="1" x14ac:dyDescent="0.3">
      <c r="A1133" s="21">
        <v>45049</v>
      </c>
      <c r="B1133" s="25">
        <f>('Raw Price Data'!B1133-'Raw Price Data'!B1132)/'Raw Price Data'!B1132</f>
        <v>-3.1152647975078674E-3</v>
      </c>
      <c r="C1133" s="25">
        <f>('Raw Price Data'!C1133-'Raw Price Data'!C1132)/'Raw Price Data'!C1132</f>
        <v>-5.2146595837052031E-3</v>
      </c>
      <c r="D1133" s="25">
        <f>('Raw Price Data'!D1133-'Raw Price Data'!D1132)/'Raw Price Data'!D1132</f>
        <v>-9.9379461577941662E-3</v>
      </c>
      <c r="E1133" s="25">
        <f>('Raw Price Data'!E1133-'Raw Price Data'!E1132)/'Raw Price Data'!E1132</f>
        <v>-1.2350761630300511E-2</v>
      </c>
      <c r="F1133" s="25">
        <f>('Raw Price Data'!F1133-'Raw Price Data'!F1132)/'Raw Price Data'!F1132</f>
        <v>-1.2027318608189641E-3</v>
      </c>
    </row>
    <row r="1134" spans="1:6" ht="15" customHeight="1" x14ac:dyDescent="0.3">
      <c r="A1134" s="19">
        <v>45050</v>
      </c>
      <c r="B1134" s="26">
        <f>('Raw Price Data'!B1134-'Raw Price Data'!B1133)/'Raw Price Data'!B1133</f>
        <v>-1.1101973684210479E-2</v>
      </c>
      <c r="C1134" s="26">
        <f>('Raw Price Data'!C1134-'Raw Price Data'!C1133)/'Raw Price Data'!C1133</f>
        <v>-8.8216544892855443E-3</v>
      </c>
      <c r="D1134" s="26">
        <f>('Raw Price Data'!D1134-'Raw Price Data'!D1133)/'Raw Price Data'!D1133</f>
        <v>-2.4505183788877559E-3</v>
      </c>
      <c r="E1134" s="26">
        <f>('Raw Price Data'!E1134-'Raw Price Data'!E1133)/'Raw Price Data'!E1133</f>
        <v>2.3211425813387122E-2</v>
      </c>
      <c r="F1134" s="26">
        <f>('Raw Price Data'!F1134-'Raw Price Data'!F1133)/'Raw Price Data'!F1133</f>
        <v>-1.2509487859474465E-2</v>
      </c>
    </row>
    <row r="1135" spans="1:6" ht="15" customHeight="1" x14ac:dyDescent="0.3">
      <c r="A1135" s="21">
        <v>45051</v>
      </c>
      <c r="B1135" s="25">
        <f>('Raw Price Data'!B1135-'Raw Price Data'!B1134)/'Raw Price Data'!B1134</f>
        <v>-4.9896049896051787E-4</v>
      </c>
      <c r="C1135" s="25">
        <f>('Raw Price Data'!C1135-'Raw Price Data'!C1134)/'Raw Price Data'!C1134</f>
        <v>2.5839678228475601E-2</v>
      </c>
      <c r="D1135" s="25">
        <f>('Raw Price Data'!D1135-'Raw Price Data'!D1134)/'Raw Price Data'!D1134</f>
        <v>1.3085789871504071E-2</v>
      </c>
      <c r="E1135" s="25">
        <f>('Raw Price Data'!E1135-'Raw Price Data'!E1134)/'Raw Price Data'!E1134</f>
        <v>-3.6235768348377921E-3</v>
      </c>
      <c r="F1135" s="25">
        <f>('Raw Price Data'!F1135-'Raw Price Data'!F1134)/'Raw Price Data'!F1134</f>
        <v>-3.9368559956866042E-2</v>
      </c>
    </row>
    <row r="1136" spans="1:6" ht="15" customHeight="1" x14ac:dyDescent="0.3">
      <c r="A1136" s="19">
        <v>45054</v>
      </c>
      <c r="B1136" s="26">
        <f>('Raw Price Data'!B1136-'Raw Price Data'!B1135)/'Raw Price Data'!B1135</f>
        <v>1.5808303519427385E-3</v>
      </c>
      <c r="C1136" s="26">
        <f>('Raw Price Data'!C1136-'Raw Price Data'!C1135)/'Raw Price Data'!C1135</f>
        <v>2.0443299864000633E-2</v>
      </c>
      <c r="D1136" s="26">
        <f>('Raw Price Data'!D1136-'Raw Price Data'!D1135)/'Raw Price Data'!D1135</f>
        <v>1.5434833294474247E-2</v>
      </c>
      <c r="E1136" s="26">
        <f>('Raw Price Data'!E1136-'Raw Price Data'!E1135)/'Raw Price Data'!E1135</f>
        <v>-1.7236927049709472E-2</v>
      </c>
      <c r="F1136" s="26">
        <f>('Raw Price Data'!F1136-'Raw Price Data'!F1135)/'Raw Price Data'!F1135</f>
        <v>-3.4008032743337514E-3</v>
      </c>
    </row>
    <row r="1137" spans="1:6" ht="15" customHeight="1" x14ac:dyDescent="0.3">
      <c r="A1137" s="21">
        <v>45055</v>
      </c>
      <c r="B1137" s="25">
        <f>('Raw Price Data'!B1137-'Raw Price Data'!B1136)/'Raw Price Data'!B1136</f>
        <v>1.2626682173118544E-2</v>
      </c>
      <c r="C1137" s="25">
        <f>('Raw Price Data'!C1137-'Raw Price Data'!C1136)/'Raw Price Data'!C1136</f>
        <v>2.1040393585799146E-2</v>
      </c>
      <c r="D1137" s="25">
        <f>('Raw Price Data'!D1137-'Raw Price Data'!D1136)/'Raw Price Data'!D1136</f>
        <v>1.0102865540044165E-2</v>
      </c>
      <c r="E1137" s="25">
        <f>('Raw Price Data'!E1137-'Raw Price Data'!E1136)/'Raw Price Data'!E1136</f>
        <v>-7.9484989818038396E-3</v>
      </c>
      <c r="F1137" s="25">
        <f>('Raw Price Data'!F1137-'Raw Price Data'!F1136)/'Raw Price Data'!F1136</f>
        <v>1.3738925233300057E-2</v>
      </c>
    </row>
    <row r="1138" spans="1:6" ht="15" customHeight="1" x14ac:dyDescent="0.3">
      <c r="A1138" s="19">
        <v>45056</v>
      </c>
      <c r="B1138" s="26">
        <f>('Raw Price Data'!B1138-'Raw Price Data'!B1137)/'Raw Price Data'!B1137</f>
        <v>-1.2797374897456949E-2</v>
      </c>
      <c r="C1138" s="26">
        <f>('Raw Price Data'!C1138-'Raw Price Data'!C1137)/'Raw Price Data'!C1137</f>
        <v>4.1375639334398084E-2</v>
      </c>
      <c r="D1138" s="26">
        <f>('Raw Price Data'!D1138-'Raw Price Data'!D1137)/'Raw Price Data'!D1137</f>
        <v>-2.9414438988907068E-2</v>
      </c>
      <c r="E1138" s="26">
        <f>('Raw Price Data'!E1138-'Raw Price Data'!E1137)/'Raw Price Data'!E1137</f>
        <v>2.9091069615503479E-2</v>
      </c>
      <c r="F1138" s="26">
        <f>('Raw Price Data'!F1138-'Raw Price Data'!F1137)/'Raw Price Data'!F1137</f>
        <v>-1.098788924849585E-2</v>
      </c>
    </row>
    <row r="1139" spans="1:6" ht="15" customHeight="1" x14ac:dyDescent="0.3">
      <c r="A1139" s="21">
        <v>45057</v>
      </c>
      <c r="B1139" s="25">
        <f>('Raw Price Data'!B1139-'Raw Price Data'!B1138)/'Raw Price Data'!B1138</f>
        <v>-5.8999501412664778E-3</v>
      </c>
      <c r="C1139" s="25">
        <f>('Raw Price Data'!C1139-'Raw Price Data'!C1138)/'Raw Price Data'!C1138</f>
        <v>-1.2996479749671191E-2</v>
      </c>
      <c r="D1139" s="25">
        <f>('Raw Price Data'!D1139-'Raw Price Data'!D1138)/'Raw Price Data'!D1138</f>
        <v>-8.5249894608647788E-3</v>
      </c>
      <c r="E1139" s="25">
        <f>('Raw Price Data'!E1139-'Raw Price Data'!E1138)/'Raw Price Data'!E1138</f>
        <v>1.5485586822237411E-2</v>
      </c>
      <c r="F1139" s="25">
        <f>('Raw Price Data'!F1139-'Raw Price Data'!F1138)/'Raw Price Data'!F1138</f>
        <v>-1.2649283069550389E-2</v>
      </c>
    </row>
    <row r="1140" spans="1:6" ht="15" customHeight="1" x14ac:dyDescent="0.3">
      <c r="A1140" s="19">
        <v>45058</v>
      </c>
      <c r="B1140" s="26">
        <f>('Raw Price Data'!B1140-'Raw Price Data'!B1139)/'Raw Price Data'!B1139</f>
        <v>4.8482822034606561E-3</v>
      </c>
      <c r="C1140" s="26">
        <f>('Raw Price Data'!C1140-'Raw Price Data'!C1139)/'Raw Price Data'!C1139</f>
        <v>-4.3447716833288311E-2</v>
      </c>
      <c r="D1140" s="26">
        <f>('Raw Price Data'!D1140-'Raw Price Data'!D1139)/'Raw Price Data'!D1139</f>
        <v>2.3338215146218293E-2</v>
      </c>
      <c r="E1140" s="26">
        <f>('Raw Price Data'!E1140-'Raw Price Data'!E1139)/'Raw Price Data'!E1139</f>
        <v>-1.7044734507666949E-2</v>
      </c>
      <c r="F1140" s="26">
        <f>('Raw Price Data'!F1140-'Raw Price Data'!F1139)/'Raw Price Data'!F1139</f>
        <v>9.1400075945366754E-3</v>
      </c>
    </row>
    <row r="1141" spans="1:6" ht="15" customHeight="1" x14ac:dyDescent="0.3">
      <c r="A1141" s="21">
        <v>45061</v>
      </c>
      <c r="B1141" s="25">
        <f>('Raw Price Data'!B1141-'Raw Price Data'!B1140)/'Raw Price Data'!B1140</f>
        <v>-1.9965061142999327E-3</v>
      </c>
      <c r="C1141" s="25">
        <f>('Raw Price Data'!C1141-'Raw Price Data'!C1140)/'Raw Price Data'!C1140</f>
        <v>3.6287968664670517E-2</v>
      </c>
      <c r="D1141" s="25">
        <f>('Raw Price Data'!D1141-'Raw Price Data'!D1140)/'Raw Price Data'!D1140</f>
        <v>-8.0328701352661881E-3</v>
      </c>
      <c r="E1141" s="25">
        <f>('Raw Price Data'!E1141-'Raw Price Data'!E1140)/'Raw Price Data'!E1140</f>
        <v>-3.4916951374116337E-2</v>
      </c>
      <c r="F1141" s="25">
        <f>('Raw Price Data'!F1141-'Raw Price Data'!F1140)/'Raw Price Data'!F1140</f>
        <v>1.6261038652136794E-2</v>
      </c>
    </row>
    <row r="1142" spans="1:6" ht="15" customHeight="1" x14ac:dyDescent="0.3">
      <c r="A1142" s="19">
        <v>45062</v>
      </c>
      <c r="B1142" s="26">
        <f>('Raw Price Data'!B1142-'Raw Price Data'!B1141)/'Raw Price Data'!B1141</f>
        <v>-2.2505626406601319E-3</v>
      </c>
      <c r="C1142" s="26">
        <f>('Raw Price Data'!C1142-'Raw Price Data'!C1141)/'Raw Price Data'!C1141</f>
        <v>5.0154461202980031E-3</v>
      </c>
      <c r="D1142" s="26">
        <f>('Raw Price Data'!D1142-'Raw Price Data'!D1141)/'Raw Price Data'!D1141</f>
        <v>-8.3771582817520739E-4</v>
      </c>
      <c r="E1142" s="26">
        <f>('Raw Price Data'!E1142-'Raw Price Data'!E1141)/'Raw Price Data'!E1141</f>
        <v>2.8677027207552202E-2</v>
      </c>
      <c r="F1142" s="26">
        <f>('Raw Price Data'!F1142-'Raw Price Data'!F1141)/'Raw Price Data'!F1141</f>
        <v>-9.6118386934413557E-3</v>
      </c>
    </row>
    <row r="1143" spans="1:6" ht="15" customHeight="1" x14ac:dyDescent="0.3">
      <c r="A1143" s="21">
        <v>45063</v>
      </c>
      <c r="B1143" s="25">
        <f>('Raw Price Data'!B1143-'Raw Price Data'!B1142)/'Raw Price Data'!B1142</f>
        <v>8.3542188805270715E-5</v>
      </c>
      <c r="C1143" s="25">
        <f>('Raw Price Data'!C1143-'Raw Price Data'!C1142)/'Raw Price Data'!C1142</f>
        <v>-3.8874624814652691E-4</v>
      </c>
      <c r="D1143" s="25">
        <f>('Raw Price Data'!D1143-'Raw Price Data'!D1142)/'Raw Price Data'!D1142</f>
        <v>4.3318272858540272E-2</v>
      </c>
      <c r="E1143" s="25">
        <f>('Raw Price Data'!E1143-'Raw Price Data'!E1142)/'Raw Price Data'!E1142</f>
        <v>5.1080039825116092E-3</v>
      </c>
      <c r="F1143" s="25">
        <f>('Raw Price Data'!F1143-'Raw Price Data'!F1142)/'Raw Price Data'!F1142</f>
        <v>-3.5860090892978875E-3</v>
      </c>
    </row>
    <row r="1144" spans="1:6" ht="15" customHeight="1" x14ac:dyDescent="0.3">
      <c r="A1144" s="19">
        <v>45064</v>
      </c>
      <c r="B1144" s="26">
        <f>('Raw Price Data'!B1144-'Raw Price Data'!B1143)/'Raw Price Data'!B1143</f>
        <v>-9.355943530197898E-3</v>
      </c>
      <c r="C1144" s="26">
        <f>('Raw Price Data'!C1144-'Raw Price Data'!C1143)/'Raw Price Data'!C1143</f>
        <v>-3.1202235708019426E-2</v>
      </c>
      <c r="D1144" s="26">
        <f>('Raw Price Data'!D1144-'Raw Price Data'!D1143)/'Raw Price Data'!D1143</f>
        <v>-7.5896245368103888E-4</v>
      </c>
      <c r="E1144" s="26">
        <f>('Raw Price Data'!E1144-'Raw Price Data'!E1143)/'Raw Price Data'!E1143</f>
        <v>-7.5153968732503754E-3</v>
      </c>
      <c r="F1144" s="26">
        <f>('Raw Price Data'!F1144-'Raw Price Data'!F1143)/'Raw Price Data'!F1143</f>
        <v>-1.6855550371117391E-2</v>
      </c>
    </row>
    <row r="1145" spans="1:6" ht="15" customHeight="1" x14ac:dyDescent="0.3">
      <c r="A1145" s="21">
        <v>45065</v>
      </c>
      <c r="B1145" s="25">
        <f>('Raw Price Data'!B1145-'Raw Price Data'!B1144)/'Raw Price Data'!B1144</f>
        <v>-1.0793490176237467E-2</v>
      </c>
      <c r="C1145" s="25">
        <f>('Raw Price Data'!C1145-'Raw Price Data'!C1144)/'Raw Price Data'!C1144</f>
        <v>-2.3249843631848666E-2</v>
      </c>
      <c r="D1145" s="25">
        <f>('Raw Price Data'!D1145-'Raw Price Data'!D1144)/'Raw Price Data'!D1144</f>
        <v>2.2830846215709112E-2</v>
      </c>
      <c r="E1145" s="25">
        <f>('Raw Price Data'!E1145-'Raw Price Data'!E1144)/'Raw Price Data'!E1144</f>
        <v>-1.6663412093992074E-2</v>
      </c>
      <c r="F1145" s="25">
        <f>('Raw Price Data'!F1145-'Raw Price Data'!F1144)/'Raw Price Data'!F1144</f>
        <v>3.3957553058677211E-4</v>
      </c>
    </row>
    <row r="1146" spans="1:6" ht="15" customHeight="1" x14ac:dyDescent="0.3">
      <c r="A1146" s="19">
        <v>45068</v>
      </c>
      <c r="B1146" s="26">
        <f>('Raw Price Data'!B1146-'Raw Price Data'!B1145)/'Raw Price Data'!B1145</f>
        <v>6.478561077486923E-3</v>
      </c>
      <c r="C1146" s="26">
        <f>('Raw Price Data'!C1146-'Raw Price Data'!C1145)/'Raw Price Data'!C1145</f>
        <v>1.280243910597971E-2</v>
      </c>
      <c r="D1146" s="26">
        <f>('Raw Price Data'!D1146-'Raw Price Data'!D1145)/'Raw Price Data'!D1145</f>
        <v>2.9353950989385397E-2</v>
      </c>
      <c r="E1146" s="26">
        <f>('Raw Price Data'!E1146-'Raw Price Data'!E1145)/'Raw Price Data'!E1145</f>
        <v>-3.8679640784625172E-2</v>
      </c>
      <c r="F1146" s="26">
        <f>('Raw Price Data'!F1146-'Raw Price Data'!F1145)/'Raw Price Data'!F1145</f>
        <v>-8.128421962925075E-3</v>
      </c>
    </row>
    <row r="1147" spans="1:6" ht="15" customHeight="1" x14ac:dyDescent="0.3">
      <c r="A1147" s="21">
        <v>45069</v>
      </c>
      <c r="B1147" s="25">
        <f>('Raw Price Data'!B1147-'Raw Price Data'!B1146)/'Raw Price Data'!B1146</f>
        <v>-1.4906411450834175E-2</v>
      </c>
      <c r="C1147" s="25">
        <f>('Raw Price Data'!C1147-'Raw Price Data'!C1146)/'Raw Price Data'!C1146</f>
        <v>-1.9298278725653714E-3</v>
      </c>
      <c r="D1147" s="25">
        <f>('Raw Price Data'!D1147-'Raw Price Data'!D1146)/'Raw Price Data'!D1146</f>
        <v>1.2306386590282221E-2</v>
      </c>
      <c r="E1147" s="25">
        <f>('Raw Price Data'!E1147-'Raw Price Data'!E1146)/'Raw Price Data'!E1146</f>
        <v>-2.4513404333455762E-2</v>
      </c>
      <c r="F1147" s="25">
        <f>('Raw Price Data'!F1147-'Raw Price Data'!F1146)/'Raw Price Data'!F1146</f>
        <v>-1.5681581623300581E-3</v>
      </c>
    </row>
    <row r="1148" spans="1:6" ht="15" customHeight="1" x14ac:dyDescent="0.3">
      <c r="A1148" s="19">
        <v>45070</v>
      </c>
      <c r="B1148" s="26">
        <f>('Raw Price Data'!B1148-'Raw Price Data'!B1147)/'Raw Price Data'!B1147</f>
        <v>1.6507608976012396E-2</v>
      </c>
      <c r="C1148" s="26">
        <f>('Raw Price Data'!C1148-'Raw Price Data'!C1147)/'Raw Price Data'!C1147</f>
        <v>-3.7380570801836141E-2</v>
      </c>
      <c r="D1148" s="26">
        <f>('Raw Price Data'!D1148-'Raw Price Data'!D1147)/'Raw Price Data'!D1147</f>
        <v>-6.455669670928612E-3</v>
      </c>
      <c r="E1148" s="26">
        <f>('Raw Price Data'!E1148-'Raw Price Data'!E1147)/'Raw Price Data'!E1147</f>
        <v>6.1647058823529515E-3</v>
      </c>
      <c r="F1148" s="26">
        <f>('Raw Price Data'!F1148-'Raw Price Data'!F1147)/'Raw Price Data'!F1147</f>
        <v>-2.7412098726751911E-2</v>
      </c>
    </row>
    <row r="1149" spans="1:6" ht="15" customHeight="1" x14ac:dyDescent="0.3">
      <c r="A1149" s="21">
        <v>45071</v>
      </c>
      <c r="B1149" s="25">
        <f>('Raw Price Data'!B1149-'Raw Price Data'!B1148)/'Raw Price Data'!B1148</f>
        <v>3.2986551636640495E-3</v>
      </c>
      <c r="C1149" s="25">
        <f>('Raw Price Data'!C1149-'Raw Price Data'!C1148)/'Raw Price Data'!C1148</f>
        <v>-1.5990570670857452E-2</v>
      </c>
      <c r="D1149" s="25">
        <f>('Raw Price Data'!D1149-'Raw Price Data'!D1148)/'Raw Price Data'!D1148</f>
        <v>-3.5483734863507858E-2</v>
      </c>
      <c r="E1149" s="25">
        <f>('Raw Price Data'!E1149-'Raw Price Data'!E1148)/'Raw Price Data'!E1148</f>
        <v>-8.8630092137879906E-3</v>
      </c>
      <c r="F1149" s="25">
        <f>('Raw Price Data'!F1149-'Raw Price Data'!F1148)/'Raw Price Data'!F1148</f>
        <v>1.0750043108217157E-2</v>
      </c>
    </row>
    <row r="1150" spans="1:6" ht="15" customHeight="1" x14ac:dyDescent="0.3">
      <c r="A1150" s="19">
        <v>45072</v>
      </c>
      <c r="B1150" s="26">
        <f>('Raw Price Data'!B1150-'Raw Price Data'!B1149)/'Raw Price Data'!B1149</f>
        <v>-1.7366380037093256E-2</v>
      </c>
      <c r="C1150" s="26">
        <f>('Raw Price Data'!C1150-'Raw Price Data'!C1149)/'Raw Price Data'!C1149</f>
        <v>1.910023756762691E-2</v>
      </c>
      <c r="D1150" s="26">
        <f>('Raw Price Data'!D1150-'Raw Price Data'!D1149)/'Raw Price Data'!D1149</f>
        <v>-1.3123359580052493E-2</v>
      </c>
      <c r="E1150" s="26">
        <f>('Raw Price Data'!E1150-'Raw Price Data'!E1149)/'Raw Price Data'!E1149</f>
        <v>3.1569261260411006E-2</v>
      </c>
      <c r="F1150" s="26">
        <f>('Raw Price Data'!F1150-'Raw Price Data'!F1149)/'Raw Price Data'!F1149</f>
        <v>-2.0569102227607761E-2</v>
      </c>
    </row>
    <row r="1151" spans="1:6" ht="15" customHeight="1" x14ac:dyDescent="0.3">
      <c r="A1151" s="21">
        <v>45075</v>
      </c>
      <c r="B1151" s="25">
        <f>('Raw Price Data'!B1151-'Raw Price Data'!B1150)/'Raw Price Data'!B1150</f>
        <v>4.2038435140699633E-3</v>
      </c>
      <c r="C1151" s="25">
        <f>('Raw Price Data'!C1151-'Raw Price Data'!C1150)/'Raw Price Data'!C1150</f>
        <v>2.3149893971820379E-2</v>
      </c>
      <c r="D1151" s="25">
        <f>('Raw Price Data'!D1151-'Raw Price Data'!D1150)/'Raw Price Data'!D1150</f>
        <v>1.0505319148936191E-2</v>
      </c>
      <c r="E1151" s="25">
        <f>('Raw Price Data'!E1151-'Raw Price Data'!E1150)/'Raw Price Data'!E1150</f>
        <v>1.7840397063196203E-2</v>
      </c>
      <c r="F1151" s="25">
        <f>('Raw Price Data'!F1151-'Raw Price Data'!F1150)/'Raw Price Data'!F1150</f>
        <v>-1.4944385701475982E-2</v>
      </c>
    </row>
    <row r="1152" spans="1:6" ht="15" customHeight="1" x14ac:dyDescent="0.3">
      <c r="A1152" s="19">
        <v>45076</v>
      </c>
      <c r="B1152" s="26">
        <f>('Raw Price Data'!B1152-'Raw Price Data'!B1151)/'Raw Price Data'!B1151</f>
        <v>2.6484408372490584E-3</v>
      </c>
      <c r="C1152" s="26">
        <f>('Raw Price Data'!C1152-'Raw Price Data'!C1151)/'Raw Price Data'!C1151</f>
        <v>4.3701356513082216E-3</v>
      </c>
      <c r="D1152" s="26">
        <f>('Raw Price Data'!D1152-'Raw Price Data'!D1151)/'Raw Price Data'!D1151</f>
        <v>9.7381234372943756E-3</v>
      </c>
      <c r="E1152" s="26">
        <f>('Raw Price Data'!E1152-'Raw Price Data'!E1151)/'Raw Price Data'!E1151</f>
        <v>-1.0696388845194469E-2</v>
      </c>
      <c r="F1152" s="26">
        <f>('Raw Price Data'!F1152-'Raw Price Data'!F1151)/'Raw Price Data'!F1151</f>
        <v>-2.3741461332530793E-3</v>
      </c>
    </row>
    <row r="1153" spans="1:6" ht="15" customHeight="1" x14ac:dyDescent="0.3">
      <c r="A1153" s="21">
        <v>45077</v>
      </c>
      <c r="B1153" s="25">
        <f>('Raw Price Data'!B1153-'Raw Price Data'!B1152)/'Raw Price Data'!B1152</f>
        <v>1.0906612133606008E-2</v>
      </c>
      <c r="C1153" s="25">
        <f>('Raw Price Data'!C1153-'Raw Price Data'!C1152)/'Raw Price Data'!C1152</f>
        <v>5.0583564868870605E-2</v>
      </c>
      <c r="D1153" s="25">
        <f>('Raw Price Data'!D1153-'Raw Price Data'!D1152)/'Raw Price Data'!D1152</f>
        <v>1.885399018202356E-2</v>
      </c>
      <c r="E1153" s="25">
        <f>('Raw Price Data'!E1153-'Raw Price Data'!E1152)/'Raw Price Data'!E1152</f>
        <v>-1.7058489494605318E-2</v>
      </c>
      <c r="F1153" s="25">
        <f>('Raw Price Data'!F1153-'Raw Price Data'!F1152)/'Raw Price Data'!F1152</f>
        <v>-2.2536960196711246E-2</v>
      </c>
    </row>
    <row r="1154" spans="1:6" ht="15" customHeight="1" x14ac:dyDescent="0.3">
      <c r="A1154" s="19">
        <v>45078</v>
      </c>
      <c r="B1154" s="26">
        <f>('Raw Price Data'!B1154-'Raw Price Data'!B1153)/'Raw Price Data'!B1153</f>
        <v>1.6351989211058647E-2</v>
      </c>
      <c r="C1154" s="26">
        <f>('Raw Price Data'!C1154-'Raw Price Data'!C1153)/'Raw Price Data'!C1153</f>
        <v>1.8703077865227163E-2</v>
      </c>
      <c r="D1154" s="26">
        <f>('Raw Price Data'!D1154-'Raw Price Data'!D1153)/'Raw Price Data'!D1153</f>
        <v>-1.7012748902059477E-2</v>
      </c>
      <c r="E1154" s="26">
        <f>('Raw Price Data'!E1154-'Raw Price Data'!E1153)/'Raw Price Data'!E1153</f>
        <v>2.4864814900402068E-2</v>
      </c>
      <c r="F1154" s="26">
        <f>('Raw Price Data'!F1154-'Raw Price Data'!F1153)/'Raw Price Data'!F1153</f>
        <v>-1.7954771475960196E-2</v>
      </c>
    </row>
    <row r="1155" spans="1:6" ht="15" customHeight="1" x14ac:dyDescent="0.3">
      <c r="A1155" s="21">
        <v>45079</v>
      </c>
      <c r="B1155" s="25">
        <f>('Raw Price Data'!B1155-'Raw Price Data'!B1154)/'Raw Price Data'!B1154</f>
        <v>-4.7271520981920154E-3</v>
      </c>
      <c r="C1155" s="25">
        <f>('Raw Price Data'!C1155-'Raw Price Data'!C1154)/'Raw Price Data'!C1154</f>
        <v>3.2524669587830846E-2</v>
      </c>
      <c r="D1155" s="25">
        <f>('Raw Price Data'!D1155-'Raw Price Data'!D1154)/'Raw Price Data'!D1154</f>
        <v>3.5134900667996975E-3</v>
      </c>
      <c r="E1155" s="25">
        <f>('Raw Price Data'!E1155-'Raw Price Data'!E1154)/'Raw Price Data'!E1154</f>
        <v>-6.5839909808343084E-3</v>
      </c>
      <c r="F1155" s="25">
        <f>('Raw Price Data'!F1155-'Raw Price Data'!F1154)/'Raw Price Data'!F1154</f>
        <v>-1.0346634675421658E-2</v>
      </c>
    </row>
    <row r="1156" spans="1:6" ht="15" customHeight="1" x14ac:dyDescent="0.3">
      <c r="A1156" s="19">
        <v>45082</v>
      </c>
      <c r="B1156" s="26">
        <f>('Raw Price Data'!B1156-'Raw Price Data'!B1155)/'Raw Price Data'!B1155</f>
        <v>-9.4992083993000621E-3</v>
      </c>
      <c r="C1156" s="26">
        <f>('Raw Price Data'!C1156-'Raw Price Data'!C1155)/'Raw Price Data'!C1155</f>
        <v>2.4112441346950175E-2</v>
      </c>
      <c r="D1156" s="26">
        <f>('Raw Price Data'!D1156-'Raw Price Data'!D1155)/'Raw Price Data'!D1155</f>
        <v>-3.1899719040414935E-2</v>
      </c>
      <c r="E1156" s="26">
        <f>('Raw Price Data'!E1156-'Raw Price Data'!E1155)/'Raw Price Data'!E1155</f>
        <v>5.0433519451632006E-2</v>
      </c>
      <c r="F1156" s="26">
        <f>('Raw Price Data'!F1156-'Raw Price Data'!F1155)/'Raw Price Data'!F1155</f>
        <v>-2.0495044913392491E-2</v>
      </c>
    </row>
    <row r="1157" spans="1:6" ht="15" customHeight="1" x14ac:dyDescent="0.3">
      <c r="A1157" s="21">
        <v>45083</v>
      </c>
      <c r="B1157" s="25">
        <f>('Raw Price Data'!B1157-'Raw Price Data'!B1156)/'Raw Price Data'!B1156</f>
        <v>-8.0760494658030455E-3</v>
      </c>
      <c r="C1157" s="25">
        <f>('Raw Price Data'!C1157-'Raw Price Data'!C1156)/'Raw Price Data'!C1156</f>
        <v>1.5257113739824737E-2</v>
      </c>
      <c r="D1157" s="25">
        <f>('Raw Price Data'!D1157-'Raw Price Data'!D1156)/'Raw Price Data'!D1156</f>
        <v>-1.3483948743135287E-2</v>
      </c>
      <c r="E1157" s="25">
        <f>('Raw Price Data'!E1157-'Raw Price Data'!E1156)/'Raw Price Data'!E1156</f>
        <v>2.3120138288677465E-3</v>
      </c>
      <c r="F1157" s="25">
        <f>('Raw Price Data'!F1157-'Raw Price Data'!F1156)/'Raw Price Data'!F1156</f>
        <v>-7.65184501556543E-3</v>
      </c>
    </row>
    <row r="1158" spans="1:6" ht="15" customHeight="1" x14ac:dyDescent="0.3">
      <c r="A1158" s="19">
        <v>45084</v>
      </c>
      <c r="B1158" s="26">
        <f>('Raw Price Data'!B1158-'Raw Price Data'!B1157)/'Raw Price Data'!B1157</f>
        <v>-1.3315240437621858E-2</v>
      </c>
      <c r="C1158" s="26">
        <f>('Raw Price Data'!C1158-'Raw Price Data'!C1157)/'Raw Price Data'!C1157</f>
        <v>-2.3024978638328322E-2</v>
      </c>
      <c r="D1158" s="26">
        <f>('Raw Price Data'!D1158-'Raw Price Data'!D1157)/'Raw Price Data'!D1157</f>
        <v>8.7350079203440002E-3</v>
      </c>
      <c r="E1158" s="26">
        <f>('Raw Price Data'!E1158-'Raw Price Data'!E1157)/'Raw Price Data'!E1157</f>
        <v>-2.5330372733740055E-2</v>
      </c>
      <c r="F1158" s="26">
        <f>('Raw Price Data'!F1158-'Raw Price Data'!F1157)/'Raw Price Data'!F1157</f>
        <v>-8.3503850874498968E-4</v>
      </c>
    </row>
    <row r="1159" spans="1:6" ht="15" customHeight="1" x14ac:dyDescent="0.3">
      <c r="A1159" s="21">
        <v>45085</v>
      </c>
      <c r="B1159" s="25">
        <f>('Raw Price Data'!B1159-'Raw Price Data'!B1158)/'Raw Price Data'!B1158</f>
        <v>-9.9707753137355734E-3</v>
      </c>
      <c r="C1159" s="25">
        <f>('Raw Price Data'!C1159-'Raw Price Data'!C1158)/'Raw Price Data'!C1158</f>
        <v>-2.7630713057507347E-2</v>
      </c>
      <c r="D1159" s="25">
        <f>('Raw Price Data'!D1159-'Raw Price Data'!D1158)/'Raw Price Data'!D1158</f>
        <v>-3.3964465183058117E-2</v>
      </c>
      <c r="E1159" s="25">
        <f>('Raw Price Data'!E1159-'Raw Price Data'!E1158)/'Raw Price Data'!E1158</f>
        <v>-3.8087233477837802E-2</v>
      </c>
      <c r="F1159" s="25">
        <f>('Raw Price Data'!F1159-'Raw Price Data'!F1158)/'Raw Price Data'!F1158</f>
        <v>1.9672119496754657E-2</v>
      </c>
    </row>
    <row r="1160" spans="1:6" ht="15" customHeight="1" x14ac:dyDescent="0.3">
      <c r="A1160" s="19">
        <v>45086</v>
      </c>
      <c r="B1160" s="26">
        <f>('Raw Price Data'!B1160-'Raw Price Data'!B1159)/'Raw Price Data'!B1159</f>
        <v>4.2542108004861509E-3</v>
      </c>
      <c r="C1160" s="26">
        <f>('Raw Price Data'!C1160-'Raw Price Data'!C1159)/'Raw Price Data'!C1159</f>
        <v>-1.2483244333637582E-2</v>
      </c>
      <c r="D1160" s="26">
        <f>('Raw Price Data'!D1160-'Raw Price Data'!D1159)/'Raw Price Data'!D1159</f>
        <v>1.3236728438066017E-2</v>
      </c>
      <c r="E1160" s="26">
        <f>('Raw Price Data'!E1160-'Raw Price Data'!E1159)/'Raw Price Data'!E1159</f>
        <v>-1.3428374338928432E-2</v>
      </c>
      <c r="F1160" s="26">
        <f>('Raw Price Data'!F1160-'Raw Price Data'!F1159)/'Raw Price Data'!F1159</f>
        <v>1.0217172359596459E-2</v>
      </c>
    </row>
    <row r="1161" spans="1:6" ht="15" customHeight="1" x14ac:dyDescent="0.3">
      <c r="A1161" s="21">
        <v>45089</v>
      </c>
      <c r="B1161" s="25">
        <f>('Raw Price Data'!B1161-'Raw Price Data'!B1160)/'Raw Price Data'!B1160</f>
        <v>5.187170398547789E-4</v>
      </c>
      <c r="C1161" s="25">
        <f>('Raw Price Data'!C1161-'Raw Price Data'!C1160)/'Raw Price Data'!C1160</f>
        <v>5.1510381663188833E-3</v>
      </c>
      <c r="D1161" s="25">
        <f>('Raw Price Data'!D1161-'Raw Price Data'!D1160)/'Raw Price Data'!D1160</f>
        <v>2.9244591125779224E-2</v>
      </c>
      <c r="E1161" s="25">
        <f>('Raw Price Data'!E1161-'Raw Price Data'!E1160)/'Raw Price Data'!E1160</f>
        <v>2.7804969002004399E-2</v>
      </c>
      <c r="F1161" s="25">
        <f>('Raw Price Data'!F1161-'Raw Price Data'!F1160)/'Raw Price Data'!F1160</f>
        <v>-2.7529154712241103E-2</v>
      </c>
    </row>
    <row r="1162" spans="1:6" ht="15" customHeight="1" x14ac:dyDescent="0.3">
      <c r="A1162" s="19">
        <v>45090</v>
      </c>
      <c r="B1162" s="26">
        <f>('Raw Price Data'!B1162-'Raw Price Data'!B1161)/'Raw Price Data'!B1161</f>
        <v>-6.4806013998099021E-3</v>
      </c>
      <c r="C1162" s="26">
        <f>('Raw Price Data'!C1162-'Raw Price Data'!C1161)/'Raw Price Data'!C1161</f>
        <v>6.1583668011247418E-4</v>
      </c>
      <c r="D1162" s="26">
        <f>('Raw Price Data'!D1162-'Raw Price Data'!D1161)/'Raw Price Data'!D1161</f>
        <v>-2.2223211899884122E-2</v>
      </c>
      <c r="E1162" s="26">
        <f>('Raw Price Data'!E1162-'Raw Price Data'!E1161)/'Raw Price Data'!E1161</f>
        <v>-4.1951064649992575E-3</v>
      </c>
      <c r="F1162" s="26">
        <f>('Raw Price Data'!F1162-'Raw Price Data'!F1161)/'Raw Price Data'!F1161</f>
        <v>-2.0465952379579381E-3</v>
      </c>
    </row>
    <row r="1163" spans="1:6" ht="15" customHeight="1" x14ac:dyDescent="0.3">
      <c r="A1163" s="21">
        <v>45091</v>
      </c>
      <c r="B1163" s="25">
        <f>('Raw Price Data'!B1163-'Raw Price Data'!B1162)/'Raw Price Data'!B1162</f>
        <v>-9.9147677857018661E-3</v>
      </c>
      <c r="C1163" s="25">
        <f>('Raw Price Data'!C1163-'Raw Price Data'!C1162)/'Raw Price Data'!C1162</f>
        <v>7.2052507330539767E-3</v>
      </c>
      <c r="D1163" s="25">
        <f>('Raw Price Data'!D1163-'Raw Price Data'!D1162)/'Raw Price Data'!D1162</f>
        <v>-3.6893646094283863E-3</v>
      </c>
      <c r="E1163" s="25">
        <f>('Raw Price Data'!E1163-'Raw Price Data'!E1162)/'Raw Price Data'!E1162</f>
        <v>-4.6773238602723421E-2</v>
      </c>
      <c r="F1163" s="25">
        <f>('Raw Price Data'!F1163-'Raw Price Data'!F1162)/'Raw Price Data'!F1162</f>
        <v>-9.4335116492605744E-3</v>
      </c>
    </row>
    <row r="1164" spans="1:6" ht="15" customHeight="1" x14ac:dyDescent="0.3">
      <c r="A1164" s="19">
        <v>45092</v>
      </c>
      <c r="B1164" s="26">
        <f>('Raw Price Data'!B1164-'Raw Price Data'!B1163)/'Raw Price Data'!B1163</f>
        <v>5.0948699929725776E-3</v>
      </c>
      <c r="C1164" s="26">
        <f>('Raw Price Data'!C1164-'Raw Price Data'!C1163)/'Raw Price Data'!C1163</f>
        <v>2.4005726456937304E-4</v>
      </c>
      <c r="D1164" s="26">
        <f>('Raw Price Data'!D1164-'Raw Price Data'!D1163)/'Raw Price Data'!D1163</f>
        <v>2.7475541739050886E-2</v>
      </c>
      <c r="E1164" s="26">
        <f>('Raw Price Data'!E1164-'Raw Price Data'!E1163)/'Raw Price Data'!E1163</f>
        <v>-1.1347348303870042E-2</v>
      </c>
      <c r="F1164" s="26">
        <f>('Raw Price Data'!F1164-'Raw Price Data'!F1163)/'Raw Price Data'!F1163</f>
        <v>5.5235521365412498E-3</v>
      </c>
    </row>
    <row r="1165" spans="1:6" ht="15" customHeight="1" x14ac:dyDescent="0.3">
      <c r="A1165" s="21">
        <v>45093</v>
      </c>
      <c r="B1165" s="25">
        <f>('Raw Price Data'!B1165-'Raw Price Data'!B1164)/'Raw Price Data'!B1164</f>
        <v>-6.6421954203810972E-3</v>
      </c>
      <c r="C1165" s="25">
        <f>('Raw Price Data'!C1165-'Raw Price Data'!C1164)/'Raw Price Data'!C1164</f>
        <v>9.0239868742008379E-3</v>
      </c>
      <c r="D1165" s="25">
        <f>('Raw Price Data'!D1165-'Raw Price Data'!D1164)/'Raw Price Data'!D1164</f>
        <v>8.2758620689655782E-3</v>
      </c>
      <c r="E1165" s="25">
        <f>('Raw Price Data'!E1165-'Raw Price Data'!E1164)/'Raw Price Data'!E1164</f>
        <v>-5.0018122508156335E-3</v>
      </c>
      <c r="F1165" s="25">
        <f>('Raw Price Data'!F1165-'Raw Price Data'!F1164)/'Raw Price Data'!F1164</f>
        <v>-3.5310625774949613E-3</v>
      </c>
    </row>
    <row r="1166" spans="1:6" ht="15" customHeight="1" x14ac:dyDescent="0.3">
      <c r="A1166" s="19">
        <v>45096</v>
      </c>
      <c r="B1166" s="26">
        <f>('Raw Price Data'!B1166-'Raw Price Data'!B1165)/'Raw Price Data'!B1165</f>
        <v>-1.4077071969030392E-2</v>
      </c>
      <c r="C1166" s="26">
        <f>('Raw Price Data'!C1166-'Raw Price Data'!C1165)/'Raw Price Data'!C1165</f>
        <v>1.8011979155404714E-2</v>
      </c>
      <c r="D1166" s="26">
        <f>('Raw Price Data'!D1166-'Raw Price Data'!D1165)/'Raw Price Data'!D1165</f>
        <v>6.6634305635231931E-3</v>
      </c>
      <c r="E1166" s="26">
        <f>('Raw Price Data'!E1166-'Raw Price Data'!E1165)/'Raw Price Data'!E1165</f>
        <v>2.6373306134343615E-2</v>
      </c>
      <c r="F1166" s="26">
        <f>('Raw Price Data'!F1166-'Raw Price Data'!F1165)/'Raw Price Data'!F1165</f>
        <v>4.3301409595743927E-3</v>
      </c>
    </row>
    <row r="1167" spans="1:6" ht="15" customHeight="1" x14ac:dyDescent="0.3">
      <c r="A1167" s="21">
        <v>45097</v>
      </c>
      <c r="B1167" s="25">
        <f>('Raw Price Data'!B1167-'Raw Price Data'!B1166)/'Raw Price Data'!B1166</f>
        <v>-1.7847581652686315E-3</v>
      </c>
      <c r="C1167" s="25">
        <f>('Raw Price Data'!C1167-'Raw Price Data'!C1166)/'Raw Price Data'!C1166</f>
        <v>7.3916737468130063E-4</v>
      </c>
      <c r="D1167" s="25">
        <f>('Raw Price Data'!D1167-'Raw Price Data'!D1166)/'Raw Price Data'!D1166</f>
        <v>2.0603191302823024E-3</v>
      </c>
      <c r="E1167" s="25">
        <f>('Raw Price Data'!E1167-'Raw Price Data'!E1166)/'Raw Price Data'!E1166</f>
        <v>8.6361915578270724E-3</v>
      </c>
      <c r="F1167" s="25">
        <f>('Raw Price Data'!F1167-'Raw Price Data'!F1166)/'Raw Price Data'!F1166</f>
        <v>7.7298925954346707E-3</v>
      </c>
    </row>
    <row r="1168" spans="1:6" ht="15" customHeight="1" x14ac:dyDescent="0.3">
      <c r="A1168" s="19">
        <v>45098</v>
      </c>
      <c r="B1168" s="26">
        <f>('Raw Price Data'!B1168-'Raw Price Data'!B1167)/'Raw Price Data'!B1167</f>
        <v>-3.3077060611479041E-3</v>
      </c>
      <c r="C1168" s="26">
        <f>('Raw Price Data'!C1168-'Raw Price Data'!C1167)/'Raw Price Data'!C1167</f>
        <v>-4.4869128172038125E-3</v>
      </c>
      <c r="D1168" s="26">
        <f>('Raw Price Data'!D1168-'Raw Price Data'!D1167)/'Raw Price Data'!D1167</f>
        <v>-2.1173279671026744E-2</v>
      </c>
      <c r="E1168" s="26">
        <f>('Raw Price Data'!E1168-'Raw Price Data'!E1167)/'Raw Price Data'!E1167</f>
        <v>-2.3458209200309648E-3</v>
      </c>
      <c r="F1168" s="26">
        <f>('Raw Price Data'!F1168-'Raw Price Data'!F1167)/'Raw Price Data'!F1167</f>
        <v>-4.0629872499474548E-3</v>
      </c>
    </row>
    <row r="1169" spans="1:6" ht="15" customHeight="1" x14ac:dyDescent="0.3">
      <c r="A1169" s="21">
        <v>45099</v>
      </c>
      <c r="B1169" s="25">
        <f>('Raw Price Data'!B1169-'Raw Price Data'!B1168)/'Raw Price Data'!B1168</f>
        <v>-1.4530451161539065E-2</v>
      </c>
      <c r="C1169" s="25">
        <f>('Raw Price Data'!C1169-'Raw Price Data'!C1168)/'Raw Price Data'!C1168</f>
        <v>-4.5638482498070586E-2</v>
      </c>
      <c r="D1169" s="25">
        <f>('Raw Price Data'!D1169-'Raw Price Data'!D1168)/'Raw Price Data'!D1168</f>
        <v>-1.7877094972067293E-3</v>
      </c>
      <c r="E1169" s="25">
        <f>('Raw Price Data'!E1169-'Raw Price Data'!E1168)/'Raw Price Data'!E1168</f>
        <v>6.207528980225226E-3</v>
      </c>
      <c r="F1169" s="25">
        <f>('Raw Price Data'!F1169-'Raw Price Data'!F1168)/'Raw Price Data'!F1168</f>
        <v>-1.83992241925094E-2</v>
      </c>
    </row>
    <row r="1170" spans="1:6" ht="15" customHeight="1" x14ac:dyDescent="0.3">
      <c r="A1170" s="19">
        <v>45100</v>
      </c>
      <c r="B1170" s="26">
        <f>('Raw Price Data'!B1170-'Raw Price Data'!B1169)/'Raw Price Data'!B1169</f>
        <v>1.1741148630199254E-2</v>
      </c>
      <c r="C1170" s="26">
        <f>('Raw Price Data'!C1170-'Raw Price Data'!C1169)/'Raw Price Data'!C1169</f>
        <v>1.5977552789369843E-2</v>
      </c>
      <c r="D1170" s="26">
        <f>('Raw Price Data'!D1170-'Raw Price Data'!D1169)/'Raw Price Data'!D1169</f>
        <v>2.0685023505708552E-2</v>
      </c>
      <c r="E1170" s="26">
        <f>('Raw Price Data'!E1170-'Raw Price Data'!E1169)/'Raw Price Data'!E1169</f>
        <v>4.250695207160049E-2</v>
      </c>
      <c r="F1170" s="26">
        <f>('Raw Price Data'!F1170-'Raw Price Data'!F1169)/'Raw Price Data'!F1169</f>
        <v>-4.3480975602692724E-3</v>
      </c>
    </row>
    <row r="1171" spans="1:6" ht="15" customHeight="1" x14ac:dyDescent="0.3">
      <c r="A1171" s="21">
        <v>45103</v>
      </c>
      <c r="B1171" s="25">
        <f>('Raw Price Data'!B1171-'Raw Price Data'!B1170)/'Raw Price Data'!B1170</f>
        <v>1.2054695933789163E-2</v>
      </c>
      <c r="C1171" s="25">
        <f>('Raw Price Data'!C1171-'Raw Price Data'!C1170)/'Raw Price Data'!C1170</f>
        <v>-1.3043669466555392E-2</v>
      </c>
      <c r="D1171" s="25">
        <f>('Raw Price Data'!D1171-'Raw Price Data'!D1170)/'Raw Price Data'!D1170</f>
        <v>1.7546168355485621E-3</v>
      </c>
      <c r="E1171" s="25">
        <f>('Raw Price Data'!E1171-'Raw Price Data'!E1170)/'Raw Price Data'!E1170</f>
        <v>2.0487761140500282E-2</v>
      </c>
      <c r="F1171" s="25">
        <f>('Raw Price Data'!F1171-'Raw Price Data'!F1170)/'Raw Price Data'!F1170</f>
        <v>7.4140488386549288E-3</v>
      </c>
    </row>
    <row r="1172" spans="1:6" ht="15" customHeight="1" x14ac:dyDescent="0.3">
      <c r="A1172" s="19">
        <v>45104</v>
      </c>
      <c r="B1172" s="26">
        <f>('Raw Price Data'!B1172-'Raw Price Data'!B1171)/'Raw Price Data'!B1171</f>
        <v>8.8888888888883841E-4</v>
      </c>
      <c r="C1172" s="26">
        <f>('Raw Price Data'!C1172-'Raw Price Data'!C1171)/'Raw Price Data'!C1171</f>
        <v>-1.5439525184472088E-2</v>
      </c>
      <c r="D1172" s="26">
        <f>('Raw Price Data'!D1172-'Raw Price Data'!D1171)/'Raw Price Data'!D1171</f>
        <v>1.1779130358628532E-2</v>
      </c>
      <c r="E1172" s="26">
        <f>('Raw Price Data'!E1172-'Raw Price Data'!E1171)/'Raw Price Data'!E1171</f>
        <v>-1.3530729692922655E-2</v>
      </c>
      <c r="F1172" s="26">
        <f>('Raw Price Data'!F1172-'Raw Price Data'!F1171)/'Raw Price Data'!F1171</f>
        <v>6.8080313343111213E-3</v>
      </c>
    </row>
    <row r="1173" spans="1:6" ht="15" customHeight="1" x14ac:dyDescent="0.3">
      <c r="A1173" s="21">
        <v>45105</v>
      </c>
      <c r="B1173" s="25">
        <f>('Raw Price Data'!B1173-'Raw Price Data'!B1172)/'Raw Price Data'!B1172</f>
        <v>2.1314387211368484E-3</v>
      </c>
      <c r="C1173" s="25">
        <f>('Raw Price Data'!C1173-'Raw Price Data'!C1172)/'Raw Price Data'!C1172</f>
        <v>1.5898877167257117E-2</v>
      </c>
      <c r="D1173" s="25">
        <f>('Raw Price Data'!D1173-'Raw Price Data'!D1172)/'Raw Price Data'!D1172</f>
        <v>-5.3232926512593688E-3</v>
      </c>
      <c r="E1173" s="25">
        <f>('Raw Price Data'!E1173-'Raw Price Data'!E1172)/'Raw Price Data'!E1172</f>
        <v>1.3404586951681098E-2</v>
      </c>
      <c r="F1173" s="25">
        <f>('Raw Price Data'!F1173-'Raw Price Data'!F1172)/'Raw Price Data'!F1172</f>
        <v>-1.7636968771163454E-3</v>
      </c>
    </row>
    <row r="1174" spans="1:6" ht="15" customHeight="1" x14ac:dyDescent="0.3">
      <c r="A1174" s="19">
        <v>45106</v>
      </c>
      <c r="B1174" s="26">
        <f>('Raw Price Data'!B1174-'Raw Price Data'!B1173)/'Raw Price Data'!B1173</f>
        <v>7.6214108472172932E-3</v>
      </c>
      <c r="C1174" s="26">
        <f>('Raw Price Data'!C1174-'Raw Price Data'!C1173)/'Raw Price Data'!C1173</f>
        <v>1.679496774653421E-2</v>
      </c>
      <c r="D1174" s="26">
        <f>('Raw Price Data'!D1174-'Raw Price Data'!D1173)/'Raw Price Data'!D1173</f>
        <v>-1.3314188748205204E-2</v>
      </c>
      <c r="E1174" s="26">
        <f>('Raw Price Data'!E1174-'Raw Price Data'!E1173)/'Raw Price Data'!E1173</f>
        <v>2.1862365969414634E-2</v>
      </c>
      <c r="F1174" s="26">
        <f>('Raw Price Data'!F1174-'Raw Price Data'!F1173)/'Raw Price Data'!F1173</f>
        <v>7.9146400194253005E-3</v>
      </c>
    </row>
    <row r="1175" spans="1:6" ht="15" customHeight="1" x14ac:dyDescent="0.3">
      <c r="A1175" s="21">
        <v>45107</v>
      </c>
      <c r="B1175" s="25">
        <f>('Raw Price Data'!B1175-'Raw Price Data'!B1174)/'Raw Price Data'!B1174</f>
        <v>-8.7950747581399437E-5</v>
      </c>
      <c r="C1175" s="25">
        <f>('Raw Price Data'!C1175-'Raw Price Data'!C1174)/'Raw Price Data'!C1174</f>
        <v>1.2587516758528237E-2</v>
      </c>
      <c r="D1175" s="25">
        <f>('Raw Price Data'!D1175-'Raw Price Data'!D1174)/'Raw Price Data'!D1174</f>
        <v>-6.3941438461878426E-3</v>
      </c>
      <c r="E1175" s="25">
        <f>('Raw Price Data'!E1175-'Raw Price Data'!E1174)/'Raw Price Data'!E1174</f>
        <v>4.4487926548691589E-2</v>
      </c>
      <c r="F1175" s="25">
        <f>('Raw Price Data'!F1175-'Raw Price Data'!F1174)/'Raw Price Data'!F1174</f>
        <v>-7.4855599051864598E-4</v>
      </c>
    </row>
    <row r="1176" spans="1:6" ht="15" customHeight="1" x14ac:dyDescent="0.3">
      <c r="A1176" s="19">
        <v>45110</v>
      </c>
      <c r="B1176" s="26">
        <f>('Raw Price Data'!B1176-'Raw Price Data'!B1175)/'Raw Price Data'!B1175</f>
        <v>1.2666021637786944E-2</v>
      </c>
      <c r="C1176" s="26">
        <f>('Raw Price Data'!C1176-'Raw Price Data'!C1175)/'Raw Price Data'!C1175</f>
        <v>1.7406918633580692E-2</v>
      </c>
      <c r="D1176" s="26">
        <f>('Raw Price Data'!D1176-'Raw Price Data'!D1175)/'Raw Price Data'!D1175</f>
        <v>-1.6199183383632194E-2</v>
      </c>
      <c r="E1176" s="26">
        <f>('Raw Price Data'!E1176-'Raw Price Data'!E1175)/'Raw Price Data'!E1175</f>
        <v>5.9082674571805105E-3</v>
      </c>
      <c r="F1176" s="26">
        <f>('Raw Price Data'!F1176-'Raw Price Data'!F1175)/'Raw Price Data'!F1175</f>
        <v>-1.4309422204158982E-2</v>
      </c>
    </row>
    <row r="1177" spans="1:6" ht="15" customHeight="1" x14ac:dyDescent="0.3">
      <c r="A1177" s="21">
        <v>45111</v>
      </c>
      <c r="B1177" s="25">
        <f>('Raw Price Data'!B1177-'Raw Price Data'!B1176)/'Raw Price Data'!B1176</f>
        <v>2.3278033527317006E-2</v>
      </c>
      <c r="C1177" s="25">
        <f>('Raw Price Data'!C1177-'Raw Price Data'!C1176)/'Raw Price Data'!C1176</f>
        <v>-1.870391004431441E-2</v>
      </c>
      <c r="D1177" s="25">
        <f>('Raw Price Data'!D1177-'Raw Price Data'!D1176)/'Raw Price Data'!D1176</f>
        <v>-2.1067352370640988E-2</v>
      </c>
      <c r="E1177" s="25">
        <f>('Raw Price Data'!E1177-'Raw Price Data'!E1176)/'Raw Price Data'!E1176</f>
        <v>-5.6279802713709763E-3</v>
      </c>
      <c r="F1177" s="25">
        <f>('Raw Price Data'!F1177-'Raw Price Data'!F1176)/'Raw Price Data'!F1176</f>
        <v>2.3202128881225042E-3</v>
      </c>
    </row>
    <row r="1178" spans="1:6" ht="15" customHeight="1" x14ac:dyDescent="0.3">
      <c r="A1178" s="19">
        <v>45112</v>
      </c>
      <c r="B1178" s="26">
        <f>('Raw Price Data'!B1178-'Raw Price Data'!B1177)/'Raw Price Data'!B1177</f>
        <v>1.4430014430014575E-3</v>
      </c>
      <c r="C1178" s="26">
        <f>('Raw Price Data'!C1178-'Raw Price Data'!C1177)/'Raw Price Data'!C1177</f>
        <v>-3.4454364219468981E-3</v>
      </c>
      <c r="D1178" s="26">
        <f>('Raw Price Data'!D1178-'Raw Price Data'!D1177)/'Raw Price Data'!D1177</f>
        <v>9.216589861755867E-5</v>
      </c>
      <c r="E1178" s="26">
        <f>('Raw Price Data'!E1178-'Raw Price Data'!E1177)/'Raw Price Data'!E1177</f>
        <v>7.2240059273894599E-3</v>
      </c>
      <c r="F1178" s="26">
        <f>('Raw Price Data'!F1178-'Raw Price Data'!F1177)/'Raw Price Data'!F1177</f>
        <v>9.8249975868268582E-3</v>
      </c>
    </row>
    <row r="1179" spans="1:6" ht="15" customHeight="1" x14ac:dyDescent="0.3">
      <c r="A1179" s="21">
        <v>45113</v>
      </c>
      <c r="B1179" s="25">
        <f>('Raw Price Data'!B1179-'Raw Price Data'!B1178)/'Raw Price Data'!B1178</f>
        <v>6.3570096626546866E-3</v>
      </c>
      <c r="C1179" s="25">
        <f>('Raw Price Data'!C1179-'Raw Price Data'!C1178)/'Raw Price Data'!C1178</f>
        <v>-9.1065254734826167E-3</v>
      </c>
      <c r="D1179" s="25">
        <f>('Raw Price Data'!D1179-'Raw Price Data'!D1178)/'Raw Price Data'!D1178</f>
        <v>-3.1794304672380321E-3</v>
      </c>
      <c r="E1179" s="25">
        <f>('Raw Price Data'!E1179-'Raw Price Data'!E1178)/'Raw Price Data'!E1178</f>
        <v>-8.5412452236457766E-3</v>
      </c>
      <c r="F1179" s="25">
        <f>('Raw Price Data'!F1179-'Raw Price Data'!F1178)/'Raw Price Data'!F1178</f>
        <v>1.5214983160471374E-2</v>
      </c>
    </row>
    <row r="1180" spans="1:6" ht="15" customHeight="1" x14ac:dyDescent="0.3">
      <c r="A1180" s="19">
        <v>45114</v>
      </c>
      <c r="B1180" s="26">
        <f>('Raw Price Data'!B1180-'Raw Price Data'!B1179)/'Raw Price Data'!B1179</f>
        <v>1.2465257306493638E-2</v>
      </c>
      <c r="C1180" s="26">
        <f>('Raw Price Data'!C1180-'Raw Price Data'!C1179)/'Raw Price Data'!C1179</f>
        <v>3.1103659847882995E-2</v>
      </c>
      <c r="D1180" s="26">
        <f>('Raw Price Data'!D1180-'Raw Price Data'!D1179)/'Raw Price Data'!D1179</f>
        <v>-1.4422410206628782E-2</v>
      </c>
      <c r="E1180" s="26">
        <f>('Raw Price Data'!E1180-'Raw Price Data'!E1179)/'Raw Price Data'!E1179</f>
        <v>3.3387605366748513E-3</v>
      </c>
      <c r="F1180" s="26">
        <f>('Raw Price Data'!F1180-'Raw Price Data'!F1179)/'Raw Price Data'!F1179</f>
        <v>-6.2828800757465109E-3</v>
      </c>
    </row>
    <row r="1181" spans="1:6" ht="15" customHeight="1" x14ac:dyDescent="0.3">
      <c r="A1181" s="21">
        <v>45117</v>
      </c>
      <c r="B1181" s="25">
        <f>('Raw Price Data'!B1181-'Raw Price Data'!B1180)/'Raw Price Data'!B1180</f>
        <v>-4.4089510024123363E-3</v>
      </c>
      <c r="C1181" s="25">
        <f>('Raw Price Data'!C1181-'Raw Price Data'!C1180)/'Raw Price Data'!C1180</f>
        <v>1.5833964705581821E-2</v>
      </c>
      <c r="D1181" s="25">
        <f>('Raw Price Data'!D1181-'Raw Price Data'!D1180)/'Raw Price Data'!D1180</f>
        <v>1.1350311899066589E-2</v>
      </c>
      <c r="E1181" s="25">
        <f>('Raw Price Data'!E1181-'Raw Price Data'!E1180)/'Raw Price Data'!E1180</f>
        <v>-1.4748474826941657E-2</v>
      </c>
      <c r="F1181" s="25">
        <f>('Raw Price Data'!F1181-'Raw Price Data'!F1180)/'Raw Price Data'!F1180</f>
        <v>1.7522203277039749E-3</v>
      </c>
    </row>
    <row r="1182" spans="1:6" ht="15" customHeight="1" x14ac:dyDescent="0.3">
      <c r="A1182" s="19">
        <v>45118</v>
      </c>
      <c r="B1182" s="26">
        <f>('Raw Price Data'!B1182-'Raw Price Data'!B1181)/'Raw Price Data'!B1181</f>
        <v>-1.5290775401069623E-2</v>
      </c>
      <c r="C1182" s="26">
        <f>('Raw Price Data'!C1182-'Raw Price Data'!C1181)/'Raw Price Data'!C1181</f>
        <v>-3.7082352152452082E-3</v>
      </c>
      <c r="D1182" s="26">
        <f>('Raw Price Data'!D1182-'Raw Price Data'!D1181)/'Raw Price Data'!D1181</f>
        <v>-1.4283726754162149E-2</v>
      </c>
      <c r="E1182" s="26">
        <f>('Raw Price Data'!E1182-'Raw Price Data'!E1181)/'Raw Price Data'!E1181</f>
        <v>9.1733555717710363E-4</v>
      </c>
      <c r="F1182" s="26">
        <f>('Raw Price Data'!F1182-'Raw Price Data'!F1181)/'Raw Price Data'!F1181</f>
        <v>-2.3502549479663456E-3</v>
      </c>
    </row>
    <row r="1183" spans="1:6" ht="15" customHeight="1" x14ac:dyDescent="0.3">
      <c r="A1183" s="21">
        <v>45119</v>
      </c>
      <c r="B1183" s="25">
        <f>('Raw Price Data'!B1183-'Raw Price Data'!B1182)/'Raw Price Data'!B1182</f>
        <v>1.2897751378871534E-2</v>
      </c>
      <c r="C1183" s="25">
        <f>('Raw Price Data'!C1183-'Raw Price Data'!C1182)/'Raw Price Data'!C1182</f>
        <v>1.5439095271540517E-2</v>
      </c>
      <c r="D1183" s="25">
        <f>('Raw Price Data'!D1183-'Raw Price Data'!D1182)/'Raw Price Data'!D1182</f>
        <v>7.1042107739355013E-3</v>
      </c>
      <c r="E1183" s="25">
        <f>('Raw Price Data'!E1183-'Raw Price Data'!E1182)/'Raw Price Data'!E1182</f>
        <v>-2.7057426732487559E-2</v>
      </c>
      <c r="F1183" s="25">
        <f>('Raw Price Data'!F1183-'Raw Price Data'!F1182)/'Raw Price Data'!F1182</f>
        <v>-1.494637389725244E-2</v>
      </c>
    </row>
    <row r="1184" spans="1:6" ht="15" customHeight="1" x14ac:dyDescent="0.3">
      <c r="A1184" s="19">
        <v>45120</v>
      </c>
      <c r="B1184" s="26">
        <f>('Raw Price Data'!B1184-'Raw Price Data'!B1183)/'Raw Price Data'!B1183</f>
        <v>-2.1445924436625637E-2</v>
      </c>
      <c r="C1184" s="26">
        <f>('Raw Price Data'!C1184-'Raw Price Data'!C1183)/'Raw Price Data'!C1183</f>
        <v>7.2024983018836135E-3</v>
      </c>
      <c r="D1184" s="26">
        <f>('Raw Price Data'!D1184-'Raw Price Data'!D1183)/'Raw Price Data'!D1183</f>
        <v>8.2687097075586757E-3</v>
      </c>
      <c r="E1184" s="26">
        <f>('Raw Price Data'!E1184-'Raw Price Data'!E1183)/'Raw Price Data'!E1183</f>
        <v>1.6441875401412866E-2</v>
      </c>
      <c r="F1184" s="26">
        <f>('Raw Price Data'!F1184-'Raw Price Data'!F1183)/'Raw Price Data'!F1183</f>
        <v>3.9746503881777371E-3</v>
      </c>
    </row>
    <row r="1185" spans="1:6" ht="15" customHeight="1" x14ac:dyDescent="0.3">
      <c r="A1185" s="21">
        <v>45121</v>
      </c>
      <c r="B1185" s="25">
        <f>('Raw Price Data'!B1185-'Raw Price Data'!B1184)/'Raw Price Data'!B1184</f>
        <v>2.5083468881088884E-2</v>
      </c>
      <c r="C1185" s="25">
        <f>('Raw Price Data'!C1185-'Raw Price Data'!C1184)/'Raw Price Data'!C1184</f>
        <v>-1.4762545079220774E-3</v>
      </c>
      <c r="D1185" s="25">
        <f>('Raw Price Data'!D1185-'Raw Price Data'!D1184)/'Raw Price Data'!D1184</f>
        <v>2.6595005328267526E-2</v>
      </c>
      <c r="E1185" s="25">
        <f>('Raw Price Data'!E1185-'Raw Price Data'!E1184)/'Raw Price Data'!E1184</f>
        <v>1.5565103837566966E-2</v>
      </c>
      <c r="F1185" s="25">
        <f>('Raw Price Data'!F1185-'Raw Price Data'!F1184)/'Raw Price Data'!F1184</f>
        <v>-1.0246814557250015E-2</v>
      </c>
    </row>
    <row r="1186" spans="1:6" ht="15" customHeight="1" x14ac:dyDescent="0.3">
      <c r="A1186" s="19">
        <v>45124</v>
      </c>
      <c r="B1186" s="26">
        <f>('Raw Price Data'!B1186-'Raw Price Data'!B1185)/'Raw Price Data'!B1185</f>
        <v>1.2443627860364199E-2</v>
      </c>
      <c r="C1186" s="26">
        <f>('Raw Price Data'!C1186-'Raw Price Data'!C1185)/'Raw Price Data'!C1185</f>
        <v>8.8294402530227894E-3</v>
      </c>
      <c r="D1186" s="26">
        <f>('Raw Price Data'!D1186-'Raw Price Data'!D1185)/'Raw Price Data'!D1185</f>
        <v>5.8220878277746111E-3</v>
      </c>
      <c r="E1186" s="26">
        <f>('Raw Price Data'!E1186-'Raw Price Data'!E1185)/'Raw Price Data'!E1185</f>
        <v>-3.0736047452143419E-2</v>
      </c>
      <c r="F1186" s="26">
        <f>('Raw Price Data'!F1186-'Raw Price Data'!F1185)/'Raw Price Data'!F1185</f>
        <v>1.140339621608354E-3</v>
      </c>
    </row>
    <row r="1187" spans="1:6" ht="15" customHeight="1" x14ac:dyDescent="0.3">
      <c r="A1187" s="21">
        <v>45125</v>
      </c>
      <c r="B1187" s="25">
        <f>('Raw Price Data'!B1187-'Raw Price Data'!B1186)/'Raw Price Data'!B1186</f>
        <v>2.8870741565618602E-3</v>
      </c>
      <c r="C1187" s="25">
        <f>('Raw Price Data'!C1187-'Raw Price Data'!C1186)/'Raw Price Data'!C1186</f>
        <v>1.5597955651350396E-2</v>
      </c>
      <c r="D1187" s="25">
        <f>('Raw Price Data'!D1187-'Raw Price Data'!D1186)/'Raw Price Data'!D1186</f>
        <v>1.2833168805528067E-2</v>
      </c>
      <c r="E1187" s="25">
        <f>('Raw Price Data'!E1187-'Raw Price Data'!E1186)/'Raw Price Data'!E1186</f>
        <v>1.4614314753396777E-2</v>
      </c>
      <c r="F1187" s="25">
        <f>('Raw Price Data'!F1187-'Raw Price Data'!F1186)/'Raw Price Data'!F1186</f>
        <v>-7.2119655561679518E-3</v>
      </c>
    </row>
    <row r="1188" spans="1:6" ht="15" customHeight="1" x14ac:dyDescent="0.3">
      <c r="A1188" s="19">
        <v>45126</v>
      </c>
      <c r="B1188" s="26">
        <f>('Raw Price Data'!B1188-'Raw Price Data'!B1187)/'Raw Price Data'!B1187</f>
        <v>9.8700444152002419E-4</v>
      </c>
      <c r="C1188" s="26">
        <f>('Raw Price Data'!C1188-'Raw Price Data'!C1187)/'Raw Price Data'!C1187</f>
        <v>-1.9092483992459474E-3</v>
      </c>
      <c r="D1188" s="26">
        <f>('Raw Price Data'!D1188-'Raw Price Data'!D1187)/'Raw Price Data'!D1187</f>
        <v>1.5505936558567886E-3</v>
      </c>
      <c r="E1188" s="26">
        <f>('Raw Price Data'!E1188-'Raw Price Data'!E1187)/'Raw Price Data'!E1187</f>
        <v>-1.0122738200683309E-2</v>
      </c>
      <c r="F1188" s="26">
        <f>('Raw Price Data'!F1188-'Raw Price Data'!F1187)/'Raw Price Data'!F1187</f>
        <v>-6.3608935624442624E-3</v>
      </c>
    </row>
    <row r="1189" spans="1:6" ht="15" customHeight="1" x14ac:dyDescent="0.3">
      <c r="A1189" s="21">
        <v>45127</v>
      </c>
      <c r="B1189" s="25">
        <f>('Raw Price Data'!B1189-'Raw Price Data'!B1188)/'Raw Price Data'!B1188</f>
        <v>2.4650780608052588E-2</v>
      </c>
      <c r="C1189" s="25">
        <f>('Raw Price Data'!C1189-'Raw Price Data'!C1188)/'Raw Price Data'!C1188</f>
        <v>-2.1464758330178618E-2</v>
      </c>
      <c r="D1189" s="25">
        <f>('Raw Price Data'!D1189-'Raw Price Data'!D1188)/'Raw Price Data'!D1188</f>
        <v>-2.1763170699340858E-2</v>
      </c>
      <c r="E1189" s="25">
        <f>('Raw Price Data'!E1189-'Raw Price Data'!E1188)/'Raw Price Data'!E1188</f>
        <v>2.7163492266393967E-2</v>
      </c>
      <c r="F1189" s="25">
        <f>('Raw Price Data'!F1189-'Raw Price Data'!F1188)/'Raw Price Data'!F1188</f>
        <v>-3.4302951199528982E-4</v>
      </c>
    </row>
    <row r="1190" spans="1:6" ht="15" customHeight="1" x14ac:dyDescent="0.3">
      <c r="A1190" s="19">
        <v>45128</v>
      </c>
      <c r="B1190" s="26">
        <f>('Raw Price Data'!B1190-'Raw Price Data'!B1189)/'Raw Price Data'!B1189</f>
        <v>-1.2830793905372962E-2</v>
      </c>
      <c r="C1190" s="26">
        <f>('Raw Price Data'!C1190-'Raw Price Data'!C1189)/'Raw Price Data'!C1189</f>
        <v>6.8523030322982731E-3</v>
      </c>
      <c r="D1190" s="26">
        <f>('Raw Price Data'!D1190-'Raw Price Data'!D1189)/'Raw Price Data'!D1189</f>
        <v>1.3881980556183554E-2</v>
      </c>
      <c r="E1190" s="26">
        <f>('Raw Price Data'!E1190-'Raw Price Data'!E1189)/'Raw Price Data'!E1189</f>
        <v>1.9476074917553328E-2</v>
      </c>
      <c r="F1190" s="26">
        <f>('Raw Price Data'!F1190-'Raw Price Data'!F1189)/'Raw Price Data'!F1189</f>
        <v>1.2728767679704989E-3</v>
      </c>
    </row>
    <row r="1191" spans="1:6" ht="15" customHeight="1" x14ac:dyDescent="0.3">
      <c r="A1191" s="21">
        <v>45131</v>
      </c>
      <c r="B1191" s="25">
        <f>('Raw Price Data'!B1191-'Raw Price Data'!B1190)/'Raw Price Data'!B1190</f>
        <v>-1.5759545085296488E-2</v>
      </c>
      <c r="C1191" s="25">
        <f>('Raw Price Data'!C1191-'Raw Price Data'!C1190)/'Raw Price Data'!C1190</f>
        <v>-4.0629636744885945E-3</v>
      </c>
      <c r="D1191" s="25">
        <f>('Raw Price Data'!D1191-'Raw Price Data'!D1190)/'Raw Price Data'!D1190</f>
        <v>2.6848630809026896E-2</v>
      </c>
      <c r="E1191" s="25">
        <f>('Raw Price Data'!E1191-'Raw Price Data'!E1190)/'Raw Price Data'!E1190</f>
        <v>2.1016438802083419E-2</v>
      </c>
      <c r="F1191" s="25">
        <f>('Raw Price Data'!F1191-'Raw Price Data'!F1190)/'Raw Price Data'!F1190</f>
        <v>5.9705428798527971E-3</v>
      </c>
    </row>
    <row r="1192" spans="1:6" ht="15" customHeight="1" x14ac:dyDescent="0.3">
      <c r="A1192" s="19">
        <v>45132</v>
      </c>
      <c r="B1192" s="26">
        <f>('Raw Price Data'!B1192-'Raw Price Data'!B1191)/'Raw Price Data'!B1191</f>
        <v>-7.9234070650379147E-3</v>
      </c>
      <c r="C1192" s="26">
        <f>('Raw Price Data'!C1192-'Raw Price Data'!C1191)/'Raw Price Data'!C1191</f>
        <v>-1.9605589870924044E-2</v>
      </c>
      <c r="D1192" s="26">
        <f>('Raw Price Data'!D1192-'Raw Price Data'!D1191)/'Raw Price Data'!D1191</f>
        <v>-1.563585823488593E-3</v>
      </c>
      <c r="E1192" s="26">
        <f>('Raw Price Data'!E1192-'Raw Price Data'!E1191)/'Raw Price Data'!E1191</f>
        <v>1.163694330975386E-2</v>
      </c>
      <c r="F1192" s="26">
        <f>('Raw Price Data'!F1192-'Raw Price Data'!F1191)/'Raw Price Data'!F1191</f>
        <v>-4.2751887036342655E-3</v>
      </c>
    </row>
    <row r="1193" spans="1:6" ht="15" customHeight="1" x14ac:dyDescent="0.3">
      <c r="A1193" s="21">
        <v>45133</v>
      </c>
      <c r="B1193" s="25">
        <f>('Raw Price Data'!B1193-'Raw Price Data'!B1192)/'Raw Price Data'!B1192</f>
        <v>-3.327787021630663E-3</v>
      </c>
      <c r="C1193" s="25">
        <f>('Raw Price Data'!C1193-'Raw Price Data'!C1192)/'Raw Price Data'!C1192</f>
        <v>-1.2956404524485415E-2</v>
      </c>
      <c r="D1193" s="25">
        <f>('Raw Price Data'!D1193-'Raw Price Data'!D1192)/'Raw Price Data'!D1192</f>
        <v>3.3365234035148843E-2</v>
      </c>
      <c r="E1193" s="25">
        <f>('Raw Price Data'!E1193-'Raw Price Data'!E1192)/'Raw Price Data'!E1192</f>
        <v>-1.9224329807559712E-2</v>
      </c>
      <c r="F1193" s="25">
        <f>('Raw Price Data'!F1193-'Raw Price Data'!F1192)/'Raw Price Data'!F1192</f>
        <v>-2.8431647257418898E-3</v>
      </c>
    </row>
    <row r="1194" spans="1:6" ht="15" customHeight="1" x14ac:dyDescent="0.3">
      <c r="A1194" s="19">
        <v>45134</v>
      </c>
      <c r="B1194" s="26">
        <f>('Raw Price Data'!B1194-'Raw Price Data'!B1193)/'Raw Price Data'!B1193</f>
        <v>-1.3689482470784647E-2</v>
      </c>
      <c r="C1194" s="26">
        <f>('Raw Price Data'!C1194-'Raw Price Data'!C1193)/'Raw Price Data'!C1193</f>
        <v>-3.8043455210934633E-3</v>
      </c>
      <c r="D1194" s="26">
        <f>('Raw Price Data'!D1194-'Raw Price Data'!D1193)/'Raw Price Data'!D1193</f>
        <v>1.4944222268995928E-2</v>
      </c>
      <c r="E1194" s="26">
        <f>('Raw Price Data'!E1194-'Raw Price Data'!E1193)/'Raw Price Data'!E1193</f>
        <v>-3.8780551483140205E-2</v>
      </c>
      <c r="F1194" s="26">
        <f>('Raw Price Data'!F1194-'Raw Price Data'!F1193)/'Raw Price Data'!F1193</f>
        <v>4.508171734549273E-3</v>
      </c>
    </row>
    <row r="1195" spans="1:6" ht="15" customHeight="1" x14ac:dyDescent="0.3">
      <c r="A1195" s="21">
        <v>45135</v>
      </c>
      <c r="B1195" s="25">
        <f>('Raw Price Data'!B1195-'Raw Price Data'!B1194)/'Raw Price Data'!B1194</f>
        <v>2.4542992552471755E-3</v>
      </c>
      <c r="C1195" s="25">
        <f>('Raw Price Data'!C1195-'Raw Price Data'!C1194)/'Raw Price Data'!C1194</f>
        <v>1.0728608771914808E-3</v>
      </c>
      <c r="D1195" s="25">
        <f>('Raw Price Data'!D1195-'Raw Price Data'!D1194)/'Raw Price Data'!D1194</f>
        <v>3.1895479054334291E-2</v>
      </c>
      <c r="E1195" s="25">
        <f>('Raw Price Data'!E1195-'Raw Price Data'!E1194)/'Raw Price Data'!E1194</f>
        <v>3.0295432702352361E-3</v>
      </c>
      <c r="F1195" s="25">
        <f>('Raw Price Data'!F1195-'Raw Price Data'!F1194)/'Raw Price Data'!F1194</f>
        <v>-4.4087632212128358E-3</v>
      </c>
    </row>
    <row r="1196" spans="1:6" ht="15" customHeight="1" x14ac:dyDescent="0.3">
      <c r="A1196" s="19">
        <v>45138</v>
      </c>
      <c r="B1196" s="26">
        <f>('Raw Price Data'!B1196-'Raw Price Data'!B1195)/'Raw Price Data'!B1195</f>
        <v>2.1950189953566139E-3</v>
      </c>
      <c r="C1196" s="26">
        <f>('Raw Price Data'!C1196-'Raw Price Data'!C1195)/'Raw Price Data'!C1195</f>
        <v>1.0504469715656261E-2</v>
      </c>
      <c r="D1196" s="26">
        <f>('Raw Price Data'!D1196-'Raw Price Data'!D1195)/'Raw Price Data'!D1195</f>
        <v>-2.4518670364563899E-3</v>
      </c>
      <c r="E1196" s="26">
        <f>('Raw Price Data'!E1196-'Raw Price Data'!E1195)/'Raw Price Data'!E1195</f>
        <v>-2.357989459870434E-2</v>
      </c>
      <c r="F1196" s="26">
        <f>('Raw Price Data'!F1196-'Raw Price Data'!F1195)/'Raw Price Data'!F1195</f>
        <v>5.9564830668818033E-4</v>
      </c>
    </row>
    <row r="1197" spans="1:6" ht="15" customHeight="1" x14ac:dyDescent="0.3">
      <c r="A1197" s="21">
        <v>45139</v>
      </c>
      <c r="B1197" s="25">
        <f>('Raw Price Data'!B1197-'Raw Price Data'!B1196)/'Raw Price Data'!B1196</f>
        <v>-1.0951057198214112E-2</v>
      </c>
      <c r="C1197" s="25">
        <f>('Raw Price Data'!C1197-'Raw Price Data'!C1196)/'Raw Price Data'!C1196</f>
        <v>-3.1522507659673842E-3</v>
      </c>
      <c r="D1197" s="25">
        <f>('Raw Price Data'!D1197-'Raw Price Data'!D1196)/'Raw Price Data'!D1196</f>
        <v>-1.3538560722056626E-2</v>
      </c>
      <c r="E1197" s="25">
        <f>('Raw Price Data'!E1197-'Raw Price Data'!E1196)/'Raw Price Data'!E1196</f>
        <v>4.0746666666667203E-3</v>
      </c>
      <c r="F1197" s="25">
        <f>('Raw Price Data'!F1197-'Raw Price Data'!F1196)/'Raw Price Data'!F1196</f>
        <v>-6.1673254064672405E-3</v>
      </c>
    </row>
    <row r="1198" spans="1:6" ht="15" customHeight="1" x14ac:dyDescent="0.3">
      <c r="A1198" s="19">
        <v>45140</v>
      </c>
      <c r="B1198" s="26">
        <f>('Raw Price Data'!B1198-'Raw Price Data'!B1197)/'Raw Price Data'!B1197</f>
        <v>2.2570479516225244E-2</v>
      </c>
      <c r="C1198" s="26">
        <f>('Raw Price Data'!C1198-'Raw Price Data'!C1197)/'Raw Price Data'!C1197</f>
        <v>8.5282805382104199E-3</v>
      </c>
      <c r="D1198" s="26">
        <f>('Raw Price Data'!D1198-'Raw Price Data'!D1197)/'Raw Price Data'!D1197</f>
        <v>1.3070827546768776E-3</v>
      </c>
      <c r="E1198" s="26">
        <f>('Raw Price Data'!E1198-'Raw Price Data'!E1197)/'Raw Price Data'!E1197</f>
        <v>-2.7663281349594268E-2</v>
      </c>
      <c r="F1198" s="26">
        <f>('Raw Price Data'!F1198-'Raw Price Data'!F1197)/'Raw Price Data'!F1197</f>
        <v>-2.3139046772681159E-4</v>
      </c>
    </row>
    <row r="1199" spans="1:6" ht="15" customHeight="1" x14ac:dyDescent="0.3">
      <c r="A1199" s="21">
        <v>45141</v>
      </c>
      <c r="B1199" s="25">
        <f>('Raw Price Data'!B1199-'Raw Price Data'!B1198)/'Raw Price Data'!B1198</f>
        <v>-1.8990504747626195E-2</v>
      </c>
      <c r="C1199" s="25">
        <f>('Raw Price Data'!C1199-'Raw Price Data'!C1198)/'Raw Price Data'!C1198</f>
        <v>-5.9904805361710098E-3</v>
      </c>
      <c r="D1199" s="25">
        <f>('Raw Price Data'!D1199-'Raw Price Data'!D1198)/'Raw Price Data'!D1198</f>
        <v>-1.1054907399853063E-2</v>
      </c>
      <c r="E1199" s="25">
        <f>('Raw Price Data'!E1199-'Raw Price Data'!E1198)/'Raw Price Data'!E1198</f>
        <v>1.525216327244126E-2</v>
      </c>
      <c r="F1199" s="25">
        <f>('Raw Price Data'!F1199-'Raw Price Data'!F1198)/'Raw Price Data'!F1198</f>
        <v>9.6936778437532022E-3</v>
      </c>
    </row>
    <row r="1200" spans="1:6" ht="15" customHeight="1" x14ac:dyDescent="0.3">
      <c r="A1200" s="19">
        <v>45142</v>
      </c>
      <c r="B1200" s="26">
        <f>('Raw Price Data'!B1200-'Raw Price Data'!B1199)/'Raw Price Data'!B1199</f>
        <v>-1.7405331974868373E-2</v>
      </c>
      <c r="C1200" s="26">
        <f>('Raw Price Data'!C1200-'Raw Price Data'!C1199)/'Raw Price Data'!C1199</f>
        <v>1.0221185270038064E-2</v>
      </c>
      <c r="D1200" s="26">
        <f>('Raw Price Data'!D1200-'Raw Price Data'!D1199)/'Raw Price Data'!D1199</f>
        <v>3.5061667285401737E-3</v>
      </c>
      <c r="E1200" s="26">
        <f>('Raw Price Data'!E1200-'Raw Price Data'!E1199)/'Raw Price Data'!E1199</f>
        <v>1.0223408376737979E-2</v>
      </c>
      <c r="F1200" s="26">
        <f>('Raw Price Data'!F1200-'Raw Price Data'!F1199)/'Raw Price Data'!F1199</f>
        <v>9.5588320909911016E-3</v>
      </c>
    </row>
    <row r="1201" spans="1:6" ht="15" customHeight="1" x14ac:dyDescent="0.3">
      <c r="A1201" s="21">
        <v>45145</v>
      </c>
      <c r="B1201" s="25">
        <f>('Raw Price Data'!B1201-'Raw Price Data'!B1200)/'Raw Price Data'!B1200</f>
        <v>5.5301131945044548E-3</v>
      </c>
      <c r="C1201" s="25">
        <f>('Raw Price Data'!C1201-'Raw Price Data'!C1200)/'Raw Price Data'!C1200</f>
        <v>7.7040125065138167E-3</v>
      </c>
      <c r="D1201" s="25">
        <f>('Raw Price Data'!D1201-'Raw Price Data'!D1200)/'Raw Price Data'!D1200</f>
        <v>-3.4117066754357633E-3</v>
      </c>
      <c r="E1201" s="25">
        <f>('Raw Price Data'!E1201-'Raw Price Data'!E1200)/'Raw Price Data'!E1200</f>
        <v>-2.3712636086669354E-2</v>
      </c>
      <c r="F1201" s="25">
        <f>('Raw Price Data'!F1201-'Raw Price Data'!F1200)/'Raw Price Data'!F1200</f>
        <v>9.621653673386155E-3</v>
      </c>
    </row>
    <row r="1202" spans="1:6" ht="15" customHeight="1" x14ac:dyDescent="0.3">
      <c r="A1202" s="19">
        <v>45146</v>
      </c>
      <c r="B1202" s="26">
        <f>('Raw Price Data'!B1202-'Raw Price Data'!B1201)/'Raw Price Data'!B1201</f>
        <v>-2.4920512159491816E-3</v>
      </c>
      <c r="C1202" s="26">
        <f>('Raw Price Data'!C1202-'Raw Price Data'!C1201)/'Raw Price Data'!C1201</f>
        <v>1.0636141368425858E-2</v>
      </c>
      <c r="D1202" s="26">
        <f>('Raw Price Data'!D1202-'Raw Price Data'!D1201)/'Raw Price Data'!D1201</f>
        <v>3.0109300886781531E-3</v>
      </c>
      <c r="E1202" s="26">
        <f>('Raw Price Data'!E1202-'Raw Price Data'!E1201)/'Raw Price Data'!E1201</f>
        <v>-1.7741794692737421E-2</v>
      </c>
      <c r="F1202" s="26">
        <f>('Raw Price Data'!F1202-'Raw Price Data'!F1201)/'Raw Price Data'!F1201</f>
        <v>1.41065623581151E-2</v>
      </c>
    </row>
    <row r="1203" spans="1:6" ht="15" customHeight="1" x14ac:dyDescent="0.3">
      <c r="A1203" s="21">
        <v>45147</v>
      </c>
      <c r="B1203" s="25">
        <f>('Raw Price Data'!B1203-'Raw Price Data'!B1202)/'Raw Price Data'!B1202</f>
        <v>6.1164713990352164E-3</v>
      </c>
      <c r="C1203" s="25">
        <f>('Raw Price Data'!C1203-'Raw Price Data'!C1202)/'Raw Price Data'!C1202</f>
        <v>2.5944149262773587E-2</v>
      </c>
      <c r="D1203" s="25">
        <f>('Raw Price Data'!D1203-'Raw Price Data'!D1202)/'Raw Price Data'!D1202</f>
        <v>-1.0280450694958466E-3</v>
      </c>
      <c r="E1203" s="25">
        <f>('Raw Price Data'!E1203-'Raw Price Data'!E1202)/'Raw Price Data'!E1202</f>
        <v>8.4868143342738296E-3</v>
      </c>
      <c r="F1203" s="25">
        <f>('Raw Price Data'!F1203-'Raw Price Data'!F1202)/'Raw Price Data'!F1202</f>
        <v>2.0590070514696799E-3</v>
      </c>
    </row>
    <row r="1204" spans="1:6" ht="15" customHeight="1" x14ac:dyDescent="0.3">
      <c r="A1204" s="19">
        <v>45148</v>
      </c>
      <c r="B1204" s="26">
        <f>('Raw Price Data'!B1204-'Raw Price Data'!B1203)/'Raw Price Data'!B1203</f>
        <v>-8.305505608356991E-3</v>
      </c>
      <c r="C1204" s="26">
        <f>('Raw Price Data'!C1204-'Raw Price Data'!C1203)/'Raw Price Data'!C1203</f>
        <v>-4.3928947620416455E-3</v>
      </c>
      <c r="D1204" s="26">
        <f>('Raw Price Data'!D1204-'Raw Price Data'!D1203)/'Raw Price Data'!D1203</f>
        <v>-1.4942576050714178E-2</v>
      </c>
      <c r="E1204" s="26">
        <f>('Raw Price Data'!E1204-'Raw Price Data'!E1203)/'Raw Price Data'!E1203</f>
        <v>1.7205295970744394E-2</v>
      </c>
      <c r="F1204" s="26">
        <f>('Raw Price Data'!F1204-'Raw Price Data'!F1203)/'Raw Price Data'!F1203</f>
        <v>1.16034683000837E-2</v>
      </c>
    </row>
    <row r="1205" spans="1:6" ht="15" customHeight="1" x14ac:dyDescent="0.3">
      <c r="A1205" s="21">
        <v>45149</v>
      </c>
      <c r="B1205" s="25">
        <f>('Raw Price Data'!B1205-'Raw Price Data'!B1204)/'Raw Price Data'!B1204</f>
        <v>-1.398722155068201E-2</v>
      </c>
      <c r="C1205" s="25">
        <f>('Raw Price Data'!C1205-'Raw Price Data'!C1204)/'Raw Price Data'!C1204</f>
        <v>-2.7507604265602219E-2</v>
      </c>
      <c r="D1205" s="25">
        <f>('Raw Price Data'!D1205-'Raw Price Data'!D1204)/'Raw Price Data'!D1204</f>
        <v>-7.9398244880902868E-3</v>
      </c>
      <c r="E1205" s="25">
        <f>('Raw Price Data'!E1205-'Raw Price Data'!E1204)/'Raw Price Data'!E1204</f>
        <v>4.8079005500930617E-3</v>
      </c>
      <c r="F1205" s="25">
        <f>('Raw Price Data'!F1205-'Raw Price Data'!F1204)/'Raw Price Data'!F1204</f>
        <v>-3.2971709305966374E-3</v>
      </c>
    </row>
    <row r="1206" spans="1:6" ht="15" customHeight="1" x14ac:dyDescent="0.3">
      <c r="A1206" s="19">
        <v>45152</v>
      </c>
      <c r="B1206" s="26">
        <f>('Raw Price Data'!B1206-'Raw Price Data'!B1205)/'Raw Price Data'!B1205</f>
        <v>-8.6690017513135643E-3</v>
      </c>
      <c r="C1206" s="26">
        <f>('Raw Price Data'!C1206-'Raw Price Data'!C1205)/'Raw Price Data'!C1205</f>
        <v>-7.7884508400395301E-4</v>
      </c>
      <c r="D1206" s="26">
        <f>('Raw Price Data'!D1206-'Raw Price Data'!D1205)/'Raw Price Data'!D1205</f>
        <v>2.0387531592249382E-2</v>
      </c>
      <c r="E1206" s="26">
        <f>('Raw Price Data'!E1206-'Raw Price Data'!E1205)/'Raw Price Data'!E1205</f>
        <v>-1.2630399172342351E-2</v>
      </c>
      <c r="F1206" s="26">
        <f>('Raw Price Data'!F1206-'Raw Price Data'!F1205)/'Raw Price Data'!F1205</f>
        <v>1.1778306291054412E-2</v>
      </c>
    </row>
    <row r="1207" spans="1:6" ht="15" customHeight="1" x14ac:dyDescent="0.3">
      <c r="A1207" s="21">
        <v>45153</v>
      </c>
      <c r="B1207" s="25">
        <f>('Raw Price Data'!B1207-'Raw Price Data'!B1206)/'Raw Price Data'!B1206</f>
        <v>-9.098136207048732E-3</v>
      </c>
      <c r="C1207" s="25">
        <f>('Raw Price Data'!C1207-'Raw Price Data'!C1206)/'Raw Price Data'!C1206</f>
        <v>1.4871452255462327E-2</v>
      </c>
      <c r="D1207" s="25">
        <f>('Raw Price Data'!D1207-'Raw Price Data'!D1206)/'Raw Price Data'!D1206</f>
        <v>-6.1922060766184638E-4</v>
      </c>
      <c r="E1207" s="25">
        <f>('Raw Price Data'!E1207-'Raw Price Data'!E1206)/'Raw Price Data'!E1206</f>
        <v>3.5363457760314437E-3</v>
      </c>
      <c r="F1207" s="25">
        <f>('Raw Price Data'!F1207-'Raw Price Data'!F1206)/'Raw Price Data'!F1206</f>
        <v>8.91957752303639E-3</v>
      </c>
    </row>
    <row r="1208" spans="1:6" ht="15" customHeight="1" x14ac:dyDescent="0.3">
      <c r="A1208" s="19">
        <v>45154</v>
      </c>
      <c r="B1208" s="26">
        <f>('Raw Price Data'!B1208-'Raw Price Data'!B1207)/'Raw Price Data'!B1207</f>
        <v>7.577108218933805E-3</v>
      </c>
      <c r="C1208" s="26">
        <f>('Raw Price Data'!C1208-'Raw Price Data'!C1207)/'Raw Price Data'!C1207</f>
        <v>1.0362315306967243E-3</v>
      </c>
      <c r="D1208" s="26">
        <f>('Raw Price Data'!D1208-'Raw Price Data'!D1207)/'Raw Price Data'!D1207</f>
        <v>-2.0694782931967411E-2</v>
      </c>
      <c r="E1208" s="26">
        <f>('Raw Price Data'!E1208-'Raw Price Data'!E1207)/'Raw Price Data'!E1207</f>
        <v>-3.8066649264769858E-3</v>
      </c>
      <c r="F1208" s="26">
        <f>('Raw Price Data'!F1208-'Raw Price Data'!F1207)/'Raw Price Data'!F1207</f>
        <v>1.9220609005624858E-2</v>
      </c>
    </row>
    <row r="1209" spans="1:6" ht="15" customHeight="1" x14ac:dyDescent="0.3">
      <c r="A1209" s="21">
        <v>45155</v>
      </c>
      <c r="B1209" s="25">
        <f>('Raw Price Data'!B1209-'Raw Price Data'!B1208)/'Raw Price Data'!B1208</f>
        <v>-6.3699902680704138E-3</v>
      </c>
      <c r="C1209" s="25">
        <f>('Raw Price Data'!C1209-'Raw Price Data'!C1208)/'Raw Price Data'!C1208</f>
        <v>6.2068937521058236E-3</v>
      </c>
      <c r="D1209" s="25">
        <f>('Raw Price Data'!D1209-'Raw Price Data'!D1208)/'Raw Price Data'!D1208</f>
        <v>-3.1381812046566669E-2</v>
      </c>
      <c r="E1209" s="25">
        <f>('Raw Price Data'!E1209-'Raw Price Data'!E1208)/'Raw Price Data'!E1208</f>
        <v>-9.629451710810805E-3</v>
      </c>
      <c r="F1209" s="25">
        <f>('Raw Price Data'!F1209-'Raw Price Data'!F1208)/'Raw Price Data'!F1208</f>
        <v>9.8080251069305215E-3</v>
      </c>
    </row>
    <row r="1210" spans="1:6" ht="15" customHeight="1" x14ac:dyDescent="0.3">
      <c r="A1210" s="19">
        <v>45156</v>
      </c>
      <c r="B1210" s="26">
        <f>('Raw Price Data'!B1210-'Raw Price Data'!B1209)/'Raw Price Data'!B1209</f>
        <v>1.0862790490606348E-2</v>
      </c>
      <c r="C1210" s="26">
        <f>('Raw Price Data'!C1210-'Raw Price Data'!C1209)/'Raw Price Data'!C1209</f>
        <v>-2.9790049542498302E-2</v>
      </c>
      <c r="D1210" s="26">
        <f>('Raw Price Data'!D1210-'Raw Price Data'!D1209)/'Raw Price Data'!D1209</f>
        <v>-4.6594669918132436E-3</v>
      </c>
      <c r="E1210" s="26">
        <f>('Raw Price Data'!E1210-'Raw Price Data'!E1209)/'Raw Price Data'!E1209</f>
        <v>-2.6148690360702033E-2</v>
      </c>
      <c r="F1210" s="26">
        <f>('Raw Price Data'!F1210-'Raw Price Data'!F1209)/'Raw Price Data'!F1209</f>
        <v>8.0460406313815624E-3</v>
      </c>
    </row>
    <row r="1211" spans="1:6" ht="15" customHeight="1" x14ac:dyDescent="0.3">
      <c r="A1211" s="21">
        <v>45159</v>
      </c>
      <c r="B1211" s="25">
        <f>('Raw Price Data'!B1211-'Raw Price Data'!B1210)/'Raw Price Data'!B1210</f>
        <v>8.4559147361930216E-3</v>
      </c>
      <c r="C1211" s="25">
        <f>('Raw Price Data'!C1211-'Raw Price Data'!C1210)/'Raw Price Data'!C1210</f>
        <v>-1.4117363317310203E-2</v>
      </c>
      <c r="D1211" s="25">
        <f>('Raw Price Data'!D1211-'Raw Price Data'!D1210)/'Raw Price Data'!D1210</f>
        <v>4.7687798048737951E-3</v>
      </c>
      <c r="E1211" s="25">
        <f>('Raw Price Data'!E1211-'Raw Price Data'!E1210)/'Raw Price Data'!E1210</f>
        <v>1.2678288431061859E-3</v>
      </c>
      <c r="F1211" s="25">
        <f>('Raw Price Data'!F1211-'Raw Price Data'!F1210)/'Raw Price Data'!F1210</f>
        <v>3.9444649716896818E-3</v>
      </c>
    </row>
    <row r="1212" spans="1:6" ht="15" customHeight="1" x14ac:dyDescent="0.3">
      <c r="A1212" s="19">
        <v>45160</v>
      </c>
      <c r="B1212" s="26">
        <f>('Raw Price Data'!B1212-'Raw Price Data'!B1211)/'Raw Price Data'!B1211</f>
        <v>1.4761114507817381E-2</v>
      </c>
      <c r="C1212" s="26">
        <f>('Raw Price Data'!C1212-'Raw Price Data'!C1211)/'Raw Price Data'!C1211</f>
        <v>1.0097473944383779E-2</v>
      </c>
      <c r="D1212" s="26">
        <f>('Raw Price Data'!D1212-'Raw Price Data'!D1211)/'Raw Price Data'!D1211</f>
        <v>-1.8200818601410811E-2</v>
      </c>
      <c r="E1212" s="26">
        <f>('Raw Price Data'!E1212-'Raw Price Data'!E1211)/'Raw Price Data'!E1211</f>
        <v>-1.4991181657848315E-2</v>
      </c>
      <c r="F1212" s="26">
        <f>('Raw Price Data'!F1212-'Raw Price Data'!F1211)/'Raw Price Data'!F1211</f>
        <v>-5.3462246939985237E-3</v>
      </c>
    </row>
    <row r="1213" spans="1:6" ht="15" customHeight="1" x14ac:dyDescent="0.3">
      <c r="A1213" s="21">
        <v>45161</v>
      </c>
      <c r="B1213" s="25">
        <f>('Raw Price Data'!B1213-'Raw Price Data'!B1212)/'Raw Price Data'!B1212</f>
        <v>1.2824926837665646E-2</v>
      </c>
      <c r="C1213" s="25">
        <f>('Raw Price Data'!C1213-'Raw Price Data'!C1212)/'Raw Price Data'!C1212</f>
        <v>1.4314168437843271E-2</v>
      </c>
      <c r="D1213" s="25">
        <f>('Raw Price Data'!D1213-'Raw Price Data'!D1212)/'Raw Price Data'!D1212</f>
        <v>-2.776299450062086E-2</v>
      </c>
      <c r="E1213" s="25">
        <f>('Raw Price Data'!E1213-'Raw Price Data'!E1212)/'Raw Price Data'!E1212</f>
        <v>-1.9511971168193715E-3</v>
      </c>
      <c r="F1213" s="25">
        <f>('Raw Price Data'!F1213-'Raw Price Data'!F1212)/'Raw Price Data'!F1212</f>
        <v>-6.9811231438950457E-3</v>
      </c>
    </row>
    <row r="1214" spans="1:6" ht="15" customHeight="1" x14ac:dyDescent="0.3">
      <c r="A1214" s="19">
        <v>45162</v>
      </c>
      <c r="B1214" s="26">
        <f>('Raw Price Data'!B1214-'Raw Price Data'!B1213)/'Raw Price Data'!B1213</f>
        <v>1.1217812526557264E-2</v>
      </c>
      <c r="C1214" s="26">
        <f>('Raw Price Data'!C1214-'Raw Price Data'!C1213)/'Raw Price Data'!C1213</f>
        <v>-1.2642490459468709E-2</v>
      </c>
      <c r="D1214" s="26">
        <f>('Raw Price Data'!D1214-'Raw Price Data'!D1213)/'Raw Price Data'!D1213</f>
        <v>9.2601040051090277E-3</v>
      </c>
      <c r="E1214" s="26">
        <f>('Raw Price Data'!E1214-'Raw Price Data'!E1213)/'Raw Price Data'!E1213</f>
        <v>-3.7582225493352904E-2</v>
      </c>
      <c r="F1214" s="26">
        <f>('Raw Price Data'!F1214-'Raw Price Data'!F1213)/'Raw Price Data'!F1213</f>
        <v>9.9740936687174424E-3</v>
      </c>
    </row>
    <row r="1215" spans="1:6" ht="15" customHeight="1" x14ac:dyDescent="0.3">
      <c r="A1215" s="21">
        <v>45163</v>
      </c>
      <c r="B1215" s="25">
        <f>('Raw Price Data'!B1215-'Raw Price Data'!B1214)/'Raw Price Data'!B1214</f>
        <v>1.0925287839314323E-2</v>
      </c>
      <c r="C1215" s="25">
        <f>('Raw Price Data'!C1215-'Raw Price Data'!C1214)/'Raw Price Data'!C1214</f>
        <v>7.0672114743161344E-3</v>
      </c>
      <c r="D1215" s="25">
        <f>('Raw Price Data'!D1215-'Raw Price Data'!D1214)/'Raw Price Data'!D1214</f>
        <v>5.06666666666667E-2</v>
      </c>
      <c r="E1215" s="25">
        <f>('Raw Price Data'!E1215-'Raw Price Data'!E1214)/'Raw Price Data'!E1214</f>
        <v>1.627473472899341E-2</v>
      </c>
      <c r="F1215" s="25">
        <f>('Raw Price Data'!F1215-'Raw Price Data'!F1214)/'Raw Price Data'!F1214</f>
        <v>-1.4172179615681624E-2</v>
      </c>
    </row>
    <row r="1216" spans="1:6" ht="15" customHeight="1" x14ac:dyDescent="0.3">
      <c r="A1216" s="19">
        <v>45166</v>
      </c>
      <c r="B1216" s="26">
        <f>('Raw Price Data'!B1216-'Raw Price Data'!B1215)/'Raw Price Data'!B1215</f>
        <v>-6.8168592567961371E-3</v>
      </c>
      <c r="C1216" s="26">
        <f>('Raw Price Data'!C1216-'Raw Price Data'!C1215)/'Raw Price Data'!C1215</f>
        <v>-1.194443869418507E-2</v>
      </c>
      <c r="D1216" s="26">
        <f>('Raw Price Data'!D1216-'Raw Price Data'!D1215)/'Raw Price Data'!D1215</f>
        <v>1.415297255441793E-2</v>
      </c>
      <c r="E1216" s="26">
        <f>('Raw Price Data'!E1216-'Raw Price Data'!E1215)/'Raw Price Data'!E1215</f>
        <v>-1.0135214579659029E-2</v>
      </c>
      <c r="F1216" s="26">
        <f>('Raw Price Data'!F1216-'Raw Price Data'!F1215)/'Raw Price Data'!F1215</f>
        <v>1.8092623477445901E-2</v>
      </c>
    </row>
    <row r="1217" spans="1:6" ht="15" customHeight="1" x14ac:dyDescent="0.3">
      <c r="A1217" s="21">
        <v>45167</v>
      </c>
      <c r="B1217" s="25">
        <f>('Raw Price Data'!B1217-'Raw Price Data'!B1216)/'Raw Price Data'!B1216</f>
        <v>-3.3481208671633524E-3</v>
      </c>
      <c r="C1217" s="25">
        <f>('Raw Price Data'!C1217-'Raw Price Data'!C1216)/'Raw Price Data'!C1216</f>
        <v>-1.9731824848103978E-2</v>
      </c>
      <c r="D1217" s="25">
        <f>('Raw Price Data'!D1217-'Raw Price Data'!D1216)/'Raw Price Data'!D1216</f>
        <v>-1.5312831389183514E-2</v>
      </c>
      <c r="E1217" s="25">
        <f>('Raw Price Data'!E1217-'Raw Price Data'!E1216)/'Raw Price Data'!E1216</f>
        <v>1.9717774504679625E-3</v>
      </c>
      <c r="F1217" s="25">
        <f>('Raw Price Data'!F1217-'Raw Price Data'!F1216)/'Raw Price Data'!F1216</f>
        <v>2.6963554638471283E-3</v>
      </c>
    </row>
    <row r="1218" spans="1:6" ht="15" customHeight="1" x14ac:dyDescent="0.3">
      <c r="A1218" s="19">
        <v>45168</v>
      </c>
      <c r="B1218" s="26">
        <f>('Raw Price Data'!B1218-'Raw Price Data'!B1217)/'Raw Price Data'!B1217</f>
        <v>-2.5027294868564625E-2</v>
      </c>
      <c r="C1218" s="26">
        <f>('Raw Price Data'!C1218-'Raw Price Data'!C1217)/'Raw Price Data'!C1217</f>
        <v>1.8466194467836609E-3</v>
      </c>
      <c r="D1218" s="26">
        <f>('Raw Price Data'!D1218-'Raw Price Data'!D1217)/'Raw Price Data'!D1217</f>
        <v>-1.4646334108726416E-3</v>
      </c>
      <c r="E1218" s="26">
        <f>('Raw Price Data'!E1218-'Raw Price Data'!E1217)/'Raw Price Data'!E1217</f>
        <v>2.8830879389240643E-2</v>
      </c>
      <c r="F1218" s="26">
        <f>('Raw Price Data'!F1218-'Raw Price Data'!F1217)/'Raw Price Data'!F1217</f>
        <v>7.3267350254962744E-3</v>
      </c>
    </row>
    <row r="1219" spans="1:6" ht="15" customHeight="1" x14ac:dyDescent="0.3">
      <c r="A1219" s="21">
        <v>45169</v>
      </c>
      <c r="B1219" s="25">
        <f>('Raw Price Data'!B1219-'Raw Price Data'!B1218)/'Raw Price Data'!B1218</f>
        <v>4.3931432509259271E-3</v>
      </c>
      <c r="C1219" s="25">
        <f>('Raw Price Data'!C1219-'Raw Price Data'!C1218)/'Raw Price Data'!C1218</f>
        <v>4.4245710896732519E-3</v>
      </c>
      <c r="D1219" s="25">
        <f>('Raw Price Data'!D1219-'Raw Price Data'!D1218)/'Raw Price Data'!D1218</f>
        <v>-1.4667817083692984E-3</v>
      </c>
      <c r="E1219" s="25">
        <f>('Raw Price Data'!E1219-'Raw Price Data'!E1218)/'Raw Price Data'!E1218</f>
        <v>2.9843523148894956E-2</v>
      </c>
      <c r="F1219" s="25">
        <f>('Raw Price Data'!F1219-'Raw Price Data'!F1218)/'Raw Price Data'!F1218</f>
        <v>1.1354819820918745E-2</v>
      </c>
    </row>
    <row r="1220" spans="1:6" ht="15" customHeight="1" x14ac:dyDescent="0.3">
      <c r="A1220" s="19">
        <v>45170</v>
      </c>
      <c r="B1220" s="26">
        <f>('Raw Price Data'!B1220-'Raw Price Data'!B1219)/'Raw Price Data'!B1219</f>
        <v>-9.0051457975986043E-3</v>
      </c>
      <c r="C1220" s="26">
        <f>('Raw Price Data'!C1220-'Raw Price Data'!C1219)/'Raw Price Data'!C1219</f>
        <v>7.586763518966963E-3</v>
      </c>
      <c r="D1220" s="26">
        <f>('Raw Price Data'!D1220-'Raw Price Data'!D1219)/'Raw Price Data'!D1219</f>
        <v>-1.961462023675806E-2</v>
      </c>
      <c r="E1220" s="26">
        <f>('Raw Price Data'!E1220-'Raw Price Data'!E1219)/'Raw Price Data'!E1219</f>
        <v>1.2978875760830674E-2</v>
      </c>
      <c r="F1220" s="26">
        <f>('Raw Price Data'!F1220-'Raw Price Data'!F1219)/'Raw Price Data'!F1219</f>
        <v>3.1996539002165435E-3</v>
      </c>
    </row>
    <row r="1221" spans="1:6" ht="15" customHeight="1" x14ac:dyDescent="0.3">
      <c r="A1221" s="21">
        <v>45173</v>
      </c>
      <c r="B1221" s="25">
        <f>('Raw Price Data'!B1221-'Raw Price Data'!B1220)/'Raw Price Data'!B1220</f>
        <v>5.8848983124189253E-3</v>
      </c>
      <c r="C1221" s="25">
        <f>('Raw Price Data'!C1221-'Raw Price Data'!C1220)/'Raw Price Data'!C1220</f>
        <v>1.3469873016408293E-2</v>
      </c>
      <c r="D1221" s="25">
        <f>('Raw Price Data'!D1221-'Raw Price Data'!D1220)/'Raw Price Data'!D1220</f>
        <v>-2.1725718314824515E-2</v>
      </c>
      <c r="E1221" s="25">
        <f>('Raw Price Data'!E1221-'Raw Price Data'!E1220)/'Raw Price Data'!E1220</f>
        <v>-1.8821242378722236E-2</v>
      </c>
      <c r="F1221" s="25">
        <f>('Raw Price Data'!F1221-'Raw Price Data'!F1220)/'Raw Price Data'!F1220</f>
        <v>-5.7352364753029375E-4</v>
      </c>
    </row>
    <row r="1222" spans="1:6" ht="15" customHeight="1" x14ac:dyDescent="0.3">
      <c r="A1222" s="19">
        <v>45174</v>
      </c>
      <c r="B1222" s="26">
        <f>('Raw Price Data'!B1222-'Raw Price Data'!B1221)/'Raw Price Data'!B1221</f>
        <v>7.5711950443086585E-3</v>
      </c>
      <c r="C1222" s="26">
        <f>('Raw Price Data'!C1222-'Raw Price Data'!C1221)/'Raw Price Data'!C1221</f>
        <v>3.0179998419242061E-2</v>
      </c>
      <c r="D1222" s="26">
        <f>('Raw Price Data'!D1222-'Raw Price Data'!D1221)/'Raw Price Data'!D1221</f>
        <v>-1.8469300418937635E-3</v>
      </c>
      <c r="E1222" s="26">
        <f>('Raw Price Data'!E1222-'Raw Price Data'!E1221)/'Raw Price Data'!E1221</f>
        <v>-1.1932636887608734E-3</v>
      </c>
      <c r="F1222" s="26">
        <f>('Raw Price Data'!F1222-'Raw Price Data'!F1221)/'Raw Price Data'!F1221</f>
        <v>-2.4010986212695956E-2</v>
      </c>
    </row>
    <row r="1223" spans="1:6" ht="15" customHeight="1" x14ac:dyDescent="0.3">
      <c r="A1223" s="21">
        <v>45175</v>
      </c>
      <c r="B1223" s="25">
        <f>('Raw Price Data'!B1223-'Raw Price Data'!B1222)/'Raw Price Data'!B1222</f>
        <v>-1.8358807958329823E-2</v>
      </c>
      <c r="C1223" s="25">
        <f>('Raw Price Data'!C1223-'Raw Price Data'!C1222)/'Raw Price Data'!C1222</f>
        <v>1.7327152467635193E-2</v>
      </c>
      <c r="D1223" s="25">
        <f>('Raw Price Data'!D1223-'Raw Price Data'!D1222)/'Raw Price Data'!D1222</f>
        <v>1.286217167614403E-2</v>
      </c>
      <c r="E1223" s="25">
        <f>('Raw Price Data'!E1223-'Raw Price Data'!E1222)/'Raw Price Data'!E1222</f>
        <v>6.1537767959786716E-3</v>
      </c>
      <c r="F1223" s="25">
        <f>('Raw Price Data'!F1223-'Raw Price Data'!F1222)/'Raw Price Data'!F1222</f>
        <v>4.3919055647855133E-3</v>
      </c>
    </row>
    <row r="1224" spans="1:6" ht="15" customHeight="1" x14ac:dyDescent="0.3">
      <c r="A1224" s="19">
        <v>45176</v>
      </c>
      <c r="B1224" s="26">
        <f>('Raw Price Data'!B1224-'Raw Price Data'!B1223)/'Raw Price Data'!B1223</f>
        <v>-1.3743910925539305E-2</v>
      </c>
      <c r="C1224" s="26">
        <f>('Raw Price Data'!C1224-'Raw Price Data'!C1223)/'Raw Price Data'!C1223</f>
        <v>-5.7673148445840615E-3</v>
      </c>
      <c r="D1224" s="26">
        <f>('Raw Price Data'!D1224-'Raw Price Data'!D1223)/'Raw Price Data'!D1223</f>
        <v>4.3666176536113254E-3</v>
      </c>
      <c r="E1224" s="26">
        <f>('Raw Price Data'!E1224-'Raw Price Data'!E1223)/'Raw Price Data'!E1223</f>
        <v>5.5784568509723298E-3</v>
      </c>
      <c r="F1224" s="26">
        <f>('Raw Price Data'!F1224-'Raw Price Data'!F1223)/'Raw Price Data'!F1223</f>
        <v>6.7427304202582212E-3</v>
      </c>
    </row>
    <row r="1225" spans="1:6" ht="15" customHeight="1" x14ac:dyDescent="0.3">
      <c r="A1225" s="21">
        <v>45177</v>
      </c>
      <c r="B1225" s="25">
        <f>('Raw Price Data'!B1225-'Raw Price Data'!B1224)/'Raw Price Data'!B1224</f>
        <v>-4.5863467983771038E-3</v>
      </c>
      <c r="C1225" s="25">
        <f>('Raw Price Data'!C1225-'Raw Price Data'!C1224)/'Raw Price Data'!C1224</f>
        <v>1.7166765142683765E-2</v>
      </c>
      <c r="D1225" s="25">
        <f>('Raw Price Data'!D1225-'Raw Price Data'!D1224)/'Raw Price Data'!D1224</f>
        <v>-1.0381083359212118E-2</v>
      </c>
      <c r="E1225" s="25">
        <f>('Raw Price Data'!E1225-'Raw Price Data'!E1224)/'Raw Price Data'!E1224</f>
        <v>3.1190820986966186E-3</v>
      </c>
      <c r="F1225" s="25">
        <f>('Raw Price Data'!F1225-'Raw Price Data'!F1224)/'Raw Price Data'!F1224</f>
        <v>-1.6276122353530108E-2</v>
      </c>
    </row>
    <row r="1226" spans="1:6" ht="15" customHeight="1" x14ac:dyDescent="0.3">
      <c r="A1226" s="19">
        <v>45180</v>
      </c>
      <c r="B1226" s="26">
        <f>('Raw Price Data'!B1226-'Raw Price Data'!B1225)/'Raw Price Data'!B1225</f>
        <v>-6.8226120857699454E-3</v>
      </c>
      <c r="C1226" s="26">
        <f>('Raw Price Data'!C1226-'Raw Price Data'!C1225)/'Raw Price Data'!C1225</f>
        <v>-2.5288087164029253E-2</v>
      </c>
      <c r="D1226" s="26">
        <f>('Raw Price Data'!D1226-'Raw Price Data'!D1225)/'Raw Price Data'!D1225</f>
        <v>8.4278477607925562E-3</v>
      </c>
      <c r="E1226" s="26">
        <f>('Raw Price Data'!E1226-'Raw Price Data'!E1225)/'Raw Price Data'!E1225</f>
        <v>1.5991116046640729E-2</v>
      </c>
      <c r="F1226" s="26">
        <f>('Raw Price Data'!F1226-'Raw Price Data'!F1225)/'Raw Price Data'!F1225</f>
        <v>2.533342806347432E-3</v>
      </c>
    </row>
    <row r="1227" spans="1:6" ht="15" customHeight="1" x14ac:dyDescent="0.3">
      <c r="A1227" s="21">
        <v>45181</v>
      </c>
      <c r="B1227" s="25">
        <f>('Raw Price Data'!B1227-'Raw Price Data'!B1226)/'Raw Price Data'!B1226</f>
        <v>2.6764207333392553E-3</v>
      </c>
      <c r="C1227" s="25">
        <f>('Raw Price Data'!C1227-'Raw Price Data'!C1226)/'Raw Price Data'!C1226</f>
        <v>2.3717388590689123E-3</v>
      </c>
      <c r="D1227" s="25">
        <f>('Raw Price Data'!D1227-'Raw Price Data'!D1226)/'Raw Price Data'!D1226</f>
        <v>8.6241386974883205E-3</v>
      </c>
      <c r="E1227" s="25">
        <f>('Raw Price Data'!E1227-'Raw Price Data'!E1226)/'Raw Price Data'!E1226</f>
        <v>1.2919444748059953E-2</v>
      </c>
      <c r="F1227" s="25">
        <f>('Raw Price Data'!F1227-'Raw Price Data'!F1226)/'Raw Price Data'!F1226</f>
        <v>-8.1786699463760177E-4</v>
      </c>
    </row>
    <row r="1228" spans="1:6" ht="15" customHeight="1" x14ac:dyDescent="0.3">
      <c r="A1228" s="19">
        <v>45182</v>
      </c>
      <c r="B1228" s="26">
        <f>('Raw Price Data'!B1228-'Raw Price Data'!B1227)/'Raw Price Data'!B1227</f>
        <v>-1.5748732093602599E-2</v>
      </c>
      <c r="C1228" s="26">
        <f>('Raw Price Data'!C1228-'Raw Price Data'!C1227)/'Raw Price Data'!C1227</f>
        <v>1.9178082191780733E-2</v>
      </c>
      <c r="D1228" s="26">
        <f>('Raw Price Data'!D1228-'Raw Price Data'!D1227)/'Raw Price Data'!D1227</f>
        <v>-1.5117457798933309E-2</v>
      </c>
      <c r="E1228" s="26">
        <f>('Raw Price Data'!E1228-'Raw Price Data'!E1227)/'Raw Price Data'!E1227</f>
        <v>2.3502244475138091E-2</v>
      </c>
      <c r="F1228" s="26">
        <f>('Raw Price Data'!F1228-'Raw Price Data'!F1227)/'Raw Price Data'!F1227</f>
        <v>1.2154544629823634E-2</v>
      </c>
    </row>
    <row r="1229" spans="1:6" ht="15" customHeight="1" x14ac:dyDescent="0.3">
      <c r="A1229" s="21">
        <v>45183</v>
      </c>
      <c r="B1229" s="25">
        <f>('Raw Price Data'!B1229-'Raw Price Data'!B1228)/'Raw Price Data'!B1228</f>
        <v>9.9439522690290567E-4</v>
      </c>
      <c r="C1229" s="25">
        <f>('Raw Price Data'!C1229-'Raw Price Data'!C1228)/'Raw Price Data'!C1228</f>
        <v>1.2573707943114847E-2</v>
      </c>
      <c r="D1229" s="25">
        <f>('Raw Price Data'!D1229-'Raw Price Data'!D1228)/'Raw Price Data'!D1228</f>
        <v>-1.8750559384229828E-2</v>
      </c>
      <c r="E1229" s="25">
        <f>('Raw Price Data'!E1229-'Raw Price Data'!E1228)/'Raw Price Data'!E1228</f>
        <v>1.6025303110174006E-2</v>
      </c>
      <c r="F1229" s="25">
        <f>('Raw Price Data'!F1229-'Raw Price Data'!F1228)/'Raw Price Data'!F1228</f>
        <v>-1.898037327225461E-2</v>
      </c>
    </row>
    <row r="1230" spans="1:6" ht="15" customHeight="1" x14ac:dyDescent="0.3">
      <c r="A1230" s="19">
        <v>45184</v>
      </c>
      <c r="B1230" s="26">
        <f>('Raw Price Data'!B1230-'Raw Price Data'!B1229)/'Raw Price Data'!B1229</f>
        <v>-2.3119299196243132E-2</v>
      </c>
      <c r="C1230" s="26">
        <f>('Raw Price Data'!C1230-'Raw Price Data'!C1229)/'Raw Price Data'!C1229</f>
        <v>1.5204714785086434E-2</v>
      </c>
      <c r="D1230" s="26">
        <f>('Raw Price Data'!D1230-'Raw Price Data'!D1229)/'Raw Price Data'!D1229</f>
        <v>1.0534956902449046E-2</v>
      </c>
      <c r="E1230" s="26">
        <f>('Raw Price Data'!E1230-'Raw Price Data'!E1229)/'Raw Price Data'!E1229</f>
        <v>-1.2659541351042903E-2</v>
      </c>
      <c r="F1230" s="26">
        <f>('Raw Price Data'!F1230-'Raw Price Data'!F1229)/'Raw Price Data'!F1229</f>
        <v>-5.9426129514865891E-3</v>
      </c>
    </row>
    <row r="1231" spans="1:6" ht="15" customHeight="1" x14ac:dyDescent="0.3">
      <c r="A1231" s="21">
        <v>45187</v>
      </c>
      <c r="B1231" s="25">
        <f>('Raw Price Data'!B1231-'Raw Price Data'!B1230)/'Raw Price Data'!B1230</f>
        <v>-2.9490616621983892E-2</v>
      </c>
      <c r="C1231" s="25">
        <f>('Raw Price Data'!C1231-'Raw Price Data'!C1230)/'Raw Price Data'!C1230</f>
        <v>3.4282975460122642E-2</v>
      </c>
      <c r="D1231" s="25">
        <f>('Raw Price Data'!D1231-'Raw Price Data'!D1230)/'Raw Price Data'!D1230</f>
        <v>1.832295333513843E-2</v>
      </c>
      <c r="E1231" s="25">
        <f>('Raw Price Data'!E1231-'Raw Price Data'!E1230)/'Raw Price Data'!E1230</f>
        <v>-5.5491329479768498E-3</v>
      </c>
      <c r="F1231" s="25">
        <f>('Raw Price Data'!F1231-'Raw Price Data'!F1230)/'Raw Price Data'!F1230</f>
        <v>-1.8772679912334826E-3</v>
      </c>
    </row>
    <row r="1232" spans="1:6" ht="15" customHeight="1" x14ac:dyDescent="0.3">
      <c r="A1232" s="19">
        <v>45188</v>
      </c>
      <c r="B1232" s="26">
        <f>('Raw Price Data'!B1232-'Raw Price Data'!B1231)/'Raw Price Data'!B1231</f>
        <v>1.0192417603352955E-2</v>
      </c>
      <c r="C1232" s="26">
        <f>('Raw Price Data'!C1232-'Raw Price Data'!C1231)/'Raw Price Data'!C1231</f>
        <v>-1.2467515134888524E-2</v>
      </c>
      <c r="D1232" s="26">
        <f>('Raw Price Data'!D1232-'Raw Price Data'!D1231)/'Raw Price Data'!D1231</f>
        <v>6.7807126396029127E-3</v>
      </c>
      <c r="E1232" s="26">
        <f>('Raw Price Data'!E1232-'Raw Price Data'!E1231)/'Raw Price Data'!E1231</f>
        <v>2.3250406882123321E-4</v>
      </c>
      <c r="F1232" s="26">
        <f>('Raw Price Data'!F1232-'Raw Price Data'!F1231)/'Raw Price Data'!F1231</f>
        <v>-9.4425012802700371E-3</v>
      </c>
    </row>
    <row r="1233" spans="1:6" ht="15" customHeight="1" x14ac:dyDescent="0.3">
      <c r="A1233" s="21">
        <v>45189</v>
      </c>
      <c r="B1233" s="25">
        <f>('Raw Price Data'!B1233-'Raw Price Data'!B1232)/'Raw Price Data'!B1232</f>
        <v>-1.7727487034417684E-2</v>
      </c>
      <c r="C1233" s="25">
        <f>('Raw Price Data'!C1233-'Raw Price Data'!C1232)/'Raw Price Data'!C1232</f>
        <v>1.4610816208545607E-2</v>
      </c>
      <c r="D1233" s="25">
        <f>('Raw Price Data'!D1233-'Raw Price Data'!D1232)/'Raw Price Data'!D1232</f>
        <v>1.8928555707179696E-2</v>
      </c>
      <c r="E1233" s="25">
        <f>('Raw Price Data'!E1233-'Raw Price Data'!E1232)/'Raw Price Data'!E1232</f>
        <v>8.2836735556399959E-3</v>
      </c>
      <c r="F1233" s="25">
        <f>('Raw Price Data'!F1233-'Raw Price Data'!F1232)/'Raw Price Data'!F1232</f>
        <v>2.4731839338119053E-3</v>
      </c>
    </row>
    <row r="1234" spans="1:6" ht="15" customHeight="1" x14ac:dyDescent="0.3">
      <c r="A1234" s="19">
        <v>45190</v>
      </c>
      <c r="B1234" s="26">
        <f>('Raw Price Data'!B1234-'Raw Price Data'!B1233)/'Raw Price Data'!B1233</f>
        <v>-7.4877603916674775E-3</v>
      </c>
      <c r="C1234" s="26">
        <f>('Raw Price Data'!C1234-'Raw Price Data'!C1233)/'Raw Price Data'!C1233</f>
        <v>-1.0508010508009365E-3</v>
      </c>
      <c r="D1234" s="26">
        <f>('Raw Price Data'!D1234-'Raw Price Data'!D1233)/'Raw Price Data'!D1233</f>
        <v>2.3501965697498586E-2</v>
      </c>
      <c r="E1234" s="26">
        <f>('Raw Price Data'!E1234-'Raw Price Data'!E1233)/'Raw Price Data'!E1233</f>
        <v>-8.8234061281803663E-3</v>
      </c>
      <c r="F1234" s="26">
        <f>('Raw Price Data'!F1234-'Raw Price Data'!F1233)/'Raw Price Data'!F1233</f>
        <v>-2.2978261181114127E-2</v>
      </c>
    </row>
    <row r="1235" spans="1:6" ht="15" customHeight="1" x14ac:dyDescent="0.3">
      <c r="A1235" s="21">
        <v>45191</v>
      </c>
      <c r="B1235" s="25">
        <f>('Raw Price Data'!B1235-'Raw Price Data'!B1234)/'Raw Price Data'!B1234</f>
        <v>-1.9344230583228553E-2</v>
      </c>
      <c r="C1235" s="25">
        <f>('Raw Price Data'!C1235-'Raw Price Data'!C1234)/'Raw Price Data'!C1234</f>
        <v>2.0256605898083625E-2</v>
      </c>
      <c r="D1235" s="25">
        <f>('Raw Price Data'!D1235-'Raw Price Data'!D1234)/'Raw Price Data'!D1234</f>
        <v>-2.3637668312861401E-2</v>
      </c>
      <c r="E1235" s="25">
        <f>('Raw Price Data'!E1235-'Raw Price Data'!E1234)/'Raw Price Data'!E1234</f>
        <v>2.7488211786098459E-4</v>
      </c>
      <c r="F1235" s="25">
        <f>('Raw Price Data'!F1235-'Raw Price Data'!F1234)/'Raw Price Data'!F1234</f>
        <v>-2.5354590002646796E-2</v>
      </c>
    </row>
    <row r="1236" spans="1:6" ht="15" customHeight="1" x14ac:dyDescent="0.3">
      <c r="A1236" s="19">
        <v>45194</v>
      </c>
      <c r="B1236" s="26">
        <f>('Raw Price Data'!B1236-'Raw Price Data'!B1235)/'Raw Price Data'!B1235</f>
        <v>-1.9134036887266965E-2</v>
      </c>
      <c r="C1236" s="26">
        <f>('Raw Price Data'!C1236-'Raw Price Data'!C1235)/'Raw Price Data'!C1235</f>
        <v>2.6719427855728421E-3</v>
      </c>
      <c r="D1236" s="26">
        <f>('Raw Price Data'!D1236-'Raw Price Data'!D1235)/'Raw Price Data'!D1235</f>
        <v>7.9114608101681031E-3</v>
      </c>
      <c r="E1236" s="26">
        <f>('Raw Price Data'!E1236-'Raw Price Data'!E1235)/'Raw Price Data'!E1235</f>
        <v>-5.792077114953725E-3</v>
      </c>
      <c r="F1236" s="26">
        <f>('Raw Price Data'!F1236-'Raw Price Data'!F1235)/'Raw Price Data'!F1235</f>
        <v>5.6879711803551839E-5</v>
      </c>
    </row>
    <row r="1237" spans="1:6" ht="15" customHeight="1" x14ac:dyDescent="0.3">
      <c r="A1237" s="21">
        <v>45195</v>
      </c>
      <c r="B1237" s="25">
        <f>('Raw Price Data'!B1237-'Raw Price Data'!B1236)/'Raw Price Data'!B1236</f>
        <v>-5.2287581699346003E-3</v>
      </c>
      <c r="C1237" s="25">
        <f>('Raw Price Data'!C1237-'Raw Price Data'!C1236)/'Raw Price Data'!C1236</f>
        <v>1.4388593400943636E-2</v>
      </c>
      <c r="D1237" s="25">
        <f>('Raw Price Data'!D1237-'Raw Price Data'!D1236)/'Raw Price Data'!D1236</f>
        <v>2.114609247662352E-2</v>
      </c>
      <c r="E1237" s="25">
        <f>('Raw Price Data'!E1237-'Raw Price Data'!E1236)/'Raw Price Data'!E1236</f>
        <v>-9.6104779724442545E-3</v>
      </c>
      <c r="F1237" s="25">
        <f>('Raw Price Data'!F1237-'Raw Price Data'!F1236)/'Raw Price Data'!F1236</f>
        <v>6.5682371656128119E-3</v>
      </c>
    </row>
    <row r="1238" spans="1:6" ht="15" customHeight="1" x14ac:dyDescent="0.3">
      <c r="A1238" s="19">
        <v>45196</v>
      </c>
      <c r="B1238" s="26">
        <f>('Raw Price Data'!B1238-'Raw Price Data'!B1237)/'Raw Price Data'!B1237</f>
        <v>-5.357323359951492E-3</v>
      </c>
      <c r="C1238" s="26">
        <f>('Raw Price Data'!C1238-'Raw Price Data'!C1237)/'Raw Price Data'!C1237</f>
        <v>2.7876429960915855E-2</v>
      </c>
      <c r="D1238" s="26">
        <f>('Raw Price Data'!D1238-'Raw Price Data'!D1237)/'Raw Price Data'!D1237</f>
        <v>1.8229932372831534E-2</v>
      </c>
      <c r="E1238" s="26">
        <f>('Raw Price Data'!E1238-'Raw Price Data'!E1237)/'Raw Price Data'!E1237</f>
        <v>8.2653499355946018E-3</v>
      </c>
      <c r="F1238" s="26">
        <f>('Raw Price Data'!F1238-'Raw Price Data'!F1237)/'Raw Price Data'!F1237</f>
        <v>-9.0259029695642212E-3</v>
      </c>
    </row>
    <row r="1239" spans="1:6" ht="15" customHeight="1" x14ac:dyDescent="0.3">
      <c r="A1239" s="21">
        <v>45197</v>
      </c>
      <c r="B1239" s="25">
        <f>('Raw Price Data'!B1239-'Raw Price Data'!B1238)/'Raw Price Data'!B1238</f>
        <v>1.3922764227642177E-2</v>
      </c>
      <c r="C1239" s="25">
        <f>('Raw Price Data'!C1239-'Raw Price Data'!C1238)/'Raw Price Data'!C1238</f>
        <v>1.1723239864571654E-2</v>
      </c>
      <c r="D1239" s="25">
        <f>('Raw Price Data'!D1239-'Raw Price Data'!D1238)/'Raw Price Data'!D1238</f>
        <v>2.2853842663256435E-2</v>
      </c>
      <c r="E1239" s="25">
        <f>('Raw Price Data'!E1239-'Raw Price Data'!E1238)/'Raw Price Data'!E1238</f>
        <v>1.7672735015437053E-2</v>
      </c>
      <c r="F1239" s="25">
        <f>('Raw Price Data'!F1239-'Raw Price Data'!F1238)/'Raw Price Data'!F1238</f>
        <v>4.5374158760965472E-3</v>
      </c>
    </row>
    <row r="1240" spans="1:6" ht="15" customHeight="1" x14ac:dyDescent="0.3">
      <c r="A1240" s="19">
        <v>45198</v>
      </c>
      <c r="B1240" s="26">
        <f>('Raw Price Data'!B1240-'Raw Price Data'!B1239)/'Raw Price Data'!B1239</f>
        <v>6.514984464267873E-3</v>
      </c>
      <c r="C1240" s="26">
        <f>('Raw Price Data'!C1240-'Raw Price Data'!C1239)/'Raw Price Data'!C1239</f>
        <v>-3.1027866731195078E-3</v>
      </c>
      <c r="D1240" s="26">
        <f>('Raw Price Data'!D1240-'Raw Price Data'!D1239)/'Raw Price Data'!D1239</f>
        <v>-8.8324258923169908E-3</v>
      </c>
      <c r="E1240" s="26">
        <f>('Raw Price Data'!E1240-'Raw Price Data'!E1239)/'Raw Price Data'!E1239</f>
        <v>3.3978449628622259E-2</v>
      </c>
      <c r="F1240" s="26">
        <f>('Raw Price Data'!F1240-'Raw Price Data'!F1239)/'Raw Price Data'!F1239</f>
        <v>3.8037459675478134E-3</v>
      </c>
    </row>
    <row r="1241" spans="1:6" ht="15" customHeight="1" x14ac:dyDescent="0.3">
      <c r="A1241" s="21">
        <v>45201</v>
      </c>
      <c r="B1241" s="25">
        <f>('Raw Price Data'!B1241-'Raw Price Data'!B1240)/'Raw Price Data'!B1240</f>
        <v>-3.286197968532148E-3</v>
      </c>
      <c r="C1241" s="25">
        <f>('Raw Price Data'!C1241-'Raw Price Data'!C1240)/'Raw Price Data'!C1240</f>
        <v>-5.8909198580118487E-3</v>
      </c>
      <c r="D1241" s="25">
        <f>('Raw Price Data'!D1241-'Raw Price Data'!D1240)/'Raw Price Data'!D1240</f>
        <v>1.1108398437500075E-2</v>
      </c>
      <c r="E1241" s="25">
        <f>('Raw Price Data'!E1241-'Raw Price Data'!E1240)/'Raw Price Data'!E1240</f>
        <v>1.9789959327384265E-2</v>
      </c>
      <c r="F1241" s="25">
        <f>('Raw Price Data'!F1241-'Raw Price Data'!F1240)/'Raw Price Data'!F1240</f>
        <v>6.8923954600181659E-3</v>
      </c>
    </row>
    <row r="1242" spans="1:6" ht="15" customHeight="1" x14ac:dyDescent="0.3">
      <c r="A1242" s="19">
        <v>45202</v>
      </c>
      <c r="B1242" s="26">
        <f>('Raw Price Data'!B1242-'Raw Price Data'!B1241)/'Raw Price Data'!B1241</f>
        <v>1.0790288740133862E-2</v>
      </c>
      <c r="C1242" s="26">
        <f>('Raw Price Data'!C1242-'Raw Price Data'!C1241)/'Raw Price Data'!C1241</f>
        <v>-1.1647317965200082E-2</v>
      </c>
      <c r="D1242" s="26">
        <f>('Raw Price Data'!D1242-'Raw Price Data'!D1241)/'Raw Price Data'!D1241</f>
        <v>1.263632339329545E-2</v>
      </c>
      <c r="E1242" s="26">
        <f>('Raw Price Data'!E1242-'Raw Price Data'!E1241)/'Raw Price Data'!E1241</f>
        <v>-6.9250153778994961E-3</v>
      </c>
      <c r="F1242" s="26">
        <f>('Raw Price Data'!F1242-'Raw Price Data'!F1241)/'Raw Price Data'!F1241</f>
        <v>1.2307183990870943E-3</v>
      </c>
    </row>
    <row r="1243" spans="1:6" ht="15" customHeight="1" x14ac:dyDescent="0.3">
      <c r="A1243" s="21">
        <v>45203</v>
      </c>
      <c r="B1243" s="25">
        <f>('Raw Price Data'!B1243-'Raw Price Data'!B1242)/'Raw Price Data'!B1242</f>
        <v>1.5814964910546549E-2</v>
      </c>
      <c r="C1243" s="25">
        <f>('Raw Price Data'!C1243-'Raw Price Data'!C1242)/'Raw Price Data'!C1242</f>
        <v>1.8905082120592984E-2</v>
      </c>
      <c r="D1243" s="25">
        <f>('Raw Price Data'!D1243-'Raw Price Data'!D1242)/'Raw Price Data'!D1242</f>
        <v>-9.0211818940507168E-3</v>
      </c>
      <c r="E1243" s="25">
        <f>('Raw Price Data'!E1243-'Raw Price Data'!E1242)/'Raw Price Data'!E1242</f>
        <v>2.4496483375959062E-2</v>
      </c>
      <c r="F1243" s="25">
        <f>('Raw Price Data'!F1243-'Raw Price Data'!F1242)/'Raw Price Data'!F1242</f>
        <v>-1.9007944657811734E-2</v>
      </c>
    </row>
    <row r="1244" spans="1:6" ht="15" customHeight="1" x14ac:dyDescent="0.3">
      <c r="A1244" s="19">
        <v>45204</v>
      </c>
      <c r="B1244" s="26">
        <f>('Raw Price Data'!B1244-'Raw Price Data'!B1243)/'Raw Price Data'!B1243</f>
        <v>6.0328889753819654E-3</v>
      </c>
      <c r="C1244" s="26">
        <f>('Raw Price Data'!C1244-'Raw Price Data'!C1243)/'Raw Price Data'!C1243</f>
        <v>2.3744015847686116E-2</v>
      </c>
      <c r="D1244" s="26">
        <f>('Raw Price Data'!D1244-'Raw Price Data'!D1243)/'Raw Price Data'!D1243</f>
        <v>3.408726339428915E-3</v>
      </c>
      <c r="E1244" s="26">
        <f>('Raw Price Data'!E1244-'Raw Price Data'!E1243)/'Raw Price Data'!E1243</f>
        <v>-2.6563170417755595E-2</v>
      </c>
      <c r="F1244" s="26">
        <f>('Raw Price Data'!F1244-'Raw Price Data'!F1243)/'Raw Price Data'!F1243</f>
        <v>3.5708485270518215E-4</v>
      </c>
    </row>
    <row r="1245" spans="1:6" ht="15" customHeight="1" x14ac:dyDescent="0.3">
      <c r="A1245" s="21">
        <v>45205</v>
      </c>
      <c r="B1245" s="25">
        <f>('Raw Price Data'!B1245-'Raw Price Data'!B1244)/'Raw Price Data'!B1244</f>
        <v>-5.3196634103878241E-3</v>
      </c>
      <c r="C1245" s="25">
        <f>('Raw Price Data'!C1245-'Raw Price Data'!C1244)/'Raw Price Data'!C1244</f>
        <v>-3.7154989384288566E-3</v>
      </c>
      <c r="D1245" s="25">
        <f>('Raw Price Data'!D1245-'Raw Price Data'!D1244)/'Raw Price Data'!D1244</f>
        <v>-2.0582710523160568E-2</v>
      </c>
      <c r="E1245" s="25">
        <f>('Raw Price Data'!E1245-'Raw Price Data'!E1244)/'Raw Price Data'!E1244</f>
        <v>8.334669017470684E-3</v>
      </c>
      <c r="F1245" s="25">
        <f>('Raw Price Data'!F1245-'Raw Price Data'!F1244)/'Raw Price Data'!F1244</f>
        <v>1.8034688251654689E-3</v>
      </c>
    </row>
    <row r="1246" spans="1:6" ht="15" customHeight="1" x14ac:dyDescent="0.3">
      <c r="A1246" s="19">
        <v>45208</v>
      </c>
      <c r="B1246" s="26">
        <f>('Raw Price Data'!B1246-'Raw Price Data'!B1245)/'Raw Price Data'!B1245</f>
        <v>1.4391287436794922E-2</v>
      </c>
      <c r="C1246" s="26">
        <f>('Raw Price Data'!C1246-'Raw Price Data'!C1245)/'Raw Price Data'!C1245</f>
        <v>-3.1318492342345267E-2</v>
      </c>
      <c r="D1246" s="26">
        <f>('Raw Price Data'!D1246-'Raw Price Data'!D1245)/'Raw Price Data'!D1245</f>
        <v>-1.297641393944343E-2</v>
      </c>
      <c r="E1246" s="26">
        <f>('Raw Price Data'!E1246-'Raw Price Data'!E1245)/'Raw Price Data'!E1245</f>
        <v>-1.009378477189633E-2</v>
      </c>
      <c r="F1246" s="26">
        <f>('Raw Price Data'!F1246-'Raw Price Data'!F1245)/'Raw Price Data'!F1245</f>
        <v>1.7373287357995787E-2</v>
      </c>
    </row>
    <row r="1247" spans="1:6" ht="15" customHeight="1" x14ac:dyDescent="0.3">
      <c r="A1247" s="21">
        <v>45209</v>
      </c>
      <c r="B1247" s="25">
        <f>('Raw Price Data'!B1247-'Raw Price Data'!B1246)/'Raw Price Data'!B1246</f>
        <v>2.4827453987730095E-2</v>
      </c>
      <c r="C1247" s="25">
        <f>('Raw Price Data'!C1247-'Raw Price Data'!C1246)/'Raw Price Data'!C1246</f>
        <v>-1.0578603304116684E-2</v>
      </c>
      <c r="D1247" s="25">
        <f>('Raw Price Data'!D1247-'Raw Price Data'!D1246)/'Raw Price Data'!D1246</f>
        <v>5.5812799735405752E-3</v>
      </c>
      <c r="E1247" s="25">
        <f>('Raw Price Data'!E1247-'Raw Price Data'!E1246)/'Raw Price Data'!E1246</f>
        <v>-9.935768767563205E-3</v>
      </c>
      <c r="F1247" s="25">
        <f>('Raw Price Data'!F1247-'Raw Price Data'!F1246)/'Raw Price Data'!F1246</f>
        <v>-1.6628839629729341E-2</v>
      </c>
    </row>
    <row r="1248" spans="1:6" ht="15" customHeight="1" x14ac:dyDescent="0.3">
      <c r="A1248" s="19">
        <v>45210</v>
      </c>
      <c r="B1248" s="26">
        <f>('Raw Price Data'!B1248-'Raw Price Data'!B1247)/'Raw Price Data'!B1247</f>
        <v>9.5407351978300456E-3</v>
      </c>
      <c r="C1248" s="26">
        <f>('Raw Price Data'!C1248-'Raw Price Data'!C1247)/'Raw Price Data'!C1247</f>
        <v>8.2500993881910196E-3</v>
      </c>
      <c r="D1248" s="26">
        <f>('Raw Price Data'!D1248-'Raw Price Data'!D1247)/'Raw Price Data'!D1247</f>
        <v>1.6938699995888686E-2</v>
      </c>
      <c r="E1248" s="26">
        <f>('Raw Price Data'!E1248-'Raw Price Data'!E1247)/'Raw Price Data'!E1247</f>
        <v>3.7911809427268094E-2</v>
      </c>
      <c r="F1248" s="26">
        <f>('Raw Price Data'!F1248-'Raw Price Data'!F1247)/'Raw Price Data'!F1247</f>
        <v>2.634330530860348E-2</v>
      </c>
    </row>
    <row r="1249" spans="1:6" ht="15" customHeight="1" x14ac:dyDescent="0.3">
      <c r="A1249" s="21">
        <v>45211</v>
      </c>
      <c r="B1249" s="25">
        <f>('Raw Price Data'!B1249-'Raw Price Data'!B1248)/'Raw Price Data'!B1248</f>
        <v>2.4830908922449667E-2</v>
      </c>
      <c r="C1249" s="25">
        <f>('Raw Price Data'!C1249-'Raw Price Data'!C1248)/'Raw Price Data'!C1248</f>
        <v>-1.6103481003824388E-2</v>
      </c>
      <c r="D1249" s="25">
        <f>('Raw Price Data'!D1249-'Raw Price Data'!D1248)/'Raw Price Data'!D1248</f>
        <v>3.6385688295938309E-4</v>
      </c>
      <c r="E1249" s="25">
        <f>('Raw Price Data'!E1249-'Raw Price Data'!E1248)/'Raw Price Data'!E1248</f>
        <v>-7.4616661783377149E-3</v>
      </c>
      <c r="F1249" s="25">
        <f>('Raw Price Data'!F1249-'Raw Price Data'!F1248)/'Raw Price Data'!F1248</f>
        <v>-5.9759422919423836E-4</v>
      </c>
    </row>
    <row r="1250" spans="1:6" ht="15" customHeight="1" x14ac:dyDescent="0.3">
      <c r="A1250" s="19">
        <v>45212</v>
      </c>
      <c r="B1250" s="26">
        <f>('Raw Price Data'!B1250-'Raw Price Data'!B1249)/'Raw Price Data'!B1249</f>
        <v>1.319952987975765E-2</v>
      </c>
      <c r="C1250" s="26">
        <f>('Raw Price Data'!C1250-'Raw Price Data'!C1249)/'Raw Price Data'!C1249</f>
        <v>-3.3950540662271392E-2</v>
      </c>
      <c r="D1250" s="26">
        <f>('Raw Price Data'!D1250-'Raw Price Data'!D1249)/'Raw Price Data'!D1249</f>
        <v>2.4571613320400955E-2</v>
      </c>
      <c r="E1250" s="26">
        <f>('Raw Price Data'!E1250-'Raw Price Data'!E1249)/'Raw Price Data'!E1249</f>
        <v>5.1364808218369584E-3</v>
      </c>
      <c r="F1250" s="26">
        <f>('Raw Price Data'!F1250-'Raw Price Data'!F1249)/'Raw Price Data'!F1249</f>
        <v>-1.1709163629315029E-2</v>
      </c>
    </row>
    <row r="1251" spans="1:6" ht="15" customHeight="1" x14ac:dyDescent="0.3">
      <c r="A1251" s="21">
        <v>45215</v>
      </c>
      <c r="B1251" s="25">
        <f>('Raw Price Data'!B1251-'Raw Price Data'!B1250)/'Raw Price Data'!B1250</f>
        <v>1.2046042651914059E-2</v>
      </c>
      <c r="C1251" s="25">
        <f>('Raw Price Data'!C1251-'Raw Price Data'!C1250)/'Raw Price Data'!C1250</f>
        <v>-7.243131323514302E-3</v>
      </c>
      <c r="D1251" s="25">
        <f>('Raw Price Data'!D1251-'Raw Price Data'!D1250)/'Raw Price Data'!D1250</f>
        <v>2.3863994951088603E-2</v>
      </c>
      <c r="E1251" s="25">
        <f>('Raw Price Data'!E1251-'Raw Price Data'!E1250)/'Raw Price Data'!E1250</f>
        <v>1.1630183655088579E-2</v>
      </c>
      <c r="F1251" s="25">
        <f>('Raw Price Data'!F1251-'Raw Price Data'!F1250)/'Raw Price Data'!F1250</f>
        <v>-2.8533446518559614E-3</v>
      </c>
    </row>
    <row r="1252" spans="1:6" ht="15" customHeight="1" x14ac:dyDescent="0.3">
      <c r="A1252" s="19">
        <v>45216</v>
      </c>
      <c r="B1252" s="26">
        <f>('Raw Price Data'!B1252-'Raw Price Data'!B1251)/'Raw Price Data'!B1251</f>
        <v>-1.4812202433433317E-2</v>
      </c>
      <c r="C1252" s="26">
        <f>('Raw Price Data'!C1252-'Raw Price Data'!C1251)/'Raw Price Data'!C1251</f>
        <v>-3.5389001675153305E-2</v>
      </c>
      <c r="D1252" s="26">
        <f>('Raw Price Data'!D1252-'Raw Price Data'!D1251)/'Raw Price Data'!D1251</f>
        <v>-1.5101899294987817E-2</v>
      </c>
      <c r="E1252" s="26">
        <f>('Raw Price Data'!E1252-'Raw Price Data'!E1251)/'Raw Price Data'!E1251</f>
        <v>0</v>
      </c>
      <c r="F1252" s="26">
        <f>('Raw Price Data'!F1252-'Raw Price Data'!F1251)/'Raw Price Data'!F1251</f>
        <v>1.3037594988505699E-2</v>
      </c>
    </row>
    <row r="1253" spans="1:6" ht="15" customHeight="1" x14ac:dyDescent="0.3">
      <c r="A1253" s="21">
        <v>45217</v>
      </c>
      <c r="B1253" s="25">
        <f>('Raw Price Data'!B1253-'Raw Price Data'!B1252)/'Raw Price Data'!B1252</f>
        <v>-1.5124395919097887E-2</v>
      </c>
      <c r="C1253" s="25">
        <f>('Raw Price Data'!C1253-'Raw Price Data'!C1252)/'Raw Price Data'!C1252</f>
        <v>6.3330688165365093E-3</v>
      </c>
      <c r="D1253" s="25">
        <f>('Raw Price Data'!D1253-'Raw Price Data'!D1252)/'Raw Price Data'!D1252</f>
        <v>-1.1734793663211866E-3</v>
      </c>
      <c r="E1253" s="25">
        <f>('Raw Price Data'!E1253-'Raw Price Data'!E1252)/'Raw Price Data'!E1252</f>
        <v>-2.5257412711929928E-2</v>
      </c>
      <c r="F1253" s="25">
        <f>('Raw Price Data'!F1253-'Raw Price Data'!F1252)/'Raw Price Data'!F1252</f>
        <v>9.4264431884521517E-4</v>
      </c>
    </row>
    <row r="1254" spans="1:6" ht="15" customHeight="1" x14ac:dyDescent="0.3">
      <c r="A1254" s="19">
        <v>45218</v>
      </c>
      <c r="B1254" s="26">
        <f>('Raw Price Data'!B1254-'Raw Price Data'!B1253)/'Raw Price Data'!B1253</f>
        <v>-3.6347114947743794E-4</v>
      </c>
      <c r="C1254" s="26">
        <f>('Raw Price Data'!C1254-'Raw Price Data'!C1253)/'Raw Price Data'!C1253</f>
        <v>-6.4798765737796296E-3</v>
      </c>
      <c r="D1254" s="26">
        <f>('Raw Price Data'!D1254-'Raw Price Data'!D1253)/'Raw Price Data'!D1253</f>
        <v>-7.5582533777168864E-3</v>
      </c>
      <c r="E1254" s="26">
        <f>('Raw Price Data'!E1254-'Raw Price Data'!E1253)/'Raw Price Data'!E1253</f>
        <v>6.6914202887040182E-3</v>
      </c>
      <c r="F1254" s="26">
        <f>('Raw Price Data'!F1254-'Raw Price Data'!F1253)/'Raw Price Data'!F1253</f>
        <v>-8.178777006764169E-3</v>
      </c>
    </row>
    <row r="1255" spans="1:6" ht="15" customHeight="1" x14ac:dyDescent="0.3">
      <c r="A1255" s="21">
        <v>45219</v>
      </c>
      <c r="B1255" s="25">
        <f>('Raw Price Data'!B1255-'Raw Price Data'!B1254)/'Raw Price Data'!B1254</f>
        <v>-2.2816107626579447E-2</v>
      </c>
      <c r="C1255" s="25">
        <f>('Raw Price Data'!C1255-'Raw Price Data'!C1254)/'Raw Price Data'!C1254</f>
        <v>1.6602506096531982E-3</v>
      </c>
      <c r="D1255" s="25">
        <f>('Raw Price Data'!D1255-'Raw Price Data'!D1254)/'Raw Price Data'!D1254</f>
        <v>1.3377002604372247E-2</v>
      </c>
      <c r="E1255" s="25">
        <f>('Raw Price Data'!E1255-'Raw Price Data'!E1254)/'Raw Price Data'!E1254</f>
        <v>-5.9960552268244977E-3</v>
      </c>
      <c r="F1255" s="25">
        <f>('Raw Price Data'!F1255-'Raw Price Data'!F1254)/'Raw Price Data'!F1254</f>
        <v>8.1591268758526795E-3</v>
      </c>
    </row>
    <row r="1256" spans="1:6" ht="15" customHeight="1" x14ac:dyDescent="0.3">
      <c r="A1256" s="19">
        <v>45222</v>
      </c>
      <c r="B1256" s="26">
        <f>('Raw Price Data'!B1256-'Raw Price Data'!B1255)/'Raw Price Data'!B1255</f>
        <v>-7.9069767441859937E-3</v>
      </c>
      <c r="C1256" s="26">
        <f>('Raw Price Data'!C1256-'Raw Price Data'!C1255)/'Raw Price Data'!C1255</f>
        <v>2.3465282482956162E-2</v>
      </c>
      <c r="D1256" s="26">
        <f>('Raw Price Data'!D1256-'Raw Price Data'!D1255)/'Raw Price Data'!D1255</f>
        <v>1.1720727386005183E-2</v>
      </c>
      <c r="E1256" s="26">
        <f>('Raw Price Data'!E1256-'Raw Price Data'!E1255)/'Raw Price Data'!E1255</f>
        <v>-1.5278990396062819E-3</v>
      </c>
      <c r="F1256" s="26">
        <f>('Raw Price Data'!F1256-'Raw Price Data'!F1255)/'Raw Price Data'!F1255</f>
        <v>1.1457296093710889E-2</v>
      </c>
    </row>
    <row r="1257" spans="1:6" ht="15" customHeight="1" x14ac:dyDescent="0.3">
      <c r="A1257" s="21">
        <v>45223</v>
      </c>
      <c r="B1257" s="25">
        <f>('Raw Price Data'!B1257-'Raw Price Data'!B1256)/'Raw Price Data'!B1256</f>
        <v>1.2376933895921174E-2</v>
      </c>
      <c r="C1257" s="25">
        <f>('Raw Price Data'!C1257-'Raw Price Data'!C1256)/'Raw Price Data'!C1256</f>
        <v>-1.5417011074665256E-2</v>
      </c>
      <c r="D1257" s="25">
        <f>('Raw Price Data'!D1257-'Raw Price Data'!D1256)/'Raw Price Data'!D1256</f>
        <v>-1.2123778000153865E-2</v>
      </c>
      <c r="E1257" s="25">
        <f>('Raw Price Data'!E1257-'Raw Price Data'!E1256)/'Raw Price Data'!E1256</f>
        <v>3.9746417854054751E-5</v>
      </c>
      <c r="F1257" s="25">
        <f>('Raw Price Data'!F1257-'Raw Price Data'!F1256)/'Raw Price Data'!F1256</f>
        <v>4.219159995427451E-4</v>
      </c>
    </row>
    <row r="1258" spans="1:6" ht="15" customHeight="1" x14ac:dyDescent="0.3">
      <c r="A1258" s="19">
        <v>45224</v>
      </c>
      <c r="B1258" s="26">
        <f>('Raw Price Data'!B1258-'Raw Price Data'!B1257)/'Raw Price Data'!B1257</f>
        <v>-8.891358710752929E-3</v>
      </c>
      <c r="C1258" s="26">
        <f>('Raw Price Data'!C1258-'Raw Price Data'!C1257)/'Raw Price Data'!C1257</f>
        <v>-3.7292256263176747E-2</v>
      </c>
      <c r="D1258" s="26">
        <f>('Raw Price Data'!D1258-'Raw Price Data'!D1257)/'Raw Price Data'!D1257</f>
        <v>1.4960844664354911E-2</v>
      </c>
      <c r="E1258" s="26">
        <f>('Raw Price Data'!E1258-'Raw Price Data'!E1257)/'Raw Price Data'!E1257</f>
        <v>9.101567933864671E-3</v>
      </c>
      <c r="F1258" s="26">
        <f>('Raw Price Data'!F1258-'Raw Price Data'!F1257)/'Raw Price Data'!F1257</f>
        <v>1.97035765570126E-2</v>
      </c>
    </row>
    <row r="1259" spans="1:6" ht="15" customHeight="1" x14ac:dyDescent="0.3">
      <c r="A1259" s="21">
        <v>45225</v>
      </c>
      <c r="B1259" s="25">
        <f>('Raw Price Data'!B1259-'Raw Price Data'!B1258)/'Raw Price Data'!B1258</f>
        <v>7.6628352490420819E-3</v>
      </c>
      <c r="C1259" s="25">
        <f>('Raw Price Data'!C1259-'Raw Price Data'!C1258)/'Raw Price Data'!C1258</f>
        <v>9.4701453667227659E-5</v>
      </c>
      <c r="D1259" s="25">
        <f>('Raw Price Data'!D1259-'Raw Price Data'!D1258)/'Raw Price Data'!D1258</f>
        <v>-2.0421480941230637E-2</v>
      </c>
      <c r="E1259" s="25">
        <f>('Raw Price Data'!E1259-'Raw Price Data'!E1258)/'Raw Price Data'!E1258</f>
        <v>8.23174934520177E-3</v>
      </c>
      <c r="F1259" s="25">
        <f>('Raw Price Data'!F1259-'Raw Price Data'!F1258)/'Raw Price Data'!F1258</f>
        <v>2.4302071385734831E-2</v>
      </c>
    </row>
    <row r="1260" spans="1:6" ht="15" customHeight="1" x14ac:dyDescent="0.3">
      <c r="A1260" s="19">
        <v>45226</v>
      </c>
      <c r="B1260" s="26">
        <f>('Raw Price Data'!B1260-'Raw Price Data'!B1259)/'Raw Price Data'!B1259</f>
        <v>-1.8362236854307743E-2</v>
      </c>
      <c r="C1260" s="26">
        <f>('Raw Price Data'!C1260-'Raw Price Data'!C1259)/'Raw Price Data'!C1259</f>
        <v>8.8695295361646467E-3</v>
      </c>
      <c r="D1260" s="26">
        <f>('Raw Price Data'!D1260-'Raw Price Data'!D1259)/'Raw Price Data'!D1259</f>
        <v>1.8966260433402465E-2</v>
      </c>
      <c r="E1260" s="26">
        <f>('Raw Price Data'!E1260-'Raw Price Data'!E1259)/'Raw Price Data'!E1259</f>
        <v>-2.8224310018165215E-2</v>
      </c>
      <c r="F1260" s="26">
        <f>('Raw Price Data'!F1260-'Raw Price Data'!F1259)/'Raw Price Data'!F1259</f>
        <v>-2.7091524262632078E-2</v>
      </c>
    </row>
    <row r="1261" spans="1:6" ht="15" customHeight="1" x14ac:dyDescent="0.3">
      <c r="A1261" s="21">
        <v>45229</v>
      </c>
      <c r="B1261" s="25">
        <f>('Raw Price Data'!B1261-'Raw Price Data'!B1260)/'Raw Price Data'!B1260</f>
        <v>-6.5186584789796668E-3</v>
      </c>
      <c r="C1261" s="25">
        <f>('Raw Price Data'!C1261-'Raw Price Data'!C1260)/'Raw Price Data'!C1260</f>
        <v>-2.4622604614782963E-2</v>
      </c>
      <c r="D1261" s="25">
        <f>('Raw Price Data'!D1261-'Raw Price Data'!D1260)/'Raw Price Data'!D1260</f>
        <v>-3.803407299157785E-2</v>
      </c>
      <c r="E1261" s="25">
        <f>('Raw Price Data'!E1261-'Raw Price Data'!E1260)/'Raw Price Data'!E1260</f>
        <v>4.6430294259527305E-3</v>
      </c>
      <c r="F1261" s="25">
        <f>('Raw Price Data'!F1261-'Raw Price Data'!F1260)/'Raw Price Data'!F1260</f>
        <v>7.0664964474847656E-4</v>
      </c>
    </row>
    <row r="1262" spans="1:6" ht="15" customHeight="1" x14ac:dyDescent="0.3">
      <c r="A1262" s="19">
        <v>45230</v>
      </c>
      <c r="B1262" s="26">
        <f>('Raw Price Data'!B1262-'Raw Price Data'!B1261)/'Raw Price Data'!B1261</f>
        <v>1.4454165081780242E-2</v>
      </c>
      <c r="C1262" s="26">
        <f>('Raw Price Data'!C1262-'Raw Price Data'!C1261)/'Raw Price Data'!C1261</f>
        <v>-5.9020705361581211E-3</v>
      </c>
      <c r="D1262" s="26">
        <f>('Raw Price Data'!D1262-'Raw Price Data'!D1261)/'Raw Price Data'!D1261</f>
        <v>-2.3986567522187351E-3</v>
      </c>
      <c r="E1262" s="26">
        <f>('Raw Price Data'!E1262-'Raw Price Data'!E1261)/'Raw Price Data'!E1261</f>
        <v>3.3811495908608998E-2</v>
      </c>
      <c r="F1262" s="26">
        <f>('Raw Price Data'!F1262-'Raw Price Data'!F1261)/'Raw Price Data'!F1261</f>
        <v>2.1373681832843893E-2</v>
      </c>
    </row>
    <row r="1263" spans="1:6" ht="15" customHeight="1" x14ac:dyDescent="0.3">
      <c r="A1263" s="21">
        <v>45231</v>
      </c>
      <c r="B1263" s="25">
        <f>('Raw Price Data'!B1263-'Raw Price Data'!B1262)/'Raw Price Data'!B1262</f>
        <v>3.1871016122983612E-3</v>
      </c>
      <c r="C1263" s="25">
        <f>('Raw Price Data'!C1263-'Raw Price Data'!C1262)/'Raw Price Data'!C1262</f>
        <v>-5.5297420260394126E-3</v>
      </c>
      <c r="D1263" s="25">
        <f>('Raw Price Data'!D1263-'Raw Price Data'!D1262)/'Raw Price Data'!D1262</f>
        <v>-1.0779834896209015E-2</v>
      </c>
      <c r="E1263" s="25">
        <f>('Raw Price Data'!E1263-'Raw Price Data'!E1262)/'Raw Price Data'!E1262</f>
        <v>-3.5569833375263669E-2</v>
      </c>
      <c r="F1263" s="25">
        <f>('Raw Price Data'!F1263-'Raw Price Data'!F1262)/'Raw Price Data'!F1262</f>
        <v>6.011405601773075E-3</v>
      </c>
    </row>
    <row r="1264" spans="1:6" ht="15" customHeight="1" x14ac:dyDescent="0.3">
      <c r="A1264" s="19">
        <v>45232</v>
      </c>
      <c r="B1264" s="26">
        <f>('Raw Price Data'!B1264-'Raw Price Data'!B1263)/'Raw Price Data'!B1263</f>
        <v>4.3917024855167153E-3</v>
      </c>
      <c r="C1264" s="26">
        <f>('Raw Price Data'!C1264-'Raw Price Data'!C1263)/'Raw Price Data'!C1263</f>
        <v>1.0869521132700777E-3</v>
      </c>
      <c r="D1264" s="26">
        <f>('Raw Price Data'!D1264-'Raw Price Data'!D1263)/'Raw Price Data'!D1263</f>
        <v>1.1059347782053953E-2</v>
      </c>
      <c r="E1264" s="26">
        <f>('Raw Price Data'!E1264-'Raw Price Data'!E1263)/'Raw Price Data'!E1263</f>
        <v>-1.703621952443064E-2</v>
      </c>
      <c r="F1264" s="26">
        <f>('Raw Price Data'!F1264-'Raw Price Data'!F1263)/'Raw Price Data'!F1263</f>
        <v>1.7186378188785215E-2</v>
      </c>
    </row>
    <row r="1265" spans="1:6" ht="15" customHeight="1" x14ac:dyDescent="0.3">
      <c r="A1265" s="21">
        <v>45233</v>
      </c>
      <c r="B1265" s="25">
        <f>('Raw Price Data'!B1265-'Raw Price Data'!B1264)/'Raw Price Data'!B1264</f>
        <v>2.3909200855893643E-2</v>
      </c>
      <c r="C1265" s="25">
        <f>('Raw Price Data'!C1265-'Raw Price Data'!C1264)/'Raw Price Data'!C1264</f>
        <v>-1.0262165304725105E-2</v>
      </c>
      <c r="D1265" s="25">
        <f>('Raw Price Data'!D1265-'Raw Price Data'!D1264)/'Raw Price Data'!D1264</f>
        <v>4.367337126372205E-3</v>
      </c>
      <c r="E1265" s="25">
        <f>('Raw Price Data'!E1265-'Raw Price Data'!E1264)/'Raw Price Data'!E1264</f>
        <v>-1.2554607438860152E-2</v>
      </c>
      <c r="F1265" s="25">
        <f>('Raw Price Data'!F1265-'Raw Price Data'!F1264)/'Raw Price Data'!F1264</f>
        <v>6.839651699987799E-3</v>
      </c>
    </row>
    <row r="1266" spans="1:6" ht="15" customHeight="1" x14ac:dyDescent="0.3">
      <c r="A1266" s="19">
        <v>45236</v>
      </c>
      <c r="B1266" s="26">
        <f>('Raw Price Data'!B1266-'Raw Price Data'!B1265)/'Raw Price Data'!B1265</f>
        <v>1.8262765764128573E-2</v>
      </c>
      <c r="C1266" s="26">
        <f>('Raw Price Data'!C1266-'Raw Price Data'!C1265)/'Raw Price Data'!C1265</f>
        <v>4.7573435504469908E-2</v>
      </c>
      <c r="D1266" s="26">
        <f>('Raw Price Data'!D1266-'Raw Price Data'!D1265)/'Raw Price Data'!D1265</f>
        <v>-3.4108588981529436E-2</v>
      </c>
      <c r="E1266" s="26">
        <f>('Raw Price Data'!E1266-'Raw Price Data'!E1265)/'Raw Price Data'!E1265</f>
        <v>-3.7067664509726921E-2</v>
      </c>
      <c r="F1266" s="26">
        <f>('Raw Price Data'!F1266-'Raw Price Data'!F1265)/'Raw Price Data'!F1265</f>
        <v>-1.6030397589691707E-2</v>
      </c>
    </row>
    <row r="1267" spans="1:6" ht="15" customHeight="1" x14ac:dyDescent="0.3">
      <c r="A1267" s="21">
        <v>45237</v>
      </c>
      <c r="B1267" s="25">
        <f>('Raw Price Data'!B1267-'Raw Price Data'!B1266)/'Raw Price Data'!B1266</f>
        <v>-1.1778352815204722E-2</v>
      </c>
      <c r="C1267" s="25">
        <f>('Raw Price Data'!C1267-'Raw Price Data'!C1266)/'Raw Price Data'!C1266</f>
        <v>-4.0325416735046814E-3</v>
      </c>
      <c r="D1267" s="25">
        <f>('Raw Price Data'!D1267-'Raw Price Data'!D1266)/'Raw Price Data'!D1266</f>
        <v>-2.0816124235916042E-2</v>
      </c>
      <c r="E1267" s="25">
        <f>('Raw Price Data'!E1267-'Raw Price Data'!E1266)/'Raw Price Data'!E1266</f>
        <v>-3.4114818154493513E-2</v>
      </c>
      <c r="F1267" s="25">
        <f>('Raw Price Data'!F1267-'Raw Price Data'!F1266)/'Raw Price Data'!F1266</f>
        <v>-6.8116028908671153E-3</v>
      </c>
    </row>
    <row r="1268" spans="1:6" ht="15" customHeight="1" x14ac:dyDescent="0.3">
      <c r="A1268" s="19">
        <v>45238</v>
      </c>
      <c r="B1268" s="26">
        <f>('Raw Price Data'!B1268-'Raw Price Data'!B1267)/'Raw Price Data'!B1267</f>
        <v>1.8600451467268644E-2</v>
      </c>
      <c r="C1268" s="26">
        <f>('Raw Price Data'!C1268-'Raw Price Data'!C1267)/'Raw Price Data'!C1267</f>
        <v>3.8840893575951955E-3</v>
      </c>
      <c r="D1268" s="26">
        <f>('Raw Price Data'!D1268-'Raw Price Data'!D1267)/'Raw Price Data'!D1267</f>
        <v>-8.8155896743715347E-3</v>
      </c>
      <c r="E1268" s="26">
        <f>('Raw Price Data'!E1268-'Raw Price Data'!E1267)/'Raw Price Data'!E1267</f>
        <v>-1.7648758585431992E-2</v>
      </c>
      <c r="F1268" s="26">
        <f>('Raw Price Data'!F1268-'Raw Price Data'!F1267)/'Raw Price Data'!F1267</f>
        <v>2.520718691272259E-4</v>
      </c>
    </row>
    <row r="1269" spans="1:6" ht="15" customHeight="1" x14ac:dyDescent="0.3">
      <c r="A1269" s="21">
        <v>45239</v>
      </c>
      <c r="B1269" s="25">
        <f>('Raw Price Data'!B1269-'Raw Price Data'!B1268)/'Raw Price Data'!B1268</f>
        <v>-8.2439500044322912E-3</v>
      </c>
      <c r="C1269" s="25">
        <f>('Raw Price Data'!C1269-'Raw Price Data'!C1268)/'Raw Price Data'!C1268</f>
        <v>-7.9530710187748609E-3</v>
      </c>
      <c r="D1269" s="25">
        <f>('Raw Price Data'!D1269-'Raw Price Data'!D1268)/'Raw Price Data'!D1268</f>
        <v>1.9022086046214727E-2</v>
      </c>
      <c r="E1269" s="25">
        <f>('Raw Price Data'!E1269-'Raw Price Data'!E1268)/'Raw Price Data'!E1268</f>
        <v>2.219708111777351E-2</v>
      </c>
      <c r="F1269" s="25">
        <f>('Raw Price Data'!F1269-'Raw Price Data'!F1268)/'Raw Price Data'!F1268</f>
        <v>1.5506899853479318E-2</v>
      </c>
    </row>
    <row r="1270" spans="1:6" ht="15" customHeight="1" x14ac:dyDescent="0.3">
      <c r="A1270" s="19">
        <v>45240</v>
      </c>
      <c r="B1270" s="26">
        <f>('Raw Price Data'!B1270-'Raw Price Data'!B1269)/'Raw Price Data'!B1269</f>
        <v>8.9381480157357129E-5</v>
      </c>
      <c r="C1270" s="26">
        <f>('Raw Price Data'!C1270-'Raw Price Data'!C1269)/'Raw Price Data'!C1269</f>
        <v>-4.6024873838347601E-2</v>
      </c>
      <c r="D1270" s="26">
        <f>('Raw Price Data'!D1270-'Raw Price Data'!D1269)/'Raw Price Data'!D1269</f>
        <v>2.6100392549903949E-2</v>
      </c>
      <c r="E1270" s="26">
        <f>('Raw Price Data'!E1270-'Raw Price Data'!E1269)/'Raw Price Data'!E1269</f>
        <v>-6.4636089959270761E-3</v>
      </c>
      <c r="F1270" s="26">
        <f>('Raw Price Data'!F1270-'Raw Price Data'!F1269)/'Raw Price Data'!F1269</f>
        <v>-3.5250021351441503E-4</v>
      </c>
    </row>
    <row r="1271" spans="1:6" ht="15" customHeight="1" x14ac:dyDescent="0.3">
      <c r="A1271" s="21">
        <v>45243</v>
      </c>
      <c r="B1271" s="25">
        <f>('Raw Price Data'!B1271-'Raw Price Data'!B1270)/'Raw Price Data'!B1270</f>
        <v>5.3624095093397328E-4</v>
      </c>
      <c r="C1271" s="25">
        <f>('Raw Price Data'!C1271-'Raw Price Data'!C1270)/'Raw Price Data'!C1270</f>
        <v>2.4950652053617916E-2</v>
      </c>
      <c r="D1271" s="25">
        <f>('Raw Price Data'!D1271-'Raw Price Data'!D1270)/'Raw Price Data'!D1270</f>
        <v>1.1110658906841356E-2</v>
      </c>
      <c r="E1271" s="25">
        <f>('Raw Price Data'!E1271-'Raw Price Data'!E1270)/'Raw Price Data'!E1270</f>
        <v>-1.7155333749220188E-2</v>
      </c>
      <c r="F1271" s="25">
        <f>('Raw Price Data'!F1271-'Raw Price Data'!F1270)/'Raw Price Data'!F1270</f>
        <v>-5.0761809999463657E-3</v>
      </c>
    </row>
    <row r="1272" spans="1:6" ht="15" customHeight="1" x14ac:dyDescent="0.3">
      <c r="A1272" s="19">
        <v>45244</v>
      </c>
      <c r="B1272" s="26">
        <f>('Raw Price Data'!B1272-'Raw Price Data'!B1271)/'Raw Price Data'!B1271</f>
        <v>1.518535060294777E-2</v>
      </c>
      <c r="C1272" s="26">
        <f>('Raw Price Data'!C1272-'Raw Price Data'!C1271)/'Raw Price Data'!C1271</f>
        <v>-5.5084609186140131E-2</v>
      </c>
      <c r="D1272" s="26">
        <f>('Raw Price Data'!D1272-'Raw Price Data'!D1271)/'Raw Price Data'!D1271</f>
        <v>2.2822411849943713E-2</v>
      </c>
      <c r="E1272" s="26">
        <f>('Raw Price Data'!E1272-'Raw Price Data'!E1271)/'Raw Price Data'!E1271</f>
        <v>-2.6975563313233844E-3</v>
      </c>
      <c r="F1272" s="26">
        <f>('Raw Price Data'!F1272-'Raw Price Data'!F1271)/'Raw Price Data'!F1271</f>
        <v>-5.7649535380997598E-3</v>
      </c>
    </row>
    <row r="1273" spans="1:6" ht="15" customHeight="1" x14ac:dyDescent="0.3">
      <c r="A1273" s="21">
        <v>45245</v>
      </c>
      <c r="B1273" s="25">
        <f>('Raw Price Data'!B1273-'Raw Price Data'!B1272)/'Raw Price Data'!B1272</f>
        <v>-1.5398152221733392E-2</v>
      </c>
      <c r="C1273" s="25">
        <f>('Raw Price Data'!C1273-'Raw Price Data'!C1272)/'Raw Price Data'!C1272</f>
        <v>2.4525856187747296E-2</v>
      </c>
      <c r="D1273" s="25">
        <f>('Raw Price Data'!D1273-'Raw Price Data'!D1272)/'Raw Price Data'!D1272</f>
        <v>-1.1451733501239719E-2</v>
      </c>
      <c r="E1273" s="25">
        <f>('Raw Price Data'!E1273-'Raw Price Data'!E1272)/'Raw Price Data'!E1272</f>
        <v>9.7056483691329437E-3</v>
      </c>
      <c r="F1273" s="25">
        <f>('Raw Price Data'!F1273-'Raw Price Data'!F1272)/'Raw Price Data'!F1272</f>
        <v>2.4947399019255995E-3</v>
      </c>
    </row>
    <row r="1274" spans="1:6" ht="15" customHeight="1" x14ac:dyDescent="0.3">
      <c r="A1274" s="19">
        <v>45246</v>
      </c>
      <c r="B1274" s="26">
        <f>('Raw Price Data'!B1274-'Raw Price Data'!B1273)/'Raw Price Data'!B1273</f>
        <v>6.613047363717559E-3</v>
      </c>
      <c r="C1274" s="26">
        <f>('Raw Price Data'!C1274-'Raw Price Data'!C1273)/'Raw Price Data'!C1273</f>
        <v>-2.2711003828866389E-2</v>
      </c>
      <c r="D1274" s="26">
        <f>('Raw Price Data'!D1274-'Raw Price Data'!D1273)/'Raw Price Data'!D1273</f>
        <v>6.9267515923567245E-3</v>
      </c>
      <c r="E1274" s="26">
        <f>('Raw Price Data'!E1274-'Raw Price Data'!E1273)/'Raw Price Data'!E1273</f>
        <v>9.6573769753724812E-3</v>
      </c>
      <c r="F1274" s="26">
        <f>('Raw Price Data'!F1274-'Raw Price Data'!F1273)/'Raw Price Data'!F1273</f>
        <v>2.7002610651980139E-3</v>
      </c>
    </row>
    <row r="1275" spans="1:6" ht="15" customHeight="1" x14ac:dyDescent="0.3">
      <c r="A1275" s="21">
        <v>45247</v>
      </c>
      <c r="B1275" s="25">
        <f>('Raw Price Data'!B1275-'Raw Price Data'!B1274)/'Raw Price Data'!B1274</f>
        <v>7.5461647727272227E-3</v>
      </c>
      <c r="C1275" s="25">
        <f>('Raw Price Data'!C1275-'Raw Price Data'!C1274)/'Raw Price Data'!C1274</f>
        <v>-2.3375052699267054E-2</v>
      </c>
      <c r="D1275" s="25">
        <f>('Raw Price Data'!D1275-'Raw Price Data'!D1274)/'Raw Price Data'!D1274</f>
        <v>2.4116391239029557E-3</v>
      </c>
      <c r="E1275" s="25">
        <f>('Raw Price Data'!E1275-'Raw Price Data'!E1274)/'Raw Price Data'!E1274</f>
        <v>1.2708746739202987E-3</v>
      </c>
      <c r="F1275" s="25">
        <f>('Raw Price Data'!F1275-'Raw Price Data'!F1274)/'Raw Price Data'!F1274</f>
        <v>2.639652337088742E-2</v>
      </c>
    </row>
    <row r="1276" spans="1:6" ht="15" customHeight="1" x14ac:dyDescent="0.3">
      <c r="A1276" s="19">
        <v>45250</v>
      </c>
      <c r="B1276" s="26">
        <f>('Raw Price Data'!B1276-'Raw Price Data'!B1275)/'Raw Price Data'!B1275</f>
        <v>1.1630980703145718E-2</v>
      </c>
      <c r="C1276" s="26">
        <f>('Raw Price Data'!C1276-'Raw Price Data'!C1275)/'Raw Price Data'!C1275</f>
        <v>-1.3255775419257342E-3</v>
      </c>
      <c r="D1276" s="26">
        <f>('Raw Price Data'!D1276-'Raw Price Data'!D1275)/'Raw Price Data'!D1275</f>
        <v>-1.6604220074935942E-2</v>
      </c>
      <c r="E1276" s="26">
        <f>('Raw Price Data'!E1276-'Raw Price Data'!E1275)/'Raw Price Data'!E1275</f>
        <v>5.0414180101541028E-2</v>
      </c>
      <c r="F1276" s="26">
        <f>('Raw Price Data'!F1276-'Raw Price Data'!F1275)/'Raw Price Data'!F1275</f>
        <v>-1.2156157161717898E-3</v>
      </c>
    </row>
    <row r="1277" spans="1:6" ht="15" customHeight="1" x14ac:dyDescent="0.3">
      <c r="A1277" s="21">
        <v>45251</v>
      </c>
      <c r="B1277" s="25">
        <f>('Raw Price Data'!B1277-'Raw Price Data'!B1276)/'Raw Price Data'!B1276</f>
        <v>-2.6130128037627136E-3</v>
      </c>
      <c r="C1277" s="25">
        <f>('Raw Price Data'!C1277-'Raw Price Data'!C1276)/'Raw Price Data'!C1276</f>
        <v>3.9326725756450992E-2</v>
      </c>
      <c r="D1277" s="25">
        <f>('Raw Price Data'!D1277-'Raw Price Data'!D1276)/'Raw Price Data'!D1276</f>
        <v>-5.1335525788080575E-3</v>
      </c>
      <c r="E1277" s="25">
        <f>('Raw Price Data'!E1277-'Raw Price Data'!E1276)/'Raw Price Data'!E1276</f>
        <v>5.46934622233525E-3</v>
      </c>
      <c r="F1277" s="25">
        <f>('Raw Price Data'!F1277-'Raw Price Data'!F1276)/'Raw Price Data'!F1276</f>
        <v>-1.3687725425528681E-2</v>
      </c>
    </row>
    <row r="1278" spans="1:6" ht="15" customHeight="1" x14ac:dyDescent="0.3">
      <c r="A1278" s="19">
        <v>45252</v>
      </c>
      <c r="B1278" s="26">
        <f>('Raw Price Data'!B1278-'Raw Price Data'!B1277)/'Raw Price Data'!B1277</f>
        <v>1.4234564666841283E-2</v>
      </c>
      <c r="C1278" s="26">
        <f>('Raw Price Data'!C1278-'Raw Price Data'!C1277)/'Raw Price Data'!C1277</f>
        <v>6.2343249158744842E-3</v>
      </c>
      <c r="D1278" s="26">
        <f>('Raw Price Data'!D1278-'Raw Price Data'!D1277)/'Raw Price Data'!D1277</f>
        <v>-5.2003547528823354E-3</v>
      </c>
      <c r="E1278" s="26">
        <f>('Raw Price Data'!E1278-'Raw Price Data'!E1277)/'Raw Price Data'!E1277</f>
        <v>8.6654016445288085E-3</v>
      </c>
      <c r="F1278" s="26">
        <f>('Raw Price Data'!F1278-'Raw Price Data'!F1277)/'Raw Price Data'!F1277</f>
        <v>7.369041088697262E-3</v>
      </c>
    </row>
    <row r="1279" spans="1:6" ht="15" customHeight="1" x14ac:dyDescent="0.3">
      <c r="A1279" s="21">
        <v>45253</v>
      </c>
      <c r="B1279" s="25">
        <f>('Raw Price Data'!B1279-'Raw Price Data'!B1278)/'Raw Price Data'!B1278</f>
        <v>-9.5574306871017683E-3</v>
      </c>
      <c r="C1279" s="25">
        <f>('Raw Price Data'!C1279-'Raw Price Data'!C1278)/'Raw Price Data'!C1278</f>
        <v>-2.7805495134037746E-3</v>
      </c>
      <c r="D1279" s="25">
        <f>('Raw Price Data'!D1279-'Raw Price Data'!D1278)/'Raw Price Data'!D1278</f>
        <v>7.5779065526602749E-3</v>
      </c>
      <c r="E1279" s="25">
        <f>('Raw Price Data'!E1279-'Raw Price Data'!E1278)/'Raw Price Data'!E1278</f>
        <v>-9.5524759097845979E-3</v>
      </c>
      <c r="F1279" s="25">
        <f>('Raw Price Data'!F1279-'Raw Price Data'!F1278)/'Raw Price Data'!F1278</f>
        <v>3.4419017919973195E-3</v>
      </c>
    </row>
    <row r="1280" spans="1:6" ht="15" customHeight="1" x14ac:dyDescent="0.3">
      <c r="A1280" s="19">
        <v>45254</v>
      </c>
      <c r="B1280" s="26">
        <f>('Raw Price Data'!B1280-'Raw Price Data'!B1279)/'Raw Price Data'!B1279</f>
        <v>1.6169694862209854E-2</v>
      </c>
      <c r="C1280" s="26">
        <f>('Raw Price Data'!C1280-'Raw Price Data'!C1279)/'Raw Price Data'!C1279</f>
        <v>-1.2945092210755509E-2</v>
      </c>
      <c r="D1280" s="26">
        <f>('Raw Price Data'!D1280-'Raw Price Data'!D1279)/'Raw Price Data'!D1279</f>
        <v>8.2046332046332871E-3</v>
      </c>
      <c r="E1280" s="26">
        <f>('Raw Price Data'!E1280-'Raw Price Data'!E1279)/'Raw Price Data'!E1279</f>
        <v>-1.5807023467837144E-2</v>
      </c>
      <c r="F1280" s="26">
        <f>('Raw Price Data'!F1280-'Raw Price Data'!F1279)/'Raw Price Data'!F1279</f>
        <v>2.3401976885119914E-3</v>
      </c>
    </row>
    <row r="1281" spans="1:6" ht="15" customHeight="1" x14ac:dyDescent="0.3">
      <c r="A1281" s="21">
        <v>45257</v>
      </c>
      <c r="B1281" s="25">
        <f>('Raw Price Data'!B1281-'Raw Price Data'!B1280)/'Raw Price Data'!B1280</f>
        <v>5.2185815724185083E-3</v>
      </c>
      <c r="C1281" s="25">
        <f>('Raw Price Data'!C1281-'Raw Price Data'!C1280)/'Raw Price Data'!C1280</f>
        <v>1.2075686176371949E-2</v>
      </c>
      <c r="D1281" s="25">
        <f>('Raw Price Data'!D1281-'Raw Price Data'!D1280)/'Raw Price Data'!D1280</f>
        <v>-8.257539492580155E-3</v>
      </c>
      <c r="E1281" s="25">
        <f>('Raw Price Data'!E1281-'Raw Price Data'!E1280)/'Raw Price Data'!E1280</f>
        <v>-2.152889460705483E-2</v>
      </c>
      <c r="F1281" s="25">
        <f>('Raw Price Data'!F1281-'Raw Price Data'!F1280)/'Raw Price Data'!F1280</f>
        <v>-7.7436100925071544E-3</v>
      </c>
    </row>
    <row r="1282" spans="1:6" ht="15" customHeight="1" x14ac:dyDescent="0.3">
      <c r="A1282" s="19">
        <v>45258</v>
      </c>
      <c r="B1282" s="26">
        <f>('Raw Price Data'!B1282-'Raw Price Data'!B1281)/'Raw Price Data'!B1281</f>
        <v>-1.9063829787233998E-2</v>
      </c>
      <c r="C1282" s="26">
        <f>('Raw Price Data'!C1282-'Raw Price Data'!C1281)/'Raw Price Data'!C1281</f>
        <v>-5.9343698922928022E-3</v>
      </c>
      <c r="D1282" s="26">
        <f>('Raw Price Data'!D1282-'Raw Price Data'!D1281)/'Raw Price Data'!D1281</f>
        <v>-7.9642814046097018E-3</v>
      </c>
      <c r="E1282" s="26">
        <f>('Raw Price Data'!E1282-'Raw Price Data'!E1281)/'Raw Price Data'!E1281</f>
        <v>-2.390918454559406E-2</v>
      </c>
      <c r="F1282" s="26">
        <f>('Raw Price Data'!F1282-'Raw Price Data'!F1281)/'Raw Price Data'!F1281</f>
        <v>5.69330019036137E-3</v>
      </c>
    </row>
    <row r="1283" spans="1:6" ht="15" customHeight="1" x14ac:dyDescent="0.3">
      <c r="A1283" s="21">
        <v>45259</v>
      </c>
      <c r="B1283" s="25">
        <f>('Raw Price Data'!B1283-'Raw Price Data'!B1282)/'Raw Price Data'!B1282</f>
        <v>5.9864653826132022E-3</v>
      </c>
      <c r="C1283" s="25">
        <f>('Raw Price Data'!C1283-'Raw Price Data'!C1282)/'Raw Price Data'!C1282</f>
        <v>1.3183301432582603E-2</v>
      </c>
      <c r="D1283" s="25">
        <f>('Raw Price Data'!D1283-'Raw Price Data'!D1282)/'Raw Price Data'!D1282</f>
        <v>-2.9558447877387147E-2</v>
      </c>
      <c r="E1283" s="25">
        <f>('Raw Price Data'!E1283-'Raw Price Data'!E1282)/'Raw Price Data'!E1282</f>
        <v>1.0889088459811458E-2</v>
      </c>
      <c r="F1283" s="25">
        <f>('Raw Price Data'!F1283-'Raw Price Data'!F1282)/'Raw Price Data'!F1282</f>
        <v>-5.1488600354503231E-3</v>
      </c>
    </row>
    <row r="1284" spans="1:6" ht="15" customHeight="1" x14ac:dyDescent="0.3">
      <c r="A1284" s="19">
        <v>45260</v>
      </c>
      <c r="B1284" s="26">
        <f>('Raw Price Data'!B1284-'Raw Price Data'!B1283)/'Raw Price Data'!B1283</f>
        <v>2.7598102630443568E-3</v>
      </c>
      <c r="C1284" s="26">
        <f>('Raw Price Data'!C1284-'Raw Price Data'!C1283)/'Raw Price Data'!C1283</f>
        <v>-3.4033646664253216E-2</v>
      </c>
      <c r="D1284" s="26">
        <f>('Raw Price Data'!D1284-'Raw Price Data'!D1283)/'Raw Price Data'!D1283</f>
        <v>8.3563131946185337E-3</v>
      </c>
      <c r="E1284" s="26">
        <f>('Raw Price Data'!E1284-'Raw Price Data'!E1283)/'Raw Price Data'!E1283</f>
        <v>3.5313714602997781E-3</v>
      </c>
      <c r="F1284" s="26">
        <f>('Raw Price Data'!F1284-'Raw Price Data'!F1283)/'Raw Price Data'!F1283</f>
        <v>-5.7559220463888382E-3</v>
      </c>
    </row>
    <row r="1285" spans="1:6" ht="15" customHeight="1" x14ac:dyDescent="0.3">
      <c r="A1285" s="21">
        <v>45261</v>
      </c>
      <c r="B1285" s="25">
        <f>('Raw Price Data'!B1285-'Raw Price Data'!B1284)/'Raw Price Data'!B1284</f>
        <v>-4.5583555517330447E-3</v>
      </c>
      <c r="C1285" s="25">
        <f>('Raw Price Data'!C1285-'Raw Price Data'!C1284)/'Raw Price Data'!C1284</f>
        <v>9.9163443065020465E-3</v>
      </c>
      <c r="D1285" s="25">
        <f>('Raw Price Data'!D1285-'Raw Price Data'!D1284)/'Raw Price Data'!D1284</f>
        <v>-1.2016242645230466E-3</v>
      </c>
      <c r="E1285" s="25">
        <f>('Raw Price Data'!E1285-'Raw Price Data'!E1284)/'Raw Price Data'!E1284</f>
        <v>-1.1442103399433337E-2</v>
      </c>
      <c r="F1285" s="25">
        <f>('Raw Price Data'!F1285-'Raw Price Data'!F1284)/'Raw Price Data'!F1284</f>
        <v>-6.3183086460105627E-3</v>
      </c>
    </row>
    <row r="1286" spans="1:6" ht="15" customHeight="1" x14ac:dyDescent="0.3">
      <c r="A1286" s="19">
        <v>45264</v>
      </c>
      <c r="B1286" s="26">
        <f>('Raw Price Data'!B1286-'Raw Price Data'!B1285)/'Raw Price Data'!B1285</f>
        <v>-9.9360635908069088E-3</v>
      </c>
      <c r="C1286" s="26">
        <f>('Raw Price Data'!C1286-'Raw Price Data'!C1285)/'Raw Price Data'!C1285</f>
        <v>6.2019074917677415E-3</v>
      </c>
      <c r="D1286" s="26">
        <f>('Raw Price Data'!D1286-'Raw Price Data'!D1285)/'Raw Price Data'!D1285</f>
        <v>-8.2970338104170217E-5</v>
      </c>
      <c r="E1286" s="26">
        <f>('Raw Price Data'!E1286-'Raw Price Data'!E1285)/'Raw Price Data'!E1285</f>
        <v>-6.134282579980767E-3</v>
      </c>
      <c r="F1286" s="26">
        <f>('Raw Price Data'!F1286-'Raw Price Data'!F1285)/'Raw Price Data'!F1285</f>
        <v>1.1456281896533381E-2</v>
      </c>
    </row>
    <row r="1287" spans="1:6" ht="15" customHeight="1" x14ac:dyDescent="0.3">
      <c r="A1287" s="21">
        <v>45265</v>
      </c>
      <c r="B1287" s="25">
        <f>('Raw Price Data'!B1287-'Raw Price Data'!B1286)/'Raw Price Data'!B1286</f>
        <v>-2.9671000959944445E-3</v>
      </c>
      <c r="C1287" s="25">
        <f>('Raw Price Data'!C1287-'Raw Price Data'!C1286)/'Raw Price Data'!C1286</f>
        <v>-2.3395704923314338E-2</v>
      </c>
      <c r="D1287" s="25">
        <f>('Raw Price Data'!D1287-'Raw Price Data'!D1286)/'Raw Price Data'!D1286</f>
        <v>9.0030286686304094E-3</v>
      </c>
      <c r="E1287" s="25">
        <f>('Raw Price Data'!E1287-'Raw Price Data'!E1286)/'Raw Price Data'!E1286</f>
        <v>2.0476201202892293E-2</v>
      </c>
      <c r="F1287" s="25">
        <f>('Raw Price Data'!F1287-'Raw Price Data'!F1286)/'Raw Price Data'!F1286</f>
        <v>-1.5905384011070205E-2</v>
      </c>
    </row>
    <row r="1288" spans="1:6" ht="15" customHeight="1" x14ac:dyDescent="0.3">
      <c r="A1288" s="19">
        <v>45266</v>
      </c>
      <c r="B1288" s="26">
        <f>('Raw Price Data'!B1288-'Raw Price Data'!B1287)/'Raw Price Data'!B1287</f>
        <v>-1.9693654266958426E-2</v>
      </c>
      <c r="C1288" s="26">
        <f>('Raw Price Data'!C1288-'Raw Price Data'!C1287)/'Raw Price Data'!C1287</f>
        <v>-1.7618793379604977E-2</v>
      </c>
      <c r="D1288" s="26">
        <f>('Raw Price Data'!D1288-'Raw Price Data'!D1287)/'Raw Price Data'!D1287</f>
        <v>-7.4013157894736144E-3</v>
      </c>
      <c r="E1288" s="26">
        <f>('Raw Price Data'!E1288-'Raw Price Data'!E1287)/'Raw Price Data'!E1287</f>
        <v>-3.4435565758686201E-3</v>
      </c>
      <c r="F1288" s="26">
        <f>('Raw Price Data'!F1288-'Raw Price Data'!F1287)/'Raw Price Data'!F1287</f>
        <v>-6.5201741441664181E-4</v>
      </c>
    </row>
    <row r="1289" spans="1:6" ht="15" customHeight="1" x14ac:dyDescent="0.3">
      <c r="A1289" s="21">
        <v>45267</v>
      </c>
      <c r="B1289" s="25">
        <f>('Raw Price Data'!B1289-'Raw Price Data'!B1288)/'Raw Price Data'!B1288</f>
        <v>2.3749999999999969E-2</v>
      </c>
      <c r="C1289" s="25">
        <f>('Raw Price Data'!C1289-'Raw Price Data'!C1288)/'Raw Price Data'!C1288</f>
        <v>-2.0060091905266721E-3</v>
      </c>
      <c r="D1289" s="25">
        <f>('Raw Price Data'!D1289-'Raw Price Data'!D1288)/'Raw Price Data'!D1288</f>
        <v>-1.4788732394366169E-2</v>
      </c>
      <c r="E1289" s="25">
        <f>('Raw Price Data'!E1289-'Raw Price Data'!E1288)/'Raw Price Data'!E1288</f>
        <v>1.1296681876579271E-3</v>
      </c>
      <c r="F1289" s="25">
        <f>('Raw Price Data'!F1289-'Raw Price Data'!F1288)/'Raw Price Data'!F1288</f>
        <v>-2.6474823877947725E-3</v>
      </c>
    </row>
    <row r="1290" spans="1:6" ht="15" customHeight="1" x14ac:dyDescent="0.3">
      <c r="A1290" s="19">
        <v>45268</v>
      </c>
      <c r="B1290" s="26">
        <f>('Raw Price Data'!B1290-'Raw Price Data'!B1289)/'Raw Price Data'!B1289</f>
        <v>-1.5349729635443843E-2</v>
      </c>
      <c r="C1290" s="26">
        <f>('Raw Price Data'!C1290-'Raw Price Data'!C1289)/'Raw Price Data'!C1289</f>
        <v>-7.9870365615010517E-3</v>
      </c>
      <c r="D1290" s="26">
        <f>('Raw Price Data'!D1290-'Raw Price Data'!D1289)/'Raw Price Data'!D1289</f>
        <v>-9.0821174788715681E-3</v>
      </c>
      <c r="E1290" s="26">
        <f>('Raw Price Data'!E1290-'Raw Price Data'!E1289)/'Raw Price Data'!E1289</f>
        <v>5.9517224594552685E-3</v>
      </c>
      <c r="F1290" s="26">
        <f>('Raw Price Data'!F1290-'Raw Price Data'!F1289)/'Raw Price Data'!F1289</f>
        <v>8.8207880386447623E-3</v>
      </c>
    </row>
    <row r="1291" spans="1:6" ht="15" customHeight="1" x14ac:dyDescent="0.3">
      <c r="A1291" s="21">
        <v>45271</v>
      </c>
      <c r="B1291" s="25">
        <f>('Raw Price Data'!B1291-'Raw Price Data'!B1290)/'Raw Price Data'!B1290</f>
        <v>-8.8573959255978732E-3</v>
      </c>
      <c r="C1291" s="25">
        <f>('Raw Price Data'!C1291-'Raw Price Data'!C1290)/'Raw Price Data'!C1290</f>
        <v>5.7127045192849222E-3</v>
      </c>
      <c r="D1291" s="25">
        <f>('Raw Price Data'!D1291-'Raw Price Data'!D1290)/'Raw Price Data'!D1290</f>
        <v>-5.0070013153985593E-3</v>
      </c>
      <c r="E1291" s="25">
        <f>('Raw Price Data'!E1291-'Raw Price Data'!E1290)/'Raw Price Data'!E1290</f>
        <v>9.8535169137376529E-3</v>
      </c>
      <c r="F1291" s="25">
        <f>('Raw Price Data'!F1291-'Raw Price Data'!F1290)/'Raw Price Data'!F1290</f>
        <v>-1.6547890748456063E-3</v>
      </c>
    </row>
    <row r="1292" spans="1:6" ht="15" customHeight="1" x14ac:dyDescent="0.3">
      <c r="A1292" s="19">
        <v>45272</v>
      </c>
      <c r="B1292" s="26">
        <f>('Raw Price Data'!B1292-'Raw Price Data'!B1291)/'Raw Price Data'!B1291</f>
        <v>1.6264521894548644E-2</v>
      </c>
      <c r="C1292" s="26">
        <f>('Raw Price Data'!C1292-'Raw Price Data'!C1291)/'Raw Price Data'!C1291</f>
        <v>-2.4709108821258482E-2</v>
      </c>
      <c r="D1292" s="26">
        <f>('Raw Price Data'!D1292-'Raw Price Data'!D1291)/'Raw Price Data'!D1291</f>
        <v>3.7954710222183733E-3</v>
      </c>
      <c r="E1292" s="26">
        <f>('Raw Price Data'!E1292-'Raw Price Data'!E1291)/'Raw Price Data'!E1291</f>
        <v>-1.3808424445702782E-2</v>
      </c>
      <c r="F1292" s="26">
        <f>('Raw Price Data'!F1292-'Raw Price Data'!F1291)/'Raw Price Data'!F1291</f>
        <v>1.0707551378040366E-2</v>
      </c>
    </row>
    <row r="1293" spans="1:6" ht="15" customHeight="1" x14ac:dyDescent="0.3">
      <c r="A1293" s="21">
        <v>45273</v>
      </c>
      <c r="B1293" s="25">
        <f>('Raw Price Data'!B1293-'Raw Price Data'!B1292)/'Raw Price Data'!B1292</f>
        <v>8.3538515652480019E-3</v>
      </c>
      <c r="C1293" s="25">
        <f>('Raw Price Data'!C1293-'Raw Price Data'!C1292)/'Raw Price Data'!C1292</f>
        <v>-1.5006324678988218E-2</v>
      </c>
      <c r="D1293" s="25">
        <f>('Raw Price Data'!D1293-'Raw Price Data'!D1292)/'Raw Price Data'!D1292</f>
        <v>-9.1341660293992929E-3</v>
      </c>
      <c r="E1293" s="25">
        <f>('Raw Price Data'!E1293-'Raw Price Data'!E1292)/'Raw Price Data'!E1292</f>
        <v>-4.6068904593639604E-2</v>
      </c>
      <c r="F1293" s="25">
        <f>('Raw Price Data'!F1293-'Raw Price Data'!F1292)/'Raw Price Data'!F1292</f>
        <v>-8.3080990285782225E-3</v>
      </c>
    </row>
    <row r="1294" spans="1:6" ht="15" customHeight="1" x14ac:dyDescent="0.3">
      <c r="A1294" s="19">
        <v>45274</v>
      </c>
      <c r="B1294" s="26">
        <f>('Raw Price Data'!B1294-'Raw Price Data'!B1293)/'Raw Price Data'!B1293</f>
        <v>1.0290398534926245E-2</v>
      </c>
      <c r="C1294" s="26">
        <f>('Raw Price Data'!C1294-'Raw Price Data'!C1293)/'Raw Price Data'!C1293</f>
        <v>3.7879487795413808E-2</v>
      </c>
      <c r="D1294" s="26">
        <f>('Raw Price Data'!D1294-'Raw Price Data'!D1293)/'Raw Price Data'!D1293</f>
        <v>-6.5600480212665664E-3</v>
      </c>
      <c r="E1294" s="26">
        <f>('Raw Price Data'!E1294-'Raw Price Data'!E1293)/'Raw Price Data'!E1293</f>
        <v>-3.6393943603278162E-2</v>
      </c>
      <c r="F1294" s="26">
        <f>('Raw Price Data'!F1294-'Raw Price Data'!F1293)/'Raw Price Data'!F1293</f>
        <v>5.2583661729496472E-3</v>
      </c>
    </row>
    <row r="1295" spans="1:6" ht="15" customHeight="1" x14ac:dyDescent="0.3">
      <c r="A1295" s="21">
        <v>45275</v>
      </c>
      <c r="B1295" s="25">
        <f>('Raw Price Data'!B1295-'Raw Price Data'!B1294)/'Raw Price Data'!B1294</f>
        <v>2.1406991799741079E-2</v>
      </c>
      <c r="C1295" s="25">
        <f>('Raw Price Data'!C1295-'Raw Price Data'!C1294)/'Raw Price Data'!C1294</f>
        <v>-1.4260535170645915E-2</v>
      </c>
      <c r="D1295" s="25">
        <f>('Raw Price Data'!D1295-'Raw Price Data'!D1294)/'Raw Price Data'!D1294</f>
        <v>-2.054380664652564E-2</v>
      </c>
      <c r="E1295" s="25">
        <f>('Raw Price Data'!E1295-'Raw Price Data'!E1294)/'Raw Price Data'!E1294</f>
        <v>7.1596751717840591E-3</v>
      </c>
      <c r="F1295" s="25">
        <f>('Raw Price Data'!F1295-'Raw Price Data'!F1294)/'Raw Price Data'!F1294</f>
        <v>3.4884422064246599E-3</v>
      </c>
    </row>
    <row r="1296" spans="1:6" ht="15" customHeight="1" x14ac:dyDescent="0.3">
      <c r="A1296" s="19">
        <v>45278</v>
      </c>
      <c r="B1296" s="26">
        <f>('Raw Price Data'!B1296-'Raw Price Data'!B1295)/'Raw Price Data'!B1295</f>
        <v>-4.0564522944308628E-3</v>
      </c>
      <c r="C1296" s="26">
        <f>('Raw Price Data'!C1296-'Raw Price Data'!C1295)/'Raw Price Data'!C1295</f>
        <v>-6.9218682271347748E-3</v>
      </c>
      <c r="D1296" s="26">
        <f>('Raw Price Data'!D1296-'Raw Price Data'!D1295)/'Raw Price Data'!D1295</f>
        <v>-5.9927734202872354E-3</v>
      </c>
      <c r="E1296" s="26">
        <f>('Raw Price Data'!E1296-'Raw Price Data'!E1295)/'Raw Price Data'!E1295</f>
        <v>-1.0424618320610698E-2</v>
      </c>
      <c r="F1296" s="26">
        <f>('Raw Price Data'!F1296-'Raw Price Data'!F1295)/'Raw Price Data'!F1295</f>
        <v>1.3217344365821278E-3</v>
      </c>
    </row>
    <row r="1297" spans="1:6" ht="15" customHeight="1" x14ac:dyDescent="0.3">
      <c r="A1297" s="21">
        <v>45279</v>
      </c>
      <c r="B1297" s="25">
        <f>('Raw Price Data'!B1297-'Raw Price Data'!B1296)/'Raw Price Data'!B1296</f>
        <v>-1.417055579125997E-2</v>
      </c>
      <c r="C1297" s="25">
        <f>('Raw Price Data'!C1297-'Raw Price Data'!C1296)/'Raw Price Data'!C1296</f>
        <v>-2.5279736654253886E-3</v>
      </c>
      <c r="D1297" s="25">
        <f>('Raw Price Data'!D1297-'Raw Price Data'!D1296)/'Raw Price Data'!D1296</f>
        <v>-2.7130064722049846E-2</v>
      </c>
      <c r="E1297" s="25">
        <f>('Raw Price Data'!E1297-'Raw Price Data'!E1296)/'Raw Price Data'!E1296</f>
        <v>-6.002458838560396E-3</v>
      </c>
      <c r="F1297" s="25">
        <f>('Raw Price Data'!F1297-'Raw Price Data'!F1296)/'Raw Price Data'!F1296</f>
        <v>1.8099469930708875E-2</v>
      </c>
    </row>
    <row r="1298" spans="1:6" ht="15" customHeight="1" x14ac:dyDescent="0.3">
      <c r="A1298" s="19">
        <v>45280</v>
      </c>
      <c r="B1298" s="26">
        <f>('Raw Price Data'!B1298-'Raw Price Data'!B1297)/'Raw Price Data'!B1297</f>
        <v>1.2050266827336818E-2</v>
      </c>
      <c r="C1298" s="26">
        <f>('Raw Price Data'!C1298-'Raw Price Data'!C1297)/'Raw Price Data'!C1297</f>
        <v>-4.3166517004507186E-3</v>
      </c>
      <c r="D1298" s="26">
        <f>('Raw Price Data'!D1298-'Raw Price Data'!D1297)/'Raw Price Data'!D1297</f>
        <v>-1.0024605850724583E-2</v>
      </c>
      <c r="E1298" s="26">
        <f>('Raw Price Data'!E1298-'Raw Price Data'!E1297)/'Raw Price Data'!E1297</f>
        <v>-3.1963913275452178E-2</v>
      </c>
      <c r="F1298" s="26">
        <f>('Raw Price Data'!F1298-'Raw Price Data'!F1297)/'Raw Price Data'!F1297</f>
        <v>6.3856860372991002E-3</v>
      </c>
    </row>
    <row r="1299" spans="1:6" ht="15" customHeight="1" x14ac:dyDescent="0.3">
      <c r="A1299" s="21">
        <v>45281</v>
      </c>
      <c r="B1299" s="25">
        <f>('Raw Price Data'!B1299-'Raw Price Data'!B1298)/'Raw Price Data'!B1298</f>
        <v>1.1311447525089287E-2</v>
      </c>
      <c r="C1299" s="25">
        <f>('Raw Price Data'!C1299-'Raw Price Data'!C1298)/'Raw Price Data'!C1298</f>
        <v>2.1882839824937154E-2</v>
      </c>
      <c r="D1299" s="25">
        <f>('Raw Price Data'!D1299-'Raw Price Data'!D1298)/'Raw Price Data'!D1298</f>
        <v>8.9293933535855557E-3</v>
      </c>
      <c r="E1299" s="25">
        <f>('Raw Price Data'!E1299-'Raw Price Data'!E1298)/'Raw Price Data'!E1298</f>
        <v>-1.4655777131977209E-2</v>
      </c>
      <c r="F1299" s="25">
        <f>('Raw Price Data'!F1299-'Raw Price Data'!F1298)/'Raw Price Data'!F1298</f>
        <v>3.3899268077793813E-3</v>
      </c>
    </row>
    <row r="1300" spans="1:6" ht="15" customHeight="1" x14ac:dyDescent="0.3">
      <c r="A1300" s="19">
        <v>45282</v>
      </c>
      <c r="B1300" s="26">
        <f>('Raw Price Data'!B1300-'Raw Price Data'!B1299)/'Raw Price Data'!B1299</f>
        <v>-4.2048608191068877E-3</v>
      </c>
      <c r="C1300" s="26">
        <f>('Raw Price Data'!C1300-'Raw Price Data'!C1299)/'Raw Price Data'!C1299</f>
        <v>-9.4975270589921067E-3</v>
      </c>
      <c r="D1300" s="26">
        <f>('Raw Price Data'!D1300-'Raw Price Data'!D1299)/'Raw Price Data'!D1299</f>
        <v>3.102189781021929E-3</v>
      </c>
      <c r="E1300" s="26">
        <f>('Raw Price Data'!E1300-'Raw Price Data'!E1299)/'Raw Price Data'!E1299</f>
        <v>2.7205003686659205E-3</v>
      </c>
      <c r="F1300" s="26">
        <f>('Raw Price Data'!F1300-'Raw Price Data'!F1299)/'Raw Price Data'!F1299</f>
        <v>1.28093847965953E-2</v>
      </c>
    </row>
    <row r="1301" spans="1:6" ht="15" customHeight="1" x14ac:dyDescent="0.3">
      <c r="A1301" s="21">
        <v>45285</v>
      </c>
      <c r="B1301" s="25">
        <f>('Raw Price Data'!B1301-'Raw Price Data'!B1300)/'Raw Price Data'!B1300</f>
        <v>-1.7228274638966236E-2</v>
      </c>
      <c r="C1301" s="25">
        <f>('Raw Price Data'!C1301-'Raw Price Data'!C1300)/'Raw Price Data'!C1300</f>
        <v>1.5676448239678627E-2</v>
      </c>
      <c r="D1301" s="25">
        <f>('Raw Price Data'!D1301-'Raw Price Data'!D1300)/'Raw Price Data'!D1300</f>
        <v>-2.0920502092050572E-3</v>
      </c>
      <c r="E1301" s="25">
        <f>('Raw Price Data'!E1301-'Raw Price Data'!E1300)/'Raw Price Data'!E1300</f>
        <v>1.2424565140220323E-3</v>
      </c>
      <c r="F1301" s="25">
        <f>('Raw Price Data'!F1301-'Raw Price Data'!F1300)/'Raw Price Data'!F1300</f>
        <v>4.742647699394721E-3</v>
      </c>
    </row>
    <row r="1302" spans="1:6" ht="15" customHeight="1" x14ac:dyDescent="0.3">
      <c r="A1302" s="19">
        <v>45286</v>
      </c>
      <c r="B1302" s="26">
        <f>('Raw Price Data'!B1302-'Raw Price Data'!B1301)/'Raw Price Data'!B1301</f>
        <v>1.7530291312193795E-2</v>
      </c>
      <c r="C1302" s="26">
        <f>('Raw Price Data'!C1302-'Raw Price Data'!C1301)/'Raw Price Data'!C1301</f>
        <v>-1.449488337296592E-2</v>
      </c>
      <c r="D1302" s="26">
        <f>('Raw Price Data'!D1302-'Raw Price Data'!D1301)/'Raw Price Data'!D1301</f>
        <v>-3.1446540880503042E-3</v>
      </c>
      <c r="E1302" s="26">
        <f>('Raw Price Data'!E1302-'Raw Price Data'!E1301)/'Raw Price Data'!E1301</f>
        <v>-1.9930610074201646E-2</v>
      </c>
      <c r="F1302" s="26">
        <f>('Raw Price Data'!F1302-'Raw Price Data'!F1301)/'Raw Price Data'!F1301</f>
        <v>-2.4851403243889144E-3</v>
      </c>
    </row>
    <row r="1303" spans="1:6" ht="15" customHeight="1" x14ac:dyDescent="0.3">
      <c r="A1303" s="21">
        <v>45287</v>
      </c>
      <c r="B1303" s="25">
        <f>('Raw Price Data'!B1303-'Raw Price Data'!B1302)/'Raw Price Data'!B1302</f>
        <v>8.2763280128367867E-3</v>
      </c>
      <c r="C1303" s="25">
        <f>('Raw Price Data'!C1303-'Raw Price Data'!C1302)/'Raw Price Data'!C1302</f>
        <v>1.4233621168783635E-2</v>
      </c>
      <c r="D1303" s="25">
        <f>('Raw Price Data'!D1303-'Raw Price Data'!D1302)/'Raw Price Data'!D1302</f>
        <v>1.4584190554564979E-2</v>
      </c>
      <c r="E1303" s="25">
        <f>('Raw Price Data'!E1303-'Raw Price Data'!E1302)/'Raw Price Data'!E1302</f>
        <v>-2.1343669250645972E-2</v>
      </c>
      <c r="F1303" s="25">
        <f>('Raw Price Data'!F1303-'Raw Price Data'!F1302)/'Raw Price Data'!F1302</f>
        <v>1.1344814740522079E-2</v>
      </c>
    </row>
    <row r="1304" spans="1:6" ht="15" customHeight="1" x14ac:dyDescent="0.3">
      <c r="A1304" s="19">
        <v>45288</v>
      </c>
      <c r="B1304" s="26">
        <f>('Raw Price Data'!B1304-'Raw Price Data'!B1303)/'Raw Price Data'!B1303</f>
        <v>-1.8678281263087394E-2</v>
      </c>
      <c r="C1304" s="26">
        <f>('Raw Price Data'!C1304-'Raw Price Data'!C1303)/'Raw Price Data'!C1303</f>
        <v>-3.1810101712133401E-3</v>
      </c>
      <c r="D1304" s="26">
        <f>('Raw Price Data'!D1304-'Raw Price Data'!D1303)/'Raw Price Data'!D1303</f>
        <v>-1.8159697188175925E-2</v>
      </c>
      <c r="E1304" s="26">
        <f>('Raw Price Data'!E1304-'Raw Price Data'!E1303)/'Raw Price Data'!E1303</f>
        <v>3.6911865659819451E-2</v>
      </c>
      <c r="F1304" s="26">
        <f>('Raw Price Data'!F1304-'Raw Price Data'!F1303)/'Raw Price Data'!F1303</f>
        <v>2.5678063670974517E-2</v>
      </c>
    </row>
    <row r="1305" spans="1:6" ht="15" customHeight="1" x14ac:dyDescent="0.3">
      <c r="A1305" s="21">
        <v>45289</v>
      </c>
      <c r="B1305" s="25">
        <f>('Raw Price Data'!B1305-'Raw Price Data'!B1304)/'Raw Price Data'!B1304</f>
        <v>1.1095937179924865E-2</v>
      </c>
      <c r="C1305" s="25">
        <f>('Raw Price Data'!C1305-'Raw Price Data'!C1304)/'Raw Price Data'!C1304</f>
        <v>-2.4894633575127307E-3</v>
      </c>
      <c r="D1305" s="25">
        <f>('Raw Price Data'!D1305-'Raw Price Data'!D1304)/'Raw Price Data'!D1304</f>
        <v>7.3890495204002654E-3</v>
      </c>
      <c r="E1305" s="25">
        <f>('Raw Price Data'!E1305-'Raw Price Data'!E1304)/'Raw Price Data'!E1304</f>
        <v>-4.2523935628437969E-3</v>
      </c>
      <c r="F1305" s="25">
        <f>('Raw Price Data'!F1305-'Raw Price Data'!F1304)/'Raw Price Data'!F1304</f>
        <v>-5.966622055433031E-3</v>
      </c>
    </row>
    <row r="1306" spans="1:6" ht="15" customHeight="1" x14ac:dyDescent="0.3">
      <c r="A1306" s="19">
        <v>45292</v>
      </c>
      <c r="B1306" s="26">
        <f>('Raw Price Data'!B1306-'Raw Price Data'!B1305)/'Raw Price Data'!B1305</f>
        <v>-1.9669086611514421E-2</v>
      </c>
      <c r="C1306" s="26">
        <f>('Raw Price Data'!C1306-'Raw Price Data'!C1305)/'Raw Price Data'!C1305</f>
        <v>-9.6780263995067299E-4</v>
      </c>
      <c r="D1306" s="26">
        <f>('Raw Price Data'!D1306-'Raw Price Data'!D1305)/'Raw Price Data'!D1305</f>
        <v>-1.0888382687927045E-2</v>
      </c>
      <c r="E1306" s="26">
        <f>('Raw Price Data'!E1306-'Raw Price Data'!E1305)/'Raw Price Data'!E1305</f>
        <v>-1.5854750031965338E-3</v>
      </c>
      <c r="F1306" s="26">
        <f>('Raw Price Data'!F1306-'Raw Price Data'!F1305)/'Raw Price Data'!F1305</f>
        <v>7.6602485421423741E-3</v>
      </c>
    </row>
    <row r="1307" spans="1:6" ht="15" customHeight="1" x14ac:dyDescent="0.3">
      <c r="A1307" s="21">
        <v>45293</v>
      </c>
      <c r="B1307" s="25">
        <f>('Raw Price Data'!B1307-'Raw Price Data'!B1306)/'Raw Price Data'!B1306</f>
        <v>-6.3721691208128385E-3</v>
      </c>
      <c r="C1307" s="25">
        <f>('Raw Price Data'!C1307-'Raw Price Data'!C1306)/'Raw Price Data'!C1306</f>
        <v>1.0301834327488118E-2</v>
      </c>
      <c r="D1307" s="25">
        <f>('Raw Price Data'!D1307-'Raw Price Data'!D1306)/'Raw Price Data'!D1306</f>
        <v>4.7441389157568637E-3</v>
      </c>
      <c r="E1307" s="25">
        <f>('Raw Price Data'!E1307-'Raw Price Data'!E1306)/'Raw Price Data'!E1306</f>
        <v>-2.4870015111543631E-2</v>
      </c>
      <c r="F1307" s="25">
        <f>('Raw Price Data'!F1307-'Raw Price Data'!F1306)/'Raw Price Data'!F1306</f>
        <v>1.9000441455970657E-3</v>
      </c>
    </row>
    <row r="1308" spans="1:6" ht="15" customHeight="1" x14ac:dyDescent="0.3">
      <c r="A1308" s="19">
        <v>45294</v>
      </c>
      <c r="B1308" s="26">
        <f>('Raw Price Data'!B1308-'Raw Price Data'!B1307)/'Raw Price Data'!B1307</f>
        <v>-1.5252621544327976E-2</v>
      </c>
      <c r="C1308" s="26">
        <f>('Raw Price Data'!C1308-'Raw Price Data'!C1307)/'Raw Price Data'!C1307</f>
        <v>-2.0455725871965234E-2</v>
      </c>
      <c r="D1308" s="26">
        <f>('Raw Price Data'!D1308-'Raw Price Data'!D1307)/'Raw Price Data'!D1307</f>
        <v>-1.9712111488034219E-3</v>
      </c>
      <c r="E1308" s="26">
        <f>('Raw Price Data'!E1308-'Raw Price Data'!E1307)/'Raw Price Data'!E1307</f>
        <v>-1.4288716116831409E-2</v>
      </c>
      <c r="F1308" s="26">
        <f>('Raw Price Data'!F1308-'Raw Price Data'!F1307)/'Raw Price Data'!F1307</f>
        <v>1.432515683624299E-3</v>
      </c>
    </row>
    <row r="1309" spans="1:6" ht="15" customHeight="1" x14ac:dyDescent="0.3">
      <c r="A1309" s="21">
        <v>45295</v>
      </c>
      <c r="B1309" s="25">
        <f>('Raw Price Data'!B1309-'Raw Price Data'!B1308)/'Raw Price Data'!B1308</f>
        <v>-8.5364780427703863E-3</v>
      </c>
      <c r="C1309" s="25">
        <f>('Raw Price Data'!C1309-'Raw Price Data'!C1308)/'Raw Price Data'!C1308</f>
        <v>-1.6523232680289511E-2</v>
      </c>
      <c r="D1309" s="25">
        <f>('Raw Price Data'!D1309-'Raw Price Data'!D1308)/'Raw Price Data'!D1308</f>
        <v>-8.1760139635294708E-3</v>
      </c>
      <c r="E1309" s="25">
        <f>('Raw Price Data'!E1309-'Raw Price Data'!E1308)/'Raw Price Data'!E1308</f>
        <v>-4.769771903645182E-3</v>
      </c>
      <c r="F1309" s="25">
        <f>('Raw Price Data'!F1309-'Raw Price Data'!F1308)/'Raw Price Data'!F1308</f>
        <v>-2.1025622136570162E-2</v>
      </c>
    </row>
    <row r="1310" spans="1:6" ht="15" customHeight="1" x14ac:dyDescent="0.3">
      <c r="A1310" s="19">
        <v>45296</v>
      </c>
      <c r="B1310" s="26">
        <f>('Raw Price Data'!B1310-'Raw Price Data'!B1309)/'Raw Price Data'!B1309</f>
        <v>-1.1184093733356923E-2</v>
      </c>
      <c r="C1310" s="26">
        <f>('Raw Price Data'!C1310-'Raw Price Data'!C1309)/'Raw Price Data'!C1309</f>
        <v>3.6527765617727963E-2</v>
      </c>
      <c r="D1310" s="26">
        <f>('Raw Price Data'!D1310-'Raw Price Data'!D1309)/'Raw Price Data'!D1309</f>
        <v>5.3258000277868088E-3</v>
      </c>
      <c r="E1310" s="26">
        <f>('Raw Price Data'!E1310-'Raw Price Data'!E1309)/'Raw Price Data'!E1309</f>
        <v>-2.1258935982221741E-2</v>
      </c>
      <c r="F1310" s="26">
        <f>('Raw Price Data'!F1310-'Raw Price Data'!F1309)/'Raw Price Data'!F1309</f>
        <v>-6.8540729752117049E-3</v>
      </c>
    </row>
    <row r="1311" spans="1:6" ht="15" customHeight="1" x14ac:dyDescent="0.3">
      <c r="A1311" s="21">
        <v>45299</v>
      </c>
      <c r="B1311" s="25">
        <f>('Raw Price Data'!B1311-'Raw Price Data'!B1310)/'Raw Price Data'!B1310</f>
        <v>-8.1687612208259496E-3</v>
      </c>
      <c r="C1311" s="25">
        <f>('Raw Price Data'!C1311-'Raw Price Data'!C1310)/'Raw Price Data'!C1310</f>
        <v>9.5314306037165702E-3</v>
      </c>
      <c r="D1311" s="25">
        <f>('Raw Price Data'!D1311-'Raw Price Data'!D1310)/'Raw Price Data'!D1310</f>
        <v>-9.7659848903630195E-3</v>
      </c>
      <c r="E1311" s="25">
        <f>('Raw Price Data'!E1311-'Raw Price Data'!E1310)/'Raw Price Data'!E1310</f>
        <v>2.1884831076460437E-3</v>
      </c>
      <c r="F1311" s="25">
        <f>('Raw Price Data'!F1311-'Raw Price Data'!F1310)/'Raw Price Data'!F1310</f>
        <v>-8.7497966774407222E-3</v>
      </c>
    </row>
    <row r="1312" spans="1:6" ht="15" customHeight="1" x14ac:dyDescent="0.3">
      <c r="A1312" s="19">
        <v>45300</v>
      </c>
      <c r="B1312" s="26">
        <f>('Raw Price Data'!B1312-'Raw Price Data'!B1311)/'Raw Price Data'!B1311</f>
        <v>1.0317675807765414E-2</v>
      </c>
      <c r="C1312" s="26">
        <f>('Raw Price Data'!C1312-'Raw Price Data'!C1311)/'Raw Price Data'!C1311</f>
        <v>-5.768790403551269E-3</v>
      </c>
      <c r="D1312" s="26">
        <f>('Raw Price Data'!D1312-'Raw Price Data'!D1311)/'Raw Price Data'!D1311</f>
        <v>-1.8701153703014561E-2</v>
      </c>
      <c r="E1312" s="26">
        <f>('Raw Price Data'!E1312-'Raw Price Data'!E1311)/'Raw Price Data'!E1311</f>
        <v>-2.1373003957963807E-2</v>
      </c>
      <c r="F1312" s="26">
        <f>('Raw Price Data'!F1312-'Raw Price Data'!F1311)/'Raw Price Data'!F1311</f>
        <v>1.6627858379604715E-2</v>
      </c>
    </row>
    <row r="1313" spans="1:6" ht="15" customHeight="1" x14ac:dyDescent="0.3">
      <c r="A1313" s="21">
        <v>45301</v>
      </c>
      <c r="B1313" s="25">
        <f>('Raw Price Data'!B1313-'Raw Price Data'!B1312)/'Raw Price Data'!B1312</f>
        <v>4.3895010301890991E-3</v>
      </c>
      <c r="C1313" s="25">
        <f>('Raw Price Data'!C1313-'Raw Price Data'!C1312)/'Raw Price Data'!C1312</f>
        <v>1.1918998644662499E-2</v>
      </c>
      <c r="D1313" s="25">
        <f>('Raw Price Data'!D1313-'Raw Price Data'!D1312)/'Raw Price Data'!D1312</f>
        <v>-7.2532473689200776E-3</v>
      </c>
      <c r="E1313" s="25">
        <f>('Raw Price Data'!E1313-'Raw Price Data'!E1312)/'Raw Price Data'!E1312</f>
        <v>-1.3611514002008244E-2</v>
      </c>
      <c r="F1313" s="25">
        <f>('Raw Price Data'!F1313-'Raw Price Data'!F1312)/'Raw Price Data'!F1312</f>
        <v>-1.2329437113249719E-2</v>
      </c>
    </row>
    <row r="1314" spans="1:6" ht="15" customHeight="1" x14ac:dyDescent="0.3">
      <c r="A1314" s="19">
        <v>45302</v>
      </c>
      <c r="B1314" s="26">
        <f>('Raw Price Data'!B1314-'Raw Price Data'!B1313)/'Raw Price Data'!B1313</f>
        <v>9.0082054941133683E-3</v>
      </c>
      <c r="C1314" s="26">
        <f>('Raw Price Data'!C1314-'Raw Price Data'!C1313)/'Raw Price Data'!C1313</f>
        <v>-4.6396603418464335E-4</v>
      </c>
      <c r="D1314" s="26">
        <f>('Raw Price Data'!D1314-'Raw Price Data'!D1313)/'Raw Price Data'!D1313</f>
        <v>-1.9340050618404006E-2</v>
      </c>
      <c r="E1314" s="26">
        <f>('Raw Price Data'!E1314-'Raw Price Data'!E1313)/'Raw Price Data'!E1313</f>
        <v>-1.4591109602985998E-2</v>
      </c>
      <c r="F1314" s="26">
        <f>('Raw Price Data'!F1314-'Raw Price Data'!F1313)/'Raw Price Data'!F1313</f>
        <v>1.5423861243006116E-2</v>
      </c>
    </row>
    <row r="1315" spans="1:6" ht="15" customHeight="1" x14ac:dyDescent="0.3">
      <c r="A1315" s="21">
        <v>45303</v>
      </c>
      <c r="B1315" s="25">
        <f>('Raw Price Data'!B1315-'Raw Price Data'!B1314)/'Raw Price Data'!B1314</f>
        <v>1.5468929550075136E-2</v>
      </c>
      <c r="C1315" s="25">
        <f>('Raw Price Data'!C1315-'Raw Price Data'!C1314)/'Raw Price Data'!C1314</f>
        <v>-3.9118230505475991E-2</v>
      </c>
      <c r="D1315" s="25">
        <f>('Raw Price Data'!D1315-'Raw Price Data'!D1314)/'Raw Price Data'!D1314</f>
        <v>2.678223607323641E-3</v>
      </c>
      <c r="E1315" s="25">
        <f>('Raw Price Data'!E1315-'Raw Price Data'!E1314)/'Raw Price Data'!E1314</f>
        <v>-3.0905647382920221E-2</v>
      </c>
      <c r="F1315" s="25">
        <f>('Raw Price Data'!F1315-'Raw Price Data'!F1314)/'Raw Price Data'!F1314</f>
        <v>-1.0393566924392261E-2</v>
      </c>
    </row>
    <row r="1316" spans="1:6" ht="15" customHeight="1" x14ac:dyDescent="0.3">
      <c r="A1316" s="19">
        <v>45306</v>
      </c>
      <c r="B1316" s="26">
        <f>('Raw Price Data'!B1316-'Raw Price Data'!B1315)/'Raw Price Data'!B1315</f>
        <v>-4.787604456824488E-3</v>
      </c>
      <c r="C1316" s="26">
        <f>('Raw Price Data'!C1316-'Raw Price Data'!C1315)/'Raw Price Data'!C1315</f>
        <v>3.4407955301558276E-3</v>
      </c>
      <c r="D1316" s="26">
        <f>('Raw Price Data'!D1316-'Raw Price Data'!D1315)/'Raw Price Data'!D1315</f>
        <v>-9.1787674226603191E-3</v>
      </c>
      <c r="E1316" s="26">
        <f>('Raw Price Data'!E1316-'Raw Price Data'!E1315)/'Raw Price Data'!E1315</f>
        <v>-2.9344704036007134E-2</v>
      </c>
      <c r="F1316" s="26">
        <f>('Raw Price Data'!F1316-'Raw Price Data'!F1315)/'Raw Price Data'!F1315</f>
        <v>-1.614079218216428E-3</v>
      </c>
    </row>
    <row r="1317" spans="1:6" ht="15" customHeight="1" x14ac:dyDescent="0.3">
      <c r="A1317" s="21">
        <v>45307</v>
      </c>
      <c r="B1317" s="25">
        <f>('Raw Price Data'!B1317-'Raw Price Data'!B1316)/'Raw Price Data'!B1316</f>
        <v>1.3994577101372921E-3</v>
      </c>
      <c r="C1317" s="25">
        <f>('Raw Price Data'!C1317-'Raw Price Data'!C1316)/'Raw Price Data'!C1316</f>
        <v>-1.5532675389793274E-3</v>
      </c>
      <c r="D1317" s="25">
        <f>('Raw Price Data'!D1317-'Raw Price Data'!D1316)/'Raw Price Data'!D1316</f>
        <v>-1.9507891383197813E-2</v>
      </c>
      <c r="E1317" s="25">
        <f>('Raw Price Data'!E1317-'Raw Price Data'!E1316)/'Raw Price Data'!E1316</f>
        <v>2.7455765710798575E-3</v>
      </c>
      <c r="F1317" s="25">
        <f>('Raw Price Data'!F1317-'Raw Price Data'!F1316)/'Raw Price Data'!F1316</f>
        <v>-4.2096194958499153E-3</v>
      </c>
    </row>
    <row r="1318" spans="1:6" ht="15" customHeight="1" x14ac:dyDescent="0.3">
      <c r="A1318" s="19">
        <v>45308</v>
      </c>
      <c r="B1318" s="26">
        <f>('Raw Price Data'!B1318-'Raw Price Data'!B1317)/'Raw Price Data'!B1317</f>
        <v>7.7736046816315888E-3</v>
      </c>
      <c r="C1318" s="26">
        <f>('Raw Price Data'!C1318-'Raw Price Data'!C1317)/'Raw Price Data'!C1317</f>
        <v>6.7549433903901996E-3</v>
      </c>
      <c r="D1318" s="26">
        <f>('Raw Price Data'!D1318-'Raw Price Data'!D1317)/'Raw Price Data'!D1317</f>
        <v>6.1487702459509007E-3</v>
      </c>
      <c r="E1318" s="26">
        <f>('Raw Price Data'!E1318-'Raw Price Data'!E1317)/'Raw Price Data'!E1317</f>
        <v>-1.9014298752662001E-2</v>
      </c>
      <c r="F1318" s="26">
        <f>('Raw Price Data'!F1318-'Raw Price Data'!F1317)/'Raw Price Data'!F1317</f>
        <v>-5.9491269559045924E-3</v>
      </c>
    </row>
    <row r="1319" spans="1:6" ht="15" customHeight="1" x14ac:dyDescent="0.3">
      <c r="A1319" s="21">
        <v>45309</v>
      </c>
      <c r="B1319" s="25">
        <f>('Raw Price Data'!B1319-'Raw Price Data'!B1318)/'Raw Price Data'!B1318</f>
        <v>2.3920956838273576E-2</v>
      </c>
      <c r="C1319" s="25">
        <f>('Raw Price Data'!C1319-'Raw Price Data'!C1318)/'Raw Price Data'!C1318</f>
        <v>-1.3071334333375432E-2</v>
      </c>
      <c r="D1319" s="25">
        <f>('Raw Price Data'!D1319-'Raw Price Data'!D1318)/'Raw Price Data'!D1318</f>
        <v>6.7074079594574166E-3</v>
      </c>
      <c r="E1319" s="25">
        <f>('Raw Price Data'!E1319-'Raw Price Data'!E1318)/'Raw Price Data'!E1318</f>
        <v>-3.0082183284229199E-3</v>
      </c>
      <c r="F1319" s="25">
        <f>('Raw Price Data'!F1319-'Raw Price Data'!F1318)/'Raw Price Data'!F1318</f>
        <v>-1.7317295996189325E-2</v>
      </c>
    </row>
    <row r="1320" spans="1:6" ht="15" customHeight="1" x14ac:dyDescent="0.3">
      <c r="A1320" s="19">
        <v>45310</v>
      </c>
      <c r="B1320" s="26">
        <f>('Raw Price Data'!B1320-'Raw Price Data'!B1319)/'Raw Price Data'!B1319</f>
        <v>1.278144574233964E-2</v>
      </c>
      <c r="C1320" s="26">
        <f>('Raw Price Data'!C1320-'Raw Price Data'!C1319)/'Raw Price Data'!C1319</f>
        <v>-3.2916573197028145E-3</v>
      </c>
      <c r="D1320" s="26">
        <f>('Raw Price Data'!D1320-'Raw Price Data'!D1319)/'Raw Price Data'!D1319</f>
        <v>-2.5170269469943288E-3</v>
      </c>
      <c r="E1320" s="26">
        <f>('Raw Price Data'!E1320-'Raw Price Data'!E1319)/'Raw Price Data'!E1319</f>
        <v>-2.2707477914645333E-3</v>
      </c>
      <c r="F1320" s="26">
        <f>('Raw Price Data'!F1320-'Raw Price Data'!F1319)/'Raw Price Data'!F1319</f>
        <v>1.6127911787329547E-2</v>
      </c>
    </row>
    <row r="1321" spans="1:6" ht="15" customHeight="1" x14ac:dyDescent="0.3">
      <c r="A1321" s="21">
        <v>45313</v>
      </c>
      <c r="B1321" s="25">
        <f>('Raw Price Data'!B1321-'Raw Price Data'!B1320)/'Raw Price Data'!B1320</f>
        <v>1.9473464270789789E-2</v>
      </c>
      <c r="C1321" s="25">
        <f>('Raw Price Data'!C1321-'Raw Price Data'!C1320)/'Raw Price Data'!C1320</f>
        <v>2.0738406702432613E-2</v>
      </c>
      <c r="D1321" s="25">
        <f>('Raw Price Data'!D1321-'Raw Price Data'!D1320)/'Raw Price Data'!D1320</f>
        <v>-4.205630597199657E-3</v>
      </c>
      <c r="E1321" s="25">
        <f>('Raw Price Data'!E1321-'Raw Price Data'!E1320)/'Raw Price Data'!E1320</f>
        <v>6.7342166796571321E-3</v>
      </c>
      <c r="F1321" s="25">
        <f>('Raw Price Data'!F1321-'Raw Price Data'!F1320)/'Raw Price Data'!F1320</f>
        <v>1.3103275350965955E-2</v>
      </c>
    </row>
    <row r="1322" spans="1:6" ht="15" customHeight="1" x14ac:dyDescent="0.3">
      <c r="A1322" s="19">
        <v>45314</v>
      </c>
      <c r="B1322" s="26">
        <f>('Raw Price Data'!B1322-'Raw Price Data'!B1321)/'Raw Price Data'!B1321</f>
        <v>1.4428594851614945E-2</v>
      </c>
      <c r="C1322" s="26">
        <f>('Raw Price Data'!C1322-'Raw Price Data'!C1321)/'Raw Price Data'!C1321</f>
        <v>-2.0654555927048222E-3</v>
      </c>
      <c r="D1322" s="26">
        <f>('Raw Price Data'!D1322-'Raw Price Data'!D1321)/'Raw Price Data'!D1321</f>
        <v>1.4806717678624756E-2</v>
      </c>
      <c r="E1322" s="26">
        <f>('Raw Price Data'!E1322-'Raw Price Data'!E1321)/'Raw Price Data'!E1321</f>
        <v>1.5824842835464856E-2</v>
      </c>
      <c r="F1322" s="26">
        <f>('Raw Price Data'!F1322-'Raw Price Data'!F1321)/'Raw Price Data'!F1321</f>
        <v>1.4013517578959994E-2</v>
      </c>
    </row>
    <row r="1323" spans="1:6" ht="15" customHeight="1" x14ac:dyDescent="0.3">
      <c r="A1323" s="21">
        <v>45315</v>
      </c>
      <c r="B1323" s="25">
        <f>('Raw Price Data'!B1323-'Raw Price Data'!B1322)/'Raw Price Data'!B1322</f>
        <v>1.5031517698399867E-2</v>
      </c>
      <c r="C1323" s="25">
        <f>('Raw Price Data'!C1323-'Raw Price Data'!C1322)/'Raw Price Data'!C1322</f>
        <v>-6.9712492334331544E-3</v>
      </c>
      <c r="D1323" s="25">
        <f>('Raw Price Data'!D1323-'Raw Price Data'!D1322)/'Raw Price Data'!D1322</f>
        <v>-3.8679984332159246E-3</v>
      </c>
      <c r="E1323" s="25">
        <f>('Raw Price Data'!E1323-'Raw Price Data'!E1322)/'Raw Price Data'!E1322</f>
        <v>-1.1767575147856707E-2</v>
      </c>
      <c r="F1323" s="25">
        <f>('Raw Price Data'!F1323-'Raw Price Data'!F1322)/'Raw Price Data'!F1322</f>
        <v>1.1320147933751391E-2</v>
      </c>
    </row>
    <row r="1324" spans="1:6" ht="15" customHeight="1" x14ac:dyDescent="0.3">
      <c r="A1324" s="19">
        <v>45316</v>
      </c>
      <c r="B1324" s="26">
        <f>('Raw Price Data'!B1324-'Raw Price Data'!B1323)/'Raw Price Data'!B1323</f>
        <v>-2.4442675159235615E-2</v>
      </c>
      <c r="C1324" s="26">
        <f>('Raw Price Data'!C1324-'Raw Price Data'!C1323)/'Raw Price Data'!C1323</f>
        <v>7.0338113358339484E-3</v>
      </c>
      <c r="D1324" s="26">
        <f>('Raw Price Data'!D1324-'Raw Price Data'!D1323)/'Raw Price Data'!D1323</f>
        <v>4.4236913246498196E-3</v>
      </c>
      <c r="E1324" s="26">
        <f>('Raw Price Data'!E1324-'Raw Price Data'!E1323)/'Raw Price Data'!E1323</f>
        <v>-2.1285784797630904E-2</v>
      </c>
      <c r="F1324" s="26">
        <f>('Raw Price Data'!F1324-'Raw Price Data'!F1323)/'Raw Price Data'!F1323</f>
        <v>1.0698062305400206E-2</v>
      </c>
    </row>
    <row r="1325" spans="1:6" ht="15" customHeight="1" x14ac:dyDescent="0.3">
      <c r="A1325" s="21">
        <v>45317</v>
      </c>
      <c r="B1325" s="25">
        <f>('Raw Price Data'!B1325-'Raw Price Data'!B1324)/'Raw Price Data'!B1324</f>
        <v>1.2486737941728566E-2</v>
      </c>
      <c r="C1325" s="25">
        <f>('Raw Price Data'!C1325-'Raw Price Data'!C1324)/'Raw Price Data'!C1324</f>
        <v>-6.3579097357183353E-3</v>
      </c>
      <c r="D1325" s="25">
        <f>('Raw Price Data'!D1325-'Raw Price Data'!D1324)/'Raw Price Data'!D1324</f>
        <v>-1.7470026914607258E-2</v>
      </c>
      <c r="E1325" s="25">
        <f>('Raw Price Data'!E1325-'Raw Price Data'!E1324)/'Raw Price Data'!E1324</f>
        <v>4.1606253545987308E-3</v>
      </c>
      <c r="F1325" s="25">
        <f>('Raw Price Data'!F1325-'Raw Price Data'!F1324)/'Raw Price Data'!F1324</f>
        <v>1.4432033859219205E-2</v>
      </c>
    </row>
    <row r="1326" spans="1:6" ht="15" customHeight="1" x14ac:dyDescent="0.3">
      <c r="A1326" s="19">
        <v>45320</v>
      </c>
      <c r="B1326" s="26">
        <f>('Raw Price Data'!B1326-'Raw Price Data'!B1325)/'Raw Price Data'!B1325</f>
        <v>3.3048524907302642E-3</v>
      </c>
      <c r="C1326" s="26">
        <f>('Raw Price Data'!C1326-'Raw Price Data'!C1325)/'Raw Price Data'!C1325</f>
        <v>1.9431750627379486E-2</v>
      </c>
      <c r="D1326" s="26">
        <f>('Raw Price Data'!D1326-'Raw Price Data'!D1325)/'Raw Price Data'!D1325</f>
        <v>9.2140651459308408E-3</v>
      </c>
      <c r="E1326" s="26">
        <f>('Raw Price Data'!E1326-'Raw Price Data'!E1325)/'Raw Price Data'!E1325</f>
        <v>1.6636323686358249E-2</v>
      </c>
      <c r="F1326" s="26">
        <f>('Raw Price Data'!F1326-'Raw Price Data'!F1325)/'Raw Price Data'!F1325</f>
        <v>-8.307446888042096E-3</v>
      </c>
    </row>
    <row r="1327" spans="1:6" ht="15" customHeight="1" x14ac:dyDescent="0.3">
      <c r="A1327" s="21">
        <v>45321</v>
      </c>
      <c r="B1327" s="25">
        <f>('Raw Price Data'!B1327-'Raw Price Data'!B1326)/'Raw Price Data'!B1326</f>
        <v>1.0444283763155415E-3</v>
      </c>
      <c r="C1327" s="25">
        <f>('Raw Price Data'!C1327-'Raw Price Data'!C1326)/'Raw Price Data'!C1326</f>
        <v>-2.483941186682838E-3</v>
      </c>
      <c r="D1327" s="25">
        <f>('Raw Price Data'!D1327-'Raw Price Data'!D1326)/'Raw Price Data'!D1326</f>
        <v>-1.8753392883580687E-3</v>
      </c>
      <c r="E1327" s="25">
        <f>('Raw Price Data'!E1327-'Raw Price Data'!E1326)/'Raw Price Data'!E1326</f>
        <v>-6.0516240582931318E-3</v>
      </c>
      <c r="F1327" s="25">
        <f>('Raw Price Data'!F1327-'Raw Price Data'!F1326)/'Raw Price Data'!F1326</f>
        <v>6.8315403153800039E-3</v>
      </c>
    </row>
    <row r="1328" spans="1:6" ht="15" customHeight="1" x14ac:dyDescent="0.3">
      <c r="A1328" s="19">
        <v>45322</v>
      </c>
      <c r="B1328" s="26">
        <f>('Raw Price Data'!B1328-'Raw Price Data'!B1327)/'Raw Price Data'!B1327</f>
        <v>-6.9823434991973547E-3</v>
      </c>
      <c r="C1328" s="26">
        <f>('Raw Price Data'!C1328-'Raw Price Data'!C1327)/'Raw Price Data'!C1327</f>
        <v>7.0062699422095516E-3</v>
      </c>
      <c r="D1328" s="26">
        <f>('Raw Price Data'!D1328-'Raw Price Data'!D1327)/'Raw Price Data'!D1327</f>
        <v>8.553770086526526E-3</v>
      </c>
      <c r="E1328" s="26">
        <f>('Raw Price Data'!E1328-'Raw Price Data'!E1327)/'Raw Price Data'!E1327</f>
        <v>-7.7659045725646117E-4</v>
      </c>
      <c r="F1328" s="26">
        <f>('Raw Price Data'!F1328-'Raw Price Data'!F1327)/'Raw Price Data'!F1327</f>
        <v>1.684060116301082E-2</v>
      </c>
    </row>
    <row r="1329" spans="1:6" ht="15" customHeight="1" x14ac:dyDescent="0.3">
      <c r="A1329" s="21">
        <v>45323</v>
      </c>
      <c r="B1329" s="25">
        <f>('Raw Price Data'!B1329-'Raw Price Data'!B1328)/'Raw Price Data'!B1328</f>
        <v>-5.5766588539561766E-3</v>
      </c>
      <c r="C1329" s="25">
        <f>('Raw Price Data'!C1329-'Raw Price Data'!C1328)/'Raw Price Data'!C1328</f>
        <v>-1.1823358666991775E-2</v>
      </c>
      <c r="D1329" s="25">
        <f>('Raw Price Data'!D1329-'Raw Price Data'!D1328)/'Raw Price Data'!D1328</f>
        <v>-3.9219531326599817E-3</v>
      </c>
      <c r="E1329" s="25">
        <f>('Raw Price Data'!E1329-'Raw Price Data'!E1328)/'Raw Price Data'!E1328</f>
        <v>-3.2020393571051994E-3</v>
      </c>
      <c r="F1329" s="25">
        <f>('Raw Price Data'!F1329-'Raw Price Data'!F1328)/'Raw Price Data'!F1328</f>
        <v>4.3495389209746013E-3</v>
      </c>
    </row>
    <row r="1330" spans="1:6" ht="15" customHeight="1" x14ac:dyDescent="0.3">
      <c r="A1330" s="19">
        <v>45324</v>
      </c>
      <c r="B1330" s="26">
        <f>('Raw Price Data'!B1330-'Raw Price Data'!B1329)/'Raw Price Data'!B1329</f>
        <v>6.0955786736020803E-3</v>
      </c>
      <c r="C1330" s="26">
        <f>('Raw Price Data'!C1330-'Raw Price Data'!C1329)/'Raw Price Data'!C1329</f>
        <v>-2.14138043921843E-2</v>
      </c>
      <c r="D1330" s="26">
        <f>('Raw Price Data'!D1330-'Raw Price Data'!D1329)/'Raw Price Data'!D1329</f>
        <v>-1.1418446697509563E-2</v>
      </c>
      <c r="E1330" s="26">
        <f>('Raw Price Data'!E1330-'Raw Price Data'!E1329)/'Raw Price Data'!E1329</f>
        <v>-2.4326347305388372E-3</v>
      </c>
      <c r="F1330" s="26">
        <f>('Raw Price Data'!F1330-'Raw Price Data'!F1329)/'Raw Price Data'!F1329</f>
        <v>-1.6612864007471122E-3</v>
      </c>
    </row>
    <row r="1331" spans="1:6" ht="15" customHeight="1" x14ac:dyDescent="0.3">
      <c r="A1331" s="21">
        <v>45327</v>
      </c>
      <c r="B1331" s="25">
        <f>('Raw Price Data'!B1331-'Raw Price Data'!B1330)/'Raw Price Data'!B1330</f>
        <v>1.1955731480733417E-2</v>
      </c>
      <c r="C1331" s="25">
        <f>('Raw Price Data'!C1331-'Raw Price Data'!C1330)/'Raw Price Data'!C1330</f>
        <v>1.3280662841640249E-2</v>
      </c>
      <c r="D1331" s="25">
        <f>('Raw Price Data'!D1331-'Raw Price Data'!D1330)/'Raw Price Data'!D1330</f>
        <v>-1.8570148362043303E-2</v>
      </c>
      <c r="E1331" s="25">
        <f>('Raw Price Data'!E1331-'Raw Price Data'!E1330)/'Raw Price Data'!E1330</f>
        <v>1.24742074657663E-2</v>
      </c>
      <c r="F1331" s="25">
        <f>('Raw Price Data'!F1331-'Raw Price Data'!F1330)/'Raw Price Data'!F1330</f>
        <v>-9.5922872853763629E-3</v>
      </c>
    </row>
    <row r="1332" spans="1:6" ht="15" customHeight="1" x14ac:dyDescent="0.3">
      <c r="A1332" s="19">
        <v>45328</v>
      </c>
      <c r="B1332" s="26">
        <f>('Raw Price Data'!B1332-'Raw Price Data'!B1331)/'Raw Price Data'!B1331</f>
        <v>-2.0435858545541648E-2</v>
      </c>
      <c r="C1332" s="26">
        <f>('Raw Price Data'!C1332-'Raw Price Data'!C1331)/'Raw Price Data'!C1331</f>
        <v>5.2145990683371175E-3</v>
      </c>
      <c r="D1332" s="26">
        <f>('Raw Price Data'!D1332-'Raw Price Data'!D1331)/'Raw Price Data'!D1331</f>
        <v>-2.8407649774260758E-3</v>
      </c>
      <c r="E1332" s="26">
        <f>('Raw Price Data'!E1332-'Raw Price Data'!E1331)/'Raw Price Data'!E1331</f>
        <v>-7.1638104060523389E-3</v>
      </c>
      <c r="F1332" s="26">
        <f>('Raw Price Data'!F1332-'Raw Price Data'!F1331)/'Raw Price Data'!F1331</f>
        <v>-2.6408982894974339E-3</v>
      </c>
    </row>
    <row r="1333" spans="1:6" ht="15" customHeight="1" x14ac:dyDescent="0.3">
      <c r="A1333" s="21">
        <v>45329</v>
      </c>
      <c r="B1333" s="25">
        <f>('Raw Price Data'!B1333-'Raw Price Data'!B1332)/'Raw Price Data'!B1332</f>
        <v>3.3412109852498642E-3</v>
      </c>
      <c r="C1333" s="25">
        <f>('Raw Price Data'!C1333-'Raw Price Data'!C1332)/'Raw Price Data'!C1332</f>
        <v>1.1841827024740828E-2</v>
      </c>
      <c r="D1333" s="25">
        <f>('Raw Price Data'!D1333-'Raw Price Data'!D1332)/'Raw Price Data'!D1332</f>
        <v>-6.8169100066134379E-3</v>
      </c>
      <c r="E1333" s="25">
        <f>('Raw Price Data'!E1333-'Raw Price Data'!E1332)/'Raw Price Data'!E1332</f>
        <v>1.188069542499938E-2</v>
      </c>
      <c r="F1333" s="25">
        <f>('Raw Price Data'!F1333-'Raw Price Data'!F1332)/'Raw Price Data'!F1332</f>
        <v>-4.931010776980993E-3</v>
      </c>
    </row>
    <row r="1334" spans="1:6" ht="15" customHeight="1" x14ac:dyDescent="0.3">
      <c r="A1334" s="19">
        <v>45330</v>
      </c>
      <c r="B1334" s="26">
        <f>('Raw Price Data'!B1334-'Raw Price Data'!B1333)/'Raw Price Data'!B1333</f>
        <v>-7.472384665367135E-3</v>
      </c>
      <c r="C1334" s="26">
        <f>('Raw Price Data'!C1334-'Raw Price Data'!C1333)/'Raw Price Data'!C1333</f>
        <v>1.3588563551879946E-2</v>
      </c>
      <c r="D1334" s="26">
        <f>('Raw Price Data'!D1334-'Raw Price Data'!D1333)/'Raw Price Data'!D1333</f>
        <v>-2.0027659683450272E-2</v>
      </c>
      <c r="E1334" s="26">
        <f>('Raw Price Data'!E1334-'Raw Price Data'!E1333)/'Raw Price Data'!E1333</f>
        <v>8.3294913170431206E-3</v>
      </c>
      <c r="F1334" s="26">
        <f>('Raw Price Data'!F1334-'Raw Price Data'!F1333)/'Raw Price Data'!F1333</f>
        <v>-3.3513672537783888E-2</v>
      </c>
    </row>
    <row r="1335" spans="1:6" ht="15" customHeight="1" x14ac:dyDescent="0.3">
      <c r="A1335" s="21">
        <v>45331</v>
      </c>
      <c r="B1335" s="25">
        <f>('Raw Price Data'!B1335-'Raw Price Data'!B1334)/'Raw Price Data'!B1334</f>
        <v>-1.2847790507365035E-2</v>
      </c>
      <c r="C1335" s="25">
        <f>('Raw Price Data'!C1335-'Raw Price Data'!C1334)/'Raw Price Data'!C1334</f>
        <v>-2.5321231317256887E-2</v>
      </c>
      <c r="D1335" s="25">
        <f>('Raw Price Data'!D1335-'Raw Price Data'!D1334)/'Raw Price Data'!D1334</f>
        <v>2.0071085093037861E-2</v>
      </c>
      <c r="E1335" s="25">
        <f>('Raw Price Data'!E1335-'Raw Price Data'!E1334)/'Raw Price Data'!E1334</f>
        <v>4.1090044504054193E-2</v>
      </c>
      <c r="F1335" s="25">
        <f>('Raw Price Data'!F1335-'Raw Price Data'!F1334)/'Raw Price Data'!F1334</f>
        <v>5.7371850902148795E-3</v>
      </c>
    </row>
    <row r="1336" spans="1:6" ht="15" customHeight="1" x14ac:dyDescent="0.3">
      <c r="A1336" s="19">
        <v>45334</v>
      </c>
      <c r="B1336" s="26">
        <f>('Raw Price Data'!B1336-'Raw Price Data'!B1335)/'Raw Price Data'!B1335</f>
        <v>5.8028682748901836E-3</v>
      </c>
      <c r="C1336" s="26">
        <f>('Raw Price Data'!C1336-'Raw Price Data'!C1335)/'Raw Price Data'!C1335</f>
        <v>2.7095270030020758E-3</v>
      </c>
      <c r="D1336" s="26">
        <f>('Raw Price Data'!D1336-'Raw Price Data'!D1335)/'Raw Price Data'!D1335</f>
        <v>1.6550522648083571E-2</v>
      </c>
      <c r="E1336" s="26">
        <f>('Raw Price Data'!E1336-'Raw Price Data'!E1335)/'Raw Price Data'!E1335</f>
        <v>-1.3146337178661384E-2</v>
      </c>
      <c r="F1336" s="26">
        <f>('Raw Price Data'!F1336-'Raw Price Data'!F1335)/'Raw Price Data'!F1335</f>
        <v>1.7651598613957625E-2</v>
      </c>
    </row>
    <row r="1337" spans="1:6" ht="15" customHeight="1" x14ac:dyDescent="0.3">
      <c r="A1337" s="21">
        <v>45335</v>
      </c>
      <c r="B1337" s="25">
        <f>('Raw Price Data'!B1337-'Raw Price Data'!B1336)/'Raw Price Data'!B1336</f>
        <v>-4.2858320283523949E-3</v>
      </c>
      <c r="C1337" s="25">
        <f>('Raw Price Data'!C1337-'Raw Price Data'!C1336)/'Raw Price Data'!C1336</f>
        <v>-3.4783038050821113E-2</v>
      </c>
      <c r="D1337" s="25">
        <f>('Raw Price Data'!D1337-'Raw Price Data'!D1336)/'Raw Price Data'!D1336</f>
        <v>-3.1654821311557904E-2</v>
      </c>
      <c r="E1337" s="25">
        <f>('Raw Price Data'!E1337-'Raw Price Data'!E1336)/'Raw Price Data'!E1336</f>
        <v>2.2222222222222247E-2</v>
      </c>
      <c r="F1337" s="25">
        <f>('Raw Price Data'!F1337-'Raw Price Data'!F1336)/'Raw Price Data'!F1336</f>
        <v>7.4763697485689465E-3</v>
      </c>
    </row>
    <row r="1338" spans="1:6" ht="15" customHeight="1" x14ac:dyDescent="0.3">
      <c r="A1338" s="19">
        <v>45336</v>
      </c>
      <c r="B1338" s="26">
        <f>('Raw Price Data'!B1338-'Raw Price Data'!B1337)/'Raw Price Data'!B1337</f>
        <v>-8.774108103633823E-3</v>
      </c>
      <c r="C1338" s="26">
        <f>('Raw Price Data'!C1338-'Raw Price Data'!C1337)/'Raw Price Data'!C1337</f>
        <v>9.7520369061348065E-3</v>
      </c>
      <c r="D1338" s="26">
        <f>('Raw Price Data'!D1338-'Raw Price Data'!D1337)/'Raw Price Data'!D1337</f>
        <v>-3.3262193534954007E-2</v>
      </c>
      <c r="E1338" s="26">
        <f>('Raw Price Data'!E1338-'Raw Price Data'!E1337)/'Raw Price Data'!E1337</f>
        <v>1.5644047135310809E-2</v>
      </c>
      <c r="F1338" s="26">
        <f>('Raw Price Data'!F1338-'Raw Price Data'!F1337)/'Raw Price Data'!F1337</f>
        <v>2.3679172827218648E-3</v>
      </c>
    </row>
    <row r="1339" spans="1:6" ht="15" customHeight="1" x14ac:dyDescent="0.3">
      <c r="A1339" s="21">
        <v>45337</v>
      </c>
      <c r="B1339" s="25">
        <f>('Raw Price Data'!B1339-'Raw Price Data'!B1338)/'Raw Price Data'!B1338</f>
        <v>-1.0354906054279706E-2</v>
      </c>
      <c r="C1339" s="25">
        <f>('Raw Price Data'!C1339-'Raw Price Data'!C1338)/'Raw Price Data'!C1338</f>
        <v>-1.8551183858443482E-2</v>
      </c>
      <c r="D1339" s="25">
        <f>('Raw Price Data'!D1339-'Raw Price Data'!D1338)/'Raw Price Data'!D1338</f>
        <v>-2.3530045229377582E-2</v>
      </c>
      <c r="E1339" s="25">
        <f>('Raw Price Data'!E1339-'Raw Price Data'!E1338)/'Raw Price Data'!E1338</f>
        <v>-2.2633098048181109E-2</v>
      </c>
      <c r="F1339" s="25">
        <f>('Raw Price Data'!F1339-'Raw Price Data'!F1338)/'Raw Price Data'!F1338</f>
        <v>-7.8621555273724174E-3</v>
      </c>
    </row>
    <row r="1340" spans="1:6" ht="15" customHeight="1" x14ac:dyDescent="0.3">
      <c r="A1340" s="19">
        <v>45338</v>
      </c>
      <c r="B1340" s="26">
        <f>('Raw Price Data'!B1340-'Raw Price Data'!B1339)/'Raw Price Data'!B1339</f>
        <v>4.2190532444519452E-3</v>
      </c>
      <c r="C1340" s="26">
        <f>('Raw Price Data'!C1340-'Raw Price Data'!C1339)/'Raw Price Data'!C1339</f>
        <v>8.8361856584436137E-3</v>
      </c>
      <c r="D1340" s="26">
        <f>('Raw Price Data'!D1340-'Raw Price Data'!D1339)/'Raw Price Data'!D1339</f>
        <v>2.8673835125448592E-3</v>
      </c>
      <c r="E1340" s="26">
        <f>('Raw Price Data'!E1340-'Raw Price Data'!E1339)/'Raw Price Data'!E1339</f>
        <v>1.1169264056606513E-2</v>
      </c>
      <c r="F1340" s="26">
        <f>('Raw Price Data'!F1340-'Raw Price Data'!F1339)/'Raw Price Data'!F1339</f>
        <v>-2.3418145320492859E-3</v>
      </c>
    </row>
    <row r="1341" spans="1:6" ht="15" customHeight="1" x14ac:dyDescent="0.3">
      <c r="A1341" s="21">
        <v>45341</v>
      </c>
      <c r="B1341" s="25">
        <f>('Raw Price Data'!B1341-'Raw Price Data'!B1340)/'Raw Price Data'!B1340</f>
        <v>1.6805310478107738E-4</v>
      </c>
      <c r="C1341" s="25">
        <f>('Raw Price Data'!C1341-'Raw Price Data'!C1340)/'Raw Price Data'!C1340</f>
        <v>1.3400997283518748E-2</v>
      </c>
      <c r="D1341" s="25">
        <f>('Raw Price Data'!D1341-'Raw Price Data'!D1340)/'Raw Price Data'!D1340</f>
        <v>4.2557871006763122E-2</v>
      </c>
      <c r="E1341" s="25">
        <f>('Raw Price Data'!E1341-'Raw Price Data'!E1340)/'Raw Price Data'!E1340</f>
        <v>1.2029031605123978E-2</v>
      </c>
      <c r="F1341" s="25">
        <f>('Raw Price Data'!F1341-'Raw Price Data'!F1340)/'Raw Price Data'!F1340</f>
        <v>1.6273533365201039E-2</v>
      </c>
    </row>
    <row r="1342" spans="1:6" ht="15" customHeight="1" x14ac:dyDescent="0.3">
      <c r="A1342" s="19">
        <v>45342</v>
      </c>
      <c r="B1342" s="26">
        <f>('Raw Price Data'!B1342-'Raw Price Data'!B1341)/'Raw Price Data'!B1341</f>
        <v>-1.4786188355876712E-2</v>
      </c>
      <c r="C1342" s="26">
        <f>('Raw Price Data'!C1342-'Raw Price Data'!C1341)/'Raw Price Data'!C1341</f>
        <v>-8.9183668785717263E-3</v>
      </c>
      <c r="D1342" s="26">
        <f>('Raw Price Data'!D1342-'Raw Price Data'!D1341)/'Raw Price Data'!D1341</f>
        <v>-1.8195242866937487E-2</v>
      </c>
      <c r="E1342" s="26">
        <f>('Raw Price Data'!E1342-'Raw Price Data'!E1341)/'Raw Price Data'!E1341</f>
        <v>-1.1028886539615456E-2</v>
      </c>
      <c r="F1342" s="26">
        <f>('Raw Price Data'!F1342-'Raw Price Data'!F1341)/'Raw Price Data'!F1341</f>
        <v>-1.5149607860408138E-2</v>
      </c>
    </row>
    <row r="1343" spans="1:6" ht="15" customHeight="1" x14ac:dyDescent="0.3">
      <c r="A1343" s="21">
        <v>45343</v>
      </c>
      <c r="B1343" s="25">
        <f>('Raw Price Data'!B1343-'Raw Price Data'!B1342)/'Raw Price Data'!B1342</f>
        <v>-1.1341349023620691E-2</v>
      </c>
      <c r="C1343" s="25">
        <f>('Raw Price Data'!C1343-'Raw Price Data'!C1342)/'Raw Price Data'!C1342</f>
        <v>1.8525208177031104E-4</v>
      </c>
      <c r="D1343" s="25">
        <f>('Raw Price Data'!D1343-'Raw Price Data'!D1342)/'Raw Price Data'!D1342</f>
        <v>-4.6196819939835904E-3</v>
      </c>
      <c r="E1343" s="25">
        <f>('Raw Price Data'!E1343-'Raw Price Data'!E1342)/'Raw Price Data'!E1342</f>
        <v>-4.6023170485077883E-2</v>
      </c>
      <c r="F1343" s="25">
        <f>('Raw Price Data'!F1343-'Raw Price Data'!F1342)/'Raw Price Data'!F1342</f>
        <v>2.6043650615479835E-2</v>
      </c>
    </row>
    <row r="1344" spans="1:6" ht="15" customHeight="1" x14ac:dyDescent="0.3">
      <c r="A1344" s="19">
        <v>45344</v>
      </c>
      <c r="B1344" s="26">
        <f>('Raw Price Data'!B1344-'Raw Price Data'!B1343)/'Raw Price Data'!B1343</f>
        <v>-2.2425392444366992E-3</v>
      </c>
      <c r="C1344" s="26">
        <f>('Raw Price Data'!C1344-'Raw Price Data'!C1343)/'Raw Price Data'!C1343</f>
        <v>2.2156675711467719E-2</v>
      </c>
      <c r="D1344" s="26">
        <f>('Raw Price Data'!D1344-'Raw Price Data'!D1343)/'Raw Price Data'!D1343</f>
        <v>2.1424716675661083E-2</v>
      </c>
      <c r="E1344" s="26">
        <f>('Raw Price Data'!E1344-'Raw Price Data'!E1343)/'Raw Price Data'!E1343</f>
        <v>1.4566929133858274E-2</v>
      </c>
      <c r="F1344" s="26">
        <f>('Raw Price Data'!F1344-'Raw Price Data'!F1343)/'Raw Price Data'!F1343</f>
        <v>-1.667446572894412E-2</v>
      </c>
    </row>
    <row r="1345" spans="1:6" ht="15" customHeight="1" x14ac:dyDescent="0.3">
      <c r="A1345" s="21">
        <v>45345</v>
      </c>
      <c r="B1345" s="25">
        <f>('Raw Price Data'!B1345-'Raw Price Data'!B1344)/'Raw Price Data'!B1344</f>
        <v>5.9647302904564112E-3</v>
      </c>
      <c r="C1345" s="25">
        <f>('Raw Price Data'!C1345-'Raw Price Data'!C1344)/'Raw Price Data'!C1344</f>
        <v>-2.857569978300948E-2</v>
      </c>
      <c r="D1345" s="25">
        <f>('Raw Price Data'!D1345-'Raw Price Data'!D1344)/'Raw Price Data'!D1344</f>
        <v>-7.4496750673640642E-3</v>
      </c>
      <c r="E1345" s="25">
        <f>('Raw Price Data'!E1345-'Raw Price Data'!E1344)/'Raw Price Data'!E1344</f>
        <v>-2.4029133458702761E-2</v>
      </c>
      <c r="F1345" s="25">
        <f>('Raw Price Data'!F1345-'Raw Price Data'!F1344)/'Raw Price Data'!F1344</f>
        <v>1.0127317307057314E-2</v>
      </c>
    </row>
    <row r="1346" spans="1:6" ht="15" customHeight="1" x14ac:dyDescent="0.3">
      <c r="A1346" s="19">
        <v>45348</v>
      </c>
      <c r="B1346" s="26">
        <f>('Raw Price Data'!B1346-'Raw Price Data'!B1345)/'Raw Price Data'!B1345</f>
        <v>-1.4264844891295099E-2</v>
      </c>
      <c r="C1346" s="26">
        <f>('Raw Price Data'!C1346-'Raw Price Data'!C1345)/'Raw Price Data'!C1345</f>
        <v>1.1947453588200069E-2</v>
      </c>
      <c r="D1346" s="26">
        <f>('Raw Price Data'!D1346-'Raw Price Data'!D1345)/'Raw Price Data'!D1345</f>
        <v>1.7992121792824417E-2</v>
      </c>
      <c r="E1346" s="26">
        <f>('Raw Price Data'!E1346-'Raw Price Data'!E1345)/'Raw Price Data'!E1345</f>
        <v>-2.7832150721799859E-3</v>
      </c>
      <c r="F1346" s="26">
        <f>('Raw Price Data'!F1346-'Raw Price Data'!F1345)/'Raw Price Data'!F1345</f>
        <v>-7.2298689389737516E-3</v>
      </c>
    </row>
    <row r="1347" spans="1:6" ht="15" customHeight="1" x14ac:dyDescent="0.3">
      <c r="A1347" s="21">
        <v>45349</v>
      </c>
      <c r="B1347" s="25">
        <f>('Raw Price Data'!B1347-'Raw Price Data'!B1346)/'Raw Price Data'!B1346</f>
        <v>7.0612849795135763E-3</v>
      </c>
      <c r="C1347" s="25">
        <f>('Raw Price Data'!C1347-'Raw Price Data'!C1346)/'Raw Price Data'!C1346</f>
        <v>2.6820152902519842E-3</v>
      </c>
      <c r="D1347" s="25">
        <f>('Raw Price Data'!D1347-'Raw Price Data'!D1346)/'Raw Price Data'!D1346</f>
        <v>1.5111901275883634E-2</v>
      </c>
      <c r="E1347" s="25">
        <f>('Raw Price Data'!E1347-'Raw Price Data'!E1346)/'Raw Price Data'!E1346</f>
        <v>-3.3062413740223978E-2</v>
      </c>
      <c r="F1347" s="25">
        <f>('Raw Price Data'!F1347-'Raw Price Data'!F1346)/'Raw Price Data'!F1346</f>
        <v>-4.7255236430962565E-3</v>
      </c>
    </row>
    <row r="1348" spans="1:6" ht="15" customHeight="1" x14ac:dyDescent="0.3">
      <c r="A1348" s="19">
        <v>45350</v>
      </c>
      <c r="B1348" s="26">
        <f>('Raw Price Data'!B1348-'Raw Price Data'!B1347)/'Raw Price Data'!B1347</f>
        <v>-1.108033240997231E-2</v>
      </c>
      <c r="C1348" s="26">
        <f>('Raw Price Data'!C1348-'Raw Price Data'!C1347)/'Raw Price Data'!C1347</f>
        <v>1.7317529402572945E-2</v>
      </c>
      <c r="D1348" s="26">
        <f>('Raw Price Data'!D1348-'Raw Price Data'!D1347)/'Raw Price Data'!D1347</f>
        <v>-5.1511873486791871E-5</v>
      </c>
      <c r="E1348" s="26">
        <f>('Raw Price Data'!E1348-'Raw Price Data'!E1347)/'Raw Price Data'!E1347</f>
        <v>1.1704253497002562E-2</v>
      </c>
      <c r="F1348" s="26">
        <f>('Raw Price Data'!F1348-'Raw Price Data'!F1347)/'Raw Price Data'!F1347</f>
        <v>-2.4051729376513942E-2</v>
      </c>
    </row>
    <row r="1349" spans="1:6" ht="15" customHeight="1" x14ac:dyDescent="0.3">
      <c r="A1349" s="21">
        <v>45351</v>
      </c>
      <c r="B1349" s="25">
        <f>('Raw Price Data'!B1349-'Raw Price Data'!B1348)/'Raw Price Data'!B1348</f>
        <v>3.8165266106442573E-2</v>
      </c>
      <c r="C1349" s="25">
        <f>('Raw Price Data'!C1349-'Raw Price Data'!C1348)/'Raw Price Data'!C1348</f>
        <v>-2.8538384737362862E-2</v>
      </c>
      <c r="D1349" s="25">
        <f>('Raw Price Data'!D1349-'Raw Price Data'!D1348)/'Raw Price Data'!D1348</f>
        <v>1.4269524005769533E-2</v>
      </c>
      <c r="E1349" s="25">
        <f>('Raw Price Data'!E1349-'Raw Price Data'!E1348)/'Raw Price Data'!E1348</f>
        <v>-3.4236267870579255E-2</v>
      </c>
      <c r="F1349" s="25">
        <f>('Raw Price Data'!F1349-'Raw Price Data'!F1348)/'Raw Price Data'!F1348</f>
        <v>1.112040789934703E-2</v>
      </c>
    </row>
    <row r="1350" spans="1:6" ht="15" customHeight="1" x14ac:dyDescent="0.3">
      <c r="A1350" s="19">
        <v>45352</v>
      </c>
      <c r="B1350" s="26">
        <f>('Raw Price Data'!B1350-'Raw Price Data'!B1349)/'Raw Price Data'!B1349</f>
        <v>-1.2731871838111222E-2</v>
      </c>
      <c r="C1350" s="26">
        <f>('Raw Price Data'!C1350-'Raw Price Data'!C1349)/'Raw Price Data'!C1349</f>
        <v>6.5571025977280537E-4</v>
      </c>
      <c r="D1350" s="26">
        <f>('Raw Price Data'!D1350-'Raw Price Data'!D1349)/'Raw Price Data'!D1349</f>
        <v>1.513535476662105E-2</v>
      </c>
      <c r="E1350" s="26">
        <f>('Raw Price Data'!E1350-'Raw Price Data'!E1349)/'Raw Price Data'!E1349</f>
        <v>-1.0615504479937796E-2</v>
      </c>
      <c r="F1350" s="26">
        <f>('Raw Price Data'!F1350-'Raw Price Data'!F1349)/'Raw Price Data'!F1349</f>
        <v>5.2339652424480054E-3</v>
      </c>
    </row>
    <row r="1351" spans="1:6" ht="15" customHeight="1" x14ac:dyDescent="0.3">
      <c r="A1351" s="21">
        <v>45355</v>
      </c>
      <c r="B1351" s="25">
        <f>('Raw Price Data'!B1351-'Raw Price Data'!B1350)/'Raw Price Data'!B1350</f>
        <v>-1.0675548723204373E-2</v>
      </c>
      <c r="C1351" s="25">
        <f>('Raw Price Data'!C1351-'Raw Price Data'!C1350)/'Raw Price Data'!C1350</f>
        <v>2.0072034390612319E-2</v>
      </c>
      <c r="D1351" s="25">
        <f>('Raw Price Data'!D1351-'Raw Price Data'!D1350)/'Raw Price Data'!D1350</f>
        <v>-2.1714114174213255E-2</v>
      </c>
      <c r="E1351" s="25">
        <f>('Raw Price Data'!E1351-'Raw Price Data'!E1350)/'Raw Price Data'!E1350</f>
        <v>-1.0204416445188033E-2</v>
      </c>
      <c r="F1351" s="25">
        <f>('Raw Price Data'!F1351-'Raw Price Data'!F1350)/'Raw Price Data'!F1350</f>
        <v>1.2552079821774186E-2</v>
      </c>
    </row>
    <row r="1352" spans="1:6" ht="15" customHeight="1" x14ac:dyDescent="0.3">
      <c r="A1352" s="19">
        <v>45356</v>
      </c>
      <c r="B1352" s="26">
        <f>('Raw Price Data'!B1352-'Raw Price Data'!B1351)/'Raw Price Data'!B1351</f>
        <v>3.0214088397789562E-3</v>
      </c>
      <c r="C1352" s="26">
        <f>('Raw Price Data'!C1352-'Raw Price Data'!C1351)/'Raw Price Data'!C1351</f>
        <v>2.4570147703354004E-2</v>
      </c>
      <c r="D1352" s="26">
        <f>('Raw Price Data'!D1352-'Raw Price Data'!D1351)/'Raw Price Data'!D1351</f>
        <v>-2.3525801667263744E-3</v>
      </c>
      <c r="E1352" s="26">
        <f>('Raw Price Data'!E1352-'Raw Price Data'!E1351)/'Raw Price Data'!E1351</f>
        <v>3.6464894251792343E-4</v>
      </c>
      <c r="F1352" s="26">
        <f>('Raw Price Data'!F1352-'Raw Price Data'!F1351)/'Raw Price Data'!F1351</f>
        <v>-5.2570833694307378E-3</v>
      </c>
    </row>
    <row r="1353" spans="1:6" ht="15" customHeight="1" x14ac:dyDescent="0.3">
      <c r="A1353" s="21">
        <v>45357</v>
      </c>
      <c r="B1353" s="25">
        <f>('Raw Price Data'!B1353-'Raw Price Data'!B1352)/'Raw Price Data'!B1352</f>
        <v>-1.222136156295724E-2</v>
      </c>
      <c r="C1353" s="25">
        <f>('Raw Price Data'!C1353-'Raw Price Data'!C1352)/'Raw Price Data'!C1352</f>
        <v>-1.2975405425836015E-2</v>
      </c>
      <c r="D1353" s="25">
        <f>('Raw Price Data'!D1353-'Raw Price Data'!D1352)/'Raw Price Data'!D1352</f>
        <v>-9.4837750551083934E-3</v>
      </c>
      <c r="E1353" s="25">
        <f>('Raw Price Data'!E1353-'Raw Price Data'!E1352)/'Raw Price Data'!E1352</f>
        <v>-2.7570666401564085E-2</v>
      </c>
      <c r="F1353" s="25">
        <f>('Raw Price Data'!F1353-'Raw Price Data'!F1352)/'Raw Price Data'!F1352</f>
        <v>1.5544560762287586E-2</v>
      </c>
    </row>
    <row r="1354" spans="1:6" ht="15" customHeight="1" x14ac:dyDescent="0.3">
      <c r="A1354" s="19">
        <v>45358</v>
      </c>
      <c r="B1354" s="26">
        <f>('Raw Price Data'!B1354-'Raw Price Data'!B1353)/'Raw Price Data'!B1353</f>
        <v>1.1849786529580896E-2</v>
      </c>
      <c r="C1354" s="26">
        <f>('Raw Price Data'!C1354-'Raw Price Data'!C1353)/'Raw Price Data'!C1353</f>
        <v>-4.3339385229468489E-3</v>
      </c>
      <c r="D1354" s="26">
        <f>('Raw Price Data'!D1354-'Raw Price Data'!D1353)/'Raw Price Data'!D1353</f>
        <v>8.7982610495801418E-4</v>
      </c>
      <c r="E1354" s="26">
        <f>('Raw Price Data'!E1354-'Raw Price Data'!E1353)/'Raw Price Data'!E1353</f>
        <v>9.1668086556483137E-3</v>
      </c>
      <c r="F1354" s="26">
        <f>('Raw Price Data'!F1354-'Raw Price Data'!F1353)/'Raw Price Data'!F1353</f>
        <v>2.4579336666215048E-3</v>
      </c>
    </row>
    <row r="1355" spans="1:6" ht="15" customHeight="1" x14ac:dyDescent="0.3">
      <c r="A1355" s="21">
        <v>45359</v>
      </c>
      <c r="B1355" s="25">
        <f>('Raw Price Data'!B1355-'Raw Price Data'!B1354)/'Raw Price Data'!B1354</f>
        <v>2.5230345302678092E-2</v>
      </c>
      <c r="C1355" s="25">
        <f>('Raw Price Data'!C1355-'Raw Price Data'!C1354)/'Raw Price Data'!C1354</f>
        <v>3.3075875424760259E-2</v>
      </c>
      <c r="D1355" s="25">
        <f>('Raw Price Data'!D1355-'Raw Price Data'!D1354)/'Raw Price Data'!D1354</f>
        <v>-1.8718651429753225E-2</v>
      </c>
      <c r="E1355" s="25">
        <f>('Raw Price Data'!E1355-'Raw Price Data'!E1354)/'Raw Price Data'!E1354</f>
        <v>9.623826568514968E-3</v>
      </c>
      <c r="F1355" s="25">
        <f>('Raw Price Data'!F1355-'Raw Price Data'!F1354)/'Raw Price Data'!F1354</f>
        <v>-1.6008450170981224E-3</v>
      </c>
    </row>
    <row r="1356" spans="1:6" ht="15" customHeight="1" x14ac:dyDescent="0.3">
      <c r="A1356" s="19">
        <v>45362</v>
      </c>
      <c r="B1356" s="26">
        <f>('Raw Price Data'!B1356-'Raw Price Data'!B1355)/'Raw Price Data'!B1355</f>
        <v>-5.0394758945070429E-3</v>
      </c>
      <c r="C1356" s="26">
        <f>('Raw Price Data'!C1356-'Raw Price Data'!C1355)/'Raw Price Data'!C1355</f>
        <v>-2.4448464196709034E-2</v>
      </c>
      <c r="D1356" s="26">
        <f>('Raw Price Data'!D1356-'Raw Price Data'!D1355)/'Raw Price Data'!D1355</f>
        <v>-1.5334352110449473E-2</v>
      </c>
      <c r="E1356" s="26">
        <f>('Raw Price Data'!E1356-'Raw Price Data'!E1355)/'Raw Price Data'!E1355</f>
        <v>-6.38817351750903E-3</v>
      </c>
      <c r="F1356" s="26">
        <f>('Raw Price Data'!F1356-'Raw Price Data'!F1355)/'Raw Price Data'!F1355</f>
        <v>-5.2698200255640445E-3</v>
      </c>
    </row>
    <row r="1357" spans="1:6" ht="15" customHeight="1" x14ac:dyDescent="0.3">
      <c r="A1357" s="21">
        <v>45363</v>
      </c>
      <c r="B1357" s="25">
        <f>('Raw Price Data'!B1357-'Raw Price Data'!B1356)/'Raw Price Data'!B1356</f>
        <v>2.7013337835556932E-3</v>
      </c>
      <c r="C1357" s="25">
        <f>('Raw Price Data'!C1357-'Raw Price Data'!C1356)/'Raw Price Data'!C1356</f>
        <v>-2.11013087300963E-4</v>
      </c>
      <c r="D1357" s="25">
        <f>('Raw Price Data'!D1357-'Raw Price Data'!D1356)/'Raw Price Data'!D1356</f>
        <v>1.2843840308251133E-3</v>
      </c>
      <c r="E1357" s="25">
        <f>('Raw Price Data'!E1357-'Raw Price Data'!E1356)/'Raw Price Data'!E1356</f>
        <v>-4.9145011444728008E-3</v>
      </c>
      <c r="F1357" s="25">
        <f>('Raw Price Data'!F1357-'Raw Price Data'!F1356)/'Raw Price Data'!F1356</f>
        <v>1.4417991842761144E-2</v>
      </c>
    </row>
    <row r="1358" spans="1:6" ht="15" customHeight="1" x14ac:dyDescent="0.3">
      <c r="A1358" s="19">
        <v>45364</v>
      </c>
      <c r="B1358" s="26">
        <f>('Raw Price Data'!B1358-'Raw Price Data'!B1357)/'Raw Price Data'!B1357</f>
        <v>-6.8193298535107107E-3</v>
      </c>
      <c r="C1358" s="26">
        <f>('Raw Price Data'!C1358-'Raw Price Data'!C1357)/'Raw Price Data'!C1357</f>
        <v>3.7226972266130027E-3</v>
      </c>
      <c r="D1358" s="26">
        <f>('Raw Price Data'!D1358-'Raw Price Data'!D1357)/'Raw Price Data'!D1357</f>
        <v>2.6723677177985765E-4</v>
      </c>
      <c r="E1358" s="26">
        <f>('Raw Price Data'!E1358-'Raw Price Data'!E1357)/'Raw Price Data'!E1357</f>
        <v>-5.1552668966917015E-2</v>
      </c>
      <c r="F1358" s="26">
        <f>('Raw Price Data'!F1358-'Raw Price Data'!F1357)/'Raw Price Data'!F1357</f>
        <v>4.4848745356216614E-3</v>
      </c>
    </row>
    <row r="1359" spans="1:6" ht="15" customHeight="1" x14ac:dyDescent="0.3">
      <c r="A1359" s="21">
        <v>45365</v>
      </c>
      <c r="B1359" s="25">
        <f>('Raw Price Data'!B1359-'Raw Price Data'!B1358)/'Raw Price Data'!B1358</f>
        <v>2.5430194117149389E-4</v>
      </c>
      <c r="C1359" s="25">
        <f>('Raw Price Data'!C1359-'Raw Price Data'!C1358)/'Raw Price Data'!C1358</f>
        <v>3.6820465557429716E-3</v>
      </c>
      <c r="D1359" s="25">
        <f>('Raw Price Data'!D1359-'Raw Price Data'!D1358)/'Raw Price Data'!D1358</f>
        <v>2.2228159230563701E-2</v>
      </c>
      <c r="E1359" s="25">
        <f>('Raw Price Data'!E1359-'Raw Price Data'!E1358)/'Raw Price Data'!E1358</f>
        <v>3.0815322062914569E-2</v>
      </c>
      <c r="F1359" s="25">
        <f>('Raw Price Data'!F1359-'Raw Price Data'!F1358)/'Raw Price Data'!F1358</f>
        <v>5.1599996367058497E-3</v>
      </c>
    </row>
    <row r="1360" spans="1:6" ht="15" customHeight="1" x14ac:dyDescent="0.3">
      <c r="A1360" s="19">
        <v>45366</v>
      </c>
      <c r="B1360" s="26">
        <f>('Raw Price Data'!B1360-'Raw Price Data'!B1359)/'Raw Price Data'!B1359</f>
        <v>2.0169491525423692E-2</v>
      </c>
      <c r="C1360" s="26">
        <f>('Raw Price Data'!C1360-'Raw Price Data'!C1359)/'Raw Price Data'!C1359</f>
        <v>-1.588214317553718E-2</v>
      </c>
      <c r="D1360" s="26">
        <f>('Raw Price Data'!D1360-'Raw Price Data'!D1359)/'Raw Price Data'!D1359</f>
        <v>3.7112539856777376E-3</v>
      </c>
      <c r="E1360" s="26">
        <f>('Raw Price Data'!E1360-'Raw Price Data'!E1359)/'Raw Price Data'!E1359</f>
        <v>-3.8059649851220189E-3</v>
      </c>
      <c r="F1360" s="26">
        <f>('Raw Price Data'!F1360-'Raw Price Data'!F1359)/'Raw Price Data'!F1359</f>
        <v>-1.6413923989705533E-2</v>
      </c>
    </row>
    <row r="1361" spans="1:6" ht="15" customHeight="1" x14ac:dyDescent="0.3">
      <c r="A1361" s="21">
        <v>45369</v>
      </c>
      <c r="B1361" s="25">
        <f>('Raw Price Data'!B1361-'Raw Price Data'!B1360)/'Raw Price Data'!B1360</f>
        <v>1.2709752450573195E-2</v>
      </c>
      <c r="C1361" s="25">
        <f>('Raw Price Data'!C1361-'Raw Price Data'!C1360)/'Raw Price Data'!C1360</f>
        <v>1.7606000625065062E-2</v>
      </c>
      <c r="D1361" s="25">
        <f>('Raw Price Data'!D1361-'Raw Price Data'!D1360)/'Raw Price Data'!D1360</f>
        <v>2.296635767107591E-2</v>
      </c>
      <c r="E1361" s="25">
        <f>('Raw Price Data'!E1361-'Raw Price Data'!E1360)/'Raw Price Data'!E1360</f>
        <v>1.2711864406779549E-2</v>
      </c>
      <c r="F1361" s="25">
        <f>('Raw Price Data'!F1361-'Raw Price Data'!F1360)/'Raw Price Data'!F1360</f>
        <v>-3.0845495162060973E-4</v>
      </c>
    </row>
    <row r="1362" spans="1:6" ht="15" customHeight="1" x14ac:dyDescent="0.3">
      <c r="A1362" s="19">
        <v>45370</v>
      </c>
      <c r="B1362" s="26">
        <f>('Raw Price Data'!B1362-'Raw Price Data'!B1361)/'Raw Price Data'!B1361</f>
        <v>-1.2222131080305102E-2</v>
      </c>
      <c r="C1362" s="26">
        <f>('Raw Price Data'!C1362-'Raw Price Data'!C1361)/'Raw Price Data'!C1361</f>
        <v>1.6264288003418424E-2</v>
      </c>
      <c r="D1362" s="26">
        <f>('Raw Price Data'!D1362-'Raw Price Data'!D1361)/'Raw Price Data'!D1361</f>
        <v>2.1025301634169911E-2</v>
      </c>
      <c r="E1362" s="26">
        <f>('Raw Price Data'!E1362-'Raw Price Data'!E1361)/'Raw Price Data'!E1361</f>
        <v>3.9440290829276152E-3</v>
      </c>
      <c r="F1362" s="26">
        <f>('Raw Price Data'!F1362-'Raw Price Data'!F1361)/'Raw Price Data'!F1361</f>
        <v>-1.1037470638256866E-2</v>
      </c>
    </row>
    <row r="1363" spans="1:6" ht="15" customHeight="1" x14ac:dyDescent="0.3">
      <c r="A1363" s="21">
        <v>45371</v>
      </c>
      <c r="B1363" s="25">
        <f>('Raw Price Data'!B1363-'Raw Price Data'!B1362)/'Raw Price Data'!B1362</f>
        <v>2.1757183192160807E-2</v>
      </c>
      <c r="C1363" s="25">
        <f>('Raw Price Data'!C1363-'Raw Price Data'!C1362)/'Raw Price Data'!C1362</f>
        <v>3.2629928433150254E-2</v>
      </c>
      <c r="D1363" s="25">
        <f>('Raw Price Data'!D1363-'Raw Price Data'!D1362)/'Raw Price Data'!D1362</f>
        <v>1.8348623853211041E-2</v>
      </c>
      <c r="E1363" s="25">
        <f>('Raw Price Data'!E1363-'Raw Price Data'!E1362)/'Raw Price Data'!E1362</f>
        <v>1.5030915861032272E-3</v>
      </c>
      <c r="F1363" s="25">
        <f>('Raw Price Data'!F1363-'Raw Price Data'!F1362)/'Raw Price Data'!F1362</f>
        <v>-8.7842500696000466E-3</v>
      </c>
    </row>
    <row r="1364" spans="1:6" ht="15" customHeight="1" x14ac:dyDescent="0.3">
      <c r="A1364" s="19">
        <v>45372</v>
      </c>
      <c r="B1364" s="26">
        <f>('Raw Price Data'!B1364-'Raw Price Data'!B1363)/'Raw Price Data'!B1363</f>
        <v>1.6417425227568238E-2</v>
      </c>
      <c r="C1364" s="26">
        <f>('Raw Price Data'!C1364-'Raw Price Data'!C1363)/'Raw Price Data'!C1363</f>
        <v>-1.3390281972108052E-2</v>
      </c>
      <c r="D1364" s="26">
        <f>('Raw Price Data'!D1364-'Raw Price Data'!D1363)/'Raw Price Data'!D1363</f>
        <v>-5.5278104191147766E-2</v>
      </c>
      <c r="E1364" s="26">
        <f>('Raw Price Data'!E1364-'Raw Price Data'!E1363)/'Raw Price Data'!E1363</f>
        <v>1.3507521233413989E-2</v>
      </c>
      <c r="F1364" s="26">
        <f>('Raw Price Data'!F1364-'Raw Price Data'!F1363)/'Raw Price Data'!F1363</f>
        <v>-2.0656533216323329E-2</v>
      </c>
    </row>
    <row r="1365" spans="1:6" ht="15" customHeight="1" x14ac:dyDescent="0.3">
      <c r="A1365" s="21">
        <v>45373</v>
      </c>
      <c r="B1365" s="25">
        <f>('Raw Price Data'!B1365-'Raw Price Data'!B1364)/'Raw Price Data'!B1364</f>
        <v>7.1165840396609668E-3</v>
      </c>
      <c r="C1365" s="25">
        <f>('Raw Price Data'!C1365-'Raw Price Data'!C1364)/'Raw Price Data'!C1364</f>
        <v>-7.9016039654187069E-3</v>
      </c>
      <c r="D1365" s="25">
        <f>('Raw Price Data'!D1365-'Raw Price Data'!D1364)/'Raw Price Data'!D1364</f>
        <v>-1.1816532780513093E-2</v>
      </c>
      <c r="E1365" s="25">
        <f>('Raw Price Data'!E1365-'Raw Price Data'!E1364)/'Raw Price Data'!E1364</f>
        <v>-1.1611079325547701E-2</v>
      </c>
      <c r="F1365" s="25">
        <f>('Raw Price Data'!F1365-'Raw Price Data'!F1364)/'Raw Price Data'!F1364</f>
        <v>7.0696433314685943E-3</v>
      </c>
    </row>
    <row r="1366" spans="1:6" ht="15" customHeight="1" x14ac:dyDescent="0.3">
      <c r="A1366" s="19">
        <v>45376</v>
      </c>
      <c r="B1366" s="26">
        <f>('Raw Price Data'!B1366-'Raw Price Data'!B1365)/'Raw Price Data'!B1365</f>
        <v>-8.8130210400952716E-3</v>
      </c>
      <c r="C1366" s="26">
        <f>('Raw Price Data'!C1366-'Raw Price Data'!C1365)/'Raw Price Data'!C1365</f>
        <v>1.9937341023429849E-2</v>
      </c>
      <c r="D1366" s="26">
        <f>('Raw Price Data'!D1366-'Raw Price Data'!D1365)/'Raw Price Data'!D1365</f>
        <v>7.7096554256044416E-3</v>
      </c>
      <c r="E1366" s="26">
        <f>('Raw Price Data'!E1366-'Raw Price Data'!E1365)/'Raw Price Data'!E1365</f>
        <v>1.9749387087986962E-2</v>
      </c>
      <c r="F1366" s="26">
        <f>('Raw Price Data'!F1366-'Raw Price Data'!F1365)/'Raw Price Data'!F1365</f>
        <v>-8.5616172317359233E-4</v>
      </c>
    </row>
    <row r="1367" spans="1:6" ht="15" customHeight="1" x14ac:dyDescent="0.3">
      <c r="A1367" s="21">
        <v>45377</v>
      </c>
      <c r="B1367" s="25">
        <f>('Raw Price Data'!B1367-'Raw Price Data'!B1366)/'Raw Price Data'!B1366</f>
        <v>1.2015379685997394E-3</v>
      </c>
      <c r="C1367" s="25">
        <f>('Raw Price Data'!C1367-'Raw Price Data'!C1366)/'Raw Price Data'!C1366</f>
        <v>3.2616176807973879E-2</v>
      </c>
      <c r="D1367" s="25">
        <f>('Raw Price Data'!D1367-'Raw Price Data'!D1366)/'Raw Price Data'!D1366</f>
        <v>-2.045383574476933E-2</v>
      </c>
      <c r="E1367" s="25">
        <f>('Raw Price Data'!E1367-'Raw Price Data'!E1366)/'Raw Price Data'!E1366</f>
        <v>3.0252437558434625E-2</v>
      </c>
      <c r="F1367" s="25">
        <f>('Raw Price Data'!F1367-'Raw Price Data'!F1366)/'Raw Price Data'!F1366</f>
        <v>4.0814123772361005E-4</v>
      </c>
    </row>
    <row r="1368" spans="1:6" ht="15" customHeight="1" x14ac:dyDescent="0.3">
      <c r="A1368" s="19">
        <v>45378</v>
      </c>
      <c r="B1368" s="26">
        <f>('Raw Price Data'!B1368-'Raw Price Data'!B1367)/'Raw Price Data'!B1367</f>
        <v>-1.0720857668613403E-2</v>
      </c>
      <c r="C1368" s="26">
        <f>('Raw Price Data'!C1368-'Raw Price Data'!C1367)/'Raw Price Data'!C1367</f>
        <v>4.1966500857843896E-4</v>
      </c>
      <c r="D1368" s="26">
        <f>('Raw Price Data'!D1368-'Raw Price Data'!D1367)/'Raw Price Data'!D1367</f>
        <v>-7.9166888050582283E-3</v>
      </c>
      <c r="E1368" s="26">
        <f>('Raw Price Data'!E1368-'Raw Price Data'!E1367)/'Raw Price Data'!E1367</f>
        <v>4.245802813249505E-3</v>
      </c>
      <c r="F1368" s="26">
        <f>('Raw Price Data'!F1368-'Raw Price Data'!F1367)/'Raw Price Data'!F1367</f>
        <v>-1.0807398624406507E-2</v>
      </c>
    </row>
    <row r="1369" spans="1:6" ht="15" customHeight="1" x14ac:dyDescent="0.3">
      <c r="A1369" s="21">
        <v>45379</v>
      </c>
      <c r="B1369" s="25">
        <f>('Raw Price Data'!B1369-'Raw Price Data'!B1368)/'Raw Price Data'!B1368</f>
        <v>6.7933683784875791E-3</v>
      </c>
      <c r="C1369" s="25">
        <f>('Raw Price Data'!C1369-'Raw Price Data'!C1368)/'Raw Price Data'!C1368</f>
        <v>-2.6357889888259715E-2</v>
      </c>
      <c r="D1369" s="25">
        <f>('Raw Price Data'!D1369-'Raw Price Data'!D1368)/'Raw Price Data'!D1368</f>
        <v>1.0925449871465253E-2</v>
      </c>
      <c r="E1369" s="25">
        <f>('Raw Price Data'!E1369-'Raw Price Data'!E1368)/'Raw Price Data'!E1368</f>
        <v>-2.4850734226239748E-3</v>
      </c>
      <c r="F1369" s="25">
        <f>('Raw Price Data'!F1369-'Raw Price Data'!F1368)/'Raw Price Data'!F1368</f>
        <v>2.4631306827256594E-3</v>
      </c>
    </row>
    <row r="1370" spans="1:6" ht="15" customHeight="1" x14ac:dyDescent="0.3">
      <c r="A1370" s="19">
        <v>45380</v>
      </c>
      <c r="B1370" s="26">
        <f>('Raw Price Data'!B1370-'Raw Price Data'!B1369)/'Raw Price Data'!B1369</f>
        <v>-4.0967145955497705E-3</v>
      </c>
      <c r="C1370" s="26">
        <f>('Raw Price Data'!C1370-'Raw Price Data'!C1369)/'Raw Price Data'!C1369</f>
        <v>-3.2144426046700771E-3</v>
      </c>
      <c r="D1370" s="26">
        <f>('Raw Price Data'!D1370-'Raw Price Data'!D1369)/'Raw Price Data'!D1369</f>
        <v>1.1655011655011594E-3</v>
      </c>
      <c r="E1370" s="26">
        <f>('Raw Price Data'!E1370-'Raw Price Data'!E1369)/'Raw Price Data'!E1369</f>
        <v>1.8959492687977267E-2</v>
      </c>
      <c r="F1370" s="26">
        <f>('Raw Price Data'!F1370-'Raw Price Data'!F1369)/'Raw Price Data'!F1369</f>
        <v>-1.092481605104465E-2</v>
      </c>
    </row>
    <row r="1371" spans="1:6" ht="15" customHeight="1" x14ac:dyDescent="0.3">
      <c r="A1371" s="21">
        <v>45383</v>
      </c>
      <c r="B1371" s="25">
        <f>('Raw Price Data'!B1371-'Raw Price Data'!B1370)/'Raw Price Data'!B1370</f>
        <v>-3.0650104855621852E-2</v>
      </c>
      <c r="C1371" s="25">
        <f>('Raw Price Data'!C1371-'Raw Price Data'!C1370)/'Raw Price Data'!C1370</f>
        <v>1.7611438112067373E-2</v>
      </c>
      <c r="D1371" s="25">
        <f>('Raw Price Data'!D1371-'Raw Price Data'!D1370)/'Raw Price Data'!D1370</f>
        <v>-5.0799026351993843E-3</v>
      </c>
      <c r="E1371" s="25">
        <f>('Raw Price Data'!E1371-'Raw Price Data'!E1370)/'Raw Price Data'!E1370</f>
        <v>8.287292817679601E-3</v>
      </c>
      <c r="F1371" s="25">
        <f>('Raw Price Data'!F1371-'Raw Price Data'!F1370)/'Raw Price Data'!F1370</f>
        <v>-6.1657982592573126E-4</v>
      </c>
    </row>
    <row r="1372" spans="1:6" ht="15" customHeight="1" x14ac:dyDescent="0.3">
      <c r="A1372" s="19">
        <v>45384</v>
      </c>
      <c r="B1372" s="26">
        <f>('Raw Price Data'!B1372-'Raw Price Data'!B1371)/'Raw Price Data'!B1371</f>
        <v>1.3146946247295708E-2</v>
      </c>
      <c r="C1372" s="26">
        <f>('Raw Price Data'!C1372-'Raw Price Data'!C1371)/'Raw Price Data'!C1371</f>
        <v>1.255522843020088E-2</v>
      </c>
      <c r="D1372" s="26">
        <f>('Raw Price Data'!D1372-'Raw Price Data'!D1371)/'Raw Price Data'!D1371</f>
        <v>2.7656632273162368E-2</v>
      </c>
      <c r="E1372" s="26">
        <f>('Raw Price Data'!E1372-'Raw Price Data'!E1371)/'Raw Price Data'!E1371</f>
        <v>-6.61313179026932E-3</v>
      </c>
      <c r="F1372" s="26">
        <f>('Raw Price Data'!F1372-'Raw Price Data'!F1371)/'Raw Price Data'!F1371</f>
        <v>7.5236686429169409E-3</v>
      </c>
    </row>
    <row r="1373" spans="1:6" ht="15" customHeight="1" x14ac:dyDescent="0.3">
      <c r="A1373" s="21">
        <v>45385</v>
      </c>
      <c r="B1373" s="25">
        <f>('Raw Price Data'!B1373-'Raw Price Data'!B1372)/'Raw Price Data'!B1372</f>
        <v>3.0387647831799469E-3</v>
      </c>
      <c r="C1373" s="25">
        <f>('Raw Price Data'!C1373-'Raw Price Data'!C1372)/'Raw Price Data'!C1372</f>
        <v>2.0225865089613923E-2</v>
      </c>
      <c r="D1373" s="25">
        <f>('Raw Price Data'!D1373-'Raw Price Data'!D1372)/'Raw Price Data'!D1372</f>
        <v>-6.2622916882310734E-3</v>
      </c>
      <c r="E1373" s="25">
        <f>('Raw Price Data'!E1373-'Raw Price Data'!E1372)/'Raw Price Data'!E1372</f>
        <v>-5.9914407988587298E-3</v>
      </c>
      <c r="F1373" s="25">
        <f>('Raw Price Data'!F1373-'Raw Price Data'!F1372)/'Raw Price Data'!F1372</f>
        <v>4.615701681276731E-3</v>
      </c>
    </row>
    <row r="1374" spans="1:6" ht="15" customHeight="1" x14ac:dyDescent="0.3">
      <c r="A1374" s="19">
        <v>45386</v>
      </c>
      <c r="B1374" s="26">
        <f>('Raw Price Data'!B1374-'Raw Price Data'!B1373)/'Raw Price Data'!B1373</f>
        <v>1.5229673298943744E-2</v>
      </c>
      <c r="C1374" s="26">
        <f>('Raw Price Data'!C1374-'Raw Price Data'!C1373)/'Raw Price Data'!C1373</f>
        <v>3.4546422006514352E-2</v>
      </c>
      <c r="D1374" s="26">
        <f>('Raw Price Data'!D1374-'Raw Price Data'!D1373)/'Raw Price Data'!D1373</f>
        <v>1.7915733555543972E-2</v>
      </c>
      <c r="E1374" s="26">
        <f>('Raw Price Data'!E1374-'Raw Price Data'!E1373)/'Raw Price Data'!E1373</f>
        <v>2.8702640642938424E-3</v>
      </c>
      <c r="F1374" s="26">
        <f>('Raw Price Data'!F1374-'Raw Price Data'!F1373)/'Raw Price Data'!F1373</f>
        <v>7.0678581473902439E-3</v>
      </c>
    </row>
    <row r="1375" spans="1:6" ht="15" customHeight="1" x14ac:dyDescent="0.3">
      <c r="A1375" s="21">
        <v>45387</v>
      </c>
      <c r="B1375" s="25">
        <f>('Raw Price Data'!B1375-'Raw Price Data'!B1374)/'Raw Price Data'!B1374</f>
        <v>-1.5323816436809236E-3</v>
      </c>
      <c r="C1375" s="25">
        <f>('Raw Price Data'!C1375-'Raw Price Data'!C1374)/'Raw Price Data'!C1374</f>
        <v>-7.013661053140172E-3</v>
      </c>
      <c r="D1375" s="25">
        <f>('Raw Price Data'!D1375-'Raw Price Data'!D1374)/'Raw Price Data'!D1374</f>
        <v>-3.5814786390377681E-4</v>
      </c>
      <c r="E1375" s="25">
        <f>('Raw Price Data'!E1375-'Raw Price Data'!E1374)/'Raw Price Data'!E1374</f>
        <v>1.4850855434713529E-2</v>
      </c>
      <c r="F1375" s="25">
        <f>('Raw Price Data'!F1375-'Raw Price Data'!F1374)/'Raw Price Data'!F1374</f>
        <v>-7.301575913401543E-3</v>
      </c>
    </row>
    <row r="1376" spans="1:6" ht="15" customHeight="1" x14ac:dyDescent="0.3">
      <c r="A1376" s="19">
        <v>45390</v>
      </c>
      <c r="B1376" s="26">
        <f>('Raw Price Data'!B1376-'Raw Price Data'!B1375)/'Raw Price Data'!B1375</f>
        <v>2.9079159935379599E-3</v>
      </c>
      <c r="C1376" s="26">
        <f>('Raw Price Data'!C1376-'Raw Price Data'!C1375)/'Raw Price Data'!C1375</f>
        <v>-1.5358535877131662E-2</v>
      </c>
      <c r="D1376" s="26">
        <f>('Raw Price Data'!D1376-'Raw Price Data'!D1375)/'Raw Price Data'!D1375</f>
        <v>1.9449278329409124E-3</v>
      </c>
      <c r="E1376" s="26">
        <f>('Raw Price Data'!E1376-'Raw Price Data'!E1375)/'Raw Price Data'!E1375</f>
        <v>-9.0245354557703609E-3</v>
      </c>
      <c r="F1376" s="26">
        <f>('Raw Price Data'!F1376-'Raw Price Data'!F1375)/'Raw Price Data'!F1375</f>
        <v>-2.1659859089231372E-2</v>
      </c>
    </row>
    <row r="1377" spans="1:6" ht="15" customHeight="1" x14ac:dyDescent="0.3">
      <c r="A1377" s="21">
        <v>45391</v>
      </c>
      <c r="B1377" s="25">
        <f>('Raw Price Data'!B1377-'Raw Price Data'!B1376)/'Raw Price Data'!B1376</f>
        <v>1.5786082474226869E-2</v>
      </c>
      <c r="C1377" s="25">
        <f>('Raw Price Data'!C1377-'Raw Price Data'!C1376)/'Raw Price Data'!C1376</f>
        <v>-2.0615475355480462E-2</v>
      </c>
      <c r="D1377" s="25">
        <f>('Raw Price Data'!D1377-'Raw Price Data'!D1376)/'Raw Price Data'!D1376</f>
        <v>-5.2615447486718493E-3</v>
      </c>
      <c r="E1377" s="25">
        <f>('Raw Price Data'!E1377-'Raw Price Data'!E1376)/'Raw Price Data'!E1376</f>
        <v>1.5399209486166023E-2</v>
      </c>
      <c r="F1377" s="25">
        <f>('Raw Price Data'!F1377-'Raw Price Data'!F1376)/'Raw Price Data'!F1376</f>
        <v>3.5152037793010379E-3</v>
      </c>
    </row>
    <row r="1378" spans="1:6" ht="15" customHeight="1" x14ac:dyDescent="0.3">
      <c r="A1378" s="19">
        <v>45392</v>
      </c>
      <c r="B1378" s="26">
        <f>('Raw Price Data'!B1378-'Raw Price Data'!B1377)/'Raw Price Data'!B1377</f>
        <v>5.6295591500158081E-3</v>
      </c>
      <c r="C1378" s="26">
        <f>('Raw Price Data'!C1378-'Raw Price Data'!C1377)/'Raw Price Data'!C1377</f>
        <v>-1.5706699761958564E-3</v>
      </c>
      <c r="D1378" s="26">
        <f>('Raw Price Data'!D1378-'Raw Price Data'!D1377)/'Raw Price Data'!D1377</f>
        <v>-1.2838288912853695E-2</v>
      </c>
      <c r="E1378" s="26">
        <f>('Raw Price Data'!E1378-'Raw Price Data'!E1377)/'Raw Price Data'!E1377</f>
        <v>3.7556053811659197E-2</v>
      </c>
      <c r="F1378" s="26">
        <f>('Raw Price Data'!F1378-'Raw Price Data'!F1377)/'Raw Price Data'!F1377</f>
        <v>-1.1738711004687043E-2</v>
      </c>
    </row>
    <row r="1379" spans="1:6" ht="15" customHeight="1" x14ac:dyDescent="0.3">
      <c r="A1379" s="21">
        <v>45393</v>
      </c>
      <c r="B1379" s="25">
        <f>('Raw Price Data'!B1379-'Raw Price Data'!B1378)/'Raw Price Data'!B1378</f>
        <v>4.336513443191652E-3</v>
      </c>
      <c r="C1379" s="25">
        <f>('Raw Price Data'!C1379-'Raw Price Data'!C1378)/'Raw Price Data'!C1378</f>
        <v>1.8567952756868206E-2</v>
      </c>
      <c r="D1379" s="25">
        <f>('Raw Price Data'!D1379-'Raw Price Data'!D1378)/'Raw Price Data'!D1378</f>
        <v>-3.0692399729490894E-3</v>
      </c>
      <c r="E1379" s="25">
        <f>('Raw Price Data'!E1379-'Raw Price Data'!E1378)/'Raw Price Data'!E1378</f>
        <v>1.1675370670508393E-2</v>
      </c>
      <c r="F1379" s="25">
        <f>('Raw Price Data'!F1379-'Raw Price Data'!F1378)/'Raw Price Data'!F1378</f>
        <v>-3.2727654155175635E-3</v>
      </c>
    </row>
    <row r="1380" spans="1:6" ht="15" customHeight="1" x14ac:dyDescent="0.3">
      <c r="A1380" s="19">
        <v>45394</v>
      </c>
      <c r="B1380" s="26">
        <f>('Raw Price Data'!B1380-'Raw Price Data'!B1379)/'Raw Price Data'!B1379</f>
        <v>4.4905008635578579E-2</v>
      </c>
      <c r="C1380" s="26">
        <f>('Raw Price Data'!C1380-'Raw Price Data'!C1379)/'Raw Price Data'!C1379</f>
        <v>3.1061318395518699E-2</v>
      </c>
      <c r="D1380" s="26">
        <f>('Raw Price Data'!D1380-'Raw Price Data'!D1379)/'Raw Price Data'!D1379</f>
        <v>-2.1133375078271673E-2</v>
      </c>
      <c r="E1380" s="26">
        <f>('Raw Price Data'!E1380-'Raw Price Data'!E1379)/'Raw Price Data'!E1379</f>
        <v>-7.1201827513575546E-4</v>
      </c>
      <c r="F1380" s="26">
        <f>('Raw Price Data'!F1380-'Raw Price Data'!F1379)/'Raw Price Data'!F1379</f>
        <v>-1.2995446017472054E-2</v>
      </c>
    </row>
    <row r="1381" spans="1:6" ht="15" customHeight="1" x14ac:dyDescent="0.3">
      <c r="A1381" s="21">
        <v>45397</v>
      </c>
      <c r="B1381" s="25">
        <f>('Raw Price Data'!B1381-'Raw Price Data'!B1380)/'Raw Price Data'!B1380</f>
        <v>-2.0285499624341234E-3</v>
      </c>
      <c r="C1381" s="25">
        <f>('Raw Price Data'!C1381-'Raw Price Data'!C1380)/'Raw Price Data'!C1380</f>
        <v>4.4549998447735318E-3</v>
      </c>
      <c r="D1381" s="25">
        <f>('Raw Price Data'!D1381-'Raw Price Data'!D1380)/'Raw Price Data'!D1380</f>
        <v>1.0021856175702304E-2</v>
      </c>
      <c r="E1381" s="25">
        <f>('Raw Price Data'!E1381-'Raw Price Data'!E1380)/'Raw Price Data'!E1380</f>
        <v>1.1251966867559365E-2</v>
      </c>
      <c r="F1381" s="25">
        <f>('Raw Price Data'!F1381-'Raw Price Data'!F1380)/'Raw Price Data'!F1380</f>
        <v>-2.27751493393828E-3</v>
      </c>
    </row>
    <row r="1382" spans="1:6" ht="15" customHeight="1" x14ac:dyDescent="0.3">
      <c r="A1382" s="19">
        <v>45398</v>
      </c>
      <c r="B1382" s="26">
        <f>('Raw Price Data'!B1382-'Raw Price Data'!B1381)/'Raw Price Data'!B1381</f>
        <v>2.6349469246404749E-3</v>
      </c>
      <c r="C1382" s="26">
        <f>('Raw Price Data'!C1382-'Raw Price Data'!C1381)/'Raw Price Data'!C1381</f>
        <v>8.5382249764330933E-4</v>
      </c>
      <c r="D1382" s="26">
        <f>('Raw Price Data'!D1382-'Raw Price Data'!D1381)/'Raw Price Data'!D1381</f>
        <v>2.1639309653243076E-3</v>
      </c>
      <c r="E1382" s="26">
        <f>('Raw Price Data'!E1382-'Raw Price Data'!E1381)/'Raw Price Data'!E1381</f>
        <v>-7.8973636310257691E-3</v>
      </c>
      <c r="F1382" s="26">
        <f>('Raw Price Data'!F1382-'Raw Price Data'!F1381)/'Raw Price Data'!F1381</f>
        <v>7.9109944876845032E-3</v>
      </c>
    </row>
    <row r="1383" spans="1:6" ht="15" customHeight="1" x14ac:dyDescent="0.3">
      <c r="A1383" s="21">
        <v>45399</v>
      </c>
      <c r="B1383" s="25">
        <f>('Raw Price Data'!B1383-'Raw Price Data'!B1382)/'Raw Price Data'!B1382</f>
        <v>2.4327977173749665E-2</v>
      </c>
      <c r="C1383" s="25">
        <f>('Raw Price Data'!C1383-'Raw Price Data'!C1382)/'Raw Price Data'!C1382</f>
        <v>-1.7486499110235198E-3</v>
      </c>
      <c r="D1383" s="25">
        <f>('Raw Price Data'!D1383-'Raw Price Data'!D1382)/'Raw Price Data'!D1382</f>
        <v>-6.530440278070408E-3</v>
      </c>
      <c r="E1383" s="25">
        <f>('Raw Price Data'!E1383-'Raw Price Data'!E1382)/'Raw Price Data'!E1382</f>
        <v>-2.0684757198236349E-2</v>
      </c>
      <c r="F1383" s="25">
        <f>('Raw Price Data'!F1383-'Raw Price Data'!F1382)/'Raw Price Data'!F1382</f>
        <v>-3.3696323195816741E-3</v>
      </c>
    </row>
    <row r="1384" spans="1:6" ht="15" customHeight="1" x14ac:dyDescent="0.3">
      <c r="A1384" s="19">
        <v>45400</v>
      </c>
      <c r="B1384" s="26">
        <f>('Raw Price Data'!B1384-'Raw Price Data'!B1383)/'Raw Price Data'!B1383</f>
        <v>-1.0848849142354419E-2</v>
      </c>
      <c r="C1384" s="26">
        <f>('Raw Price Data'!C1384-'Raw Price Data'!C1383)/'Raw Price Data'!C1383</f>
        <v>2.2227034384618961E-2</v>
      </c>
      <c r="D1384" s="26">
        <f>('Raw Price Data'!D1384-'Raw Price Data'!D1383)/'Raw Price Data'!D1383</f>
        <v>1.2934690415606586E-2</v>
      </c>
      <c r="E1384" s="26">
        <f>('Raw Price Data'!E1384-'Raw Price Data'!E1383)/'Raw Price Data'!E1383</f>
        <v>-1.3839366652565372E-2</v>
      </c>
      <c r="F1384" s="26">
        <f>('Raw Price Data'!F1384-'Raw Price Data'!F1383)/'Raw Price Data'!F1383</f>
        <v>-1.3523522340918944E-2</v>
      </c>
    </row>
    <row r="1385" spans="1:6" ht="15" customHeight="1" x14ac:dyDescent="0.3">
      <c r="A1385" s="21">
        <v>45401</v>
      </c>
      <c r="B1385" s="25">
        <f>('Raw Price Data'!B1385-'Raw Price Data'!B1384)/'Raw Price Data'!B1384</f>
        <v>-1.4080331999407187E-2</v>
      </c>
      <c r="C1385" s="25">
        <f>('Raw Price Data'!C1385-'Raw Price Data'!C1384)/'Raw Price Data'!C1384</f>
        <v>-1.284650768672075E-2</v>
      </c>
      <c r="D1385" s="25">
        <f>('Raw Price Data'!D1385-'Raw Price Data'!D1384)/'Raw Price Data'!D1384</f>
        <v>-1.6014234875444851E-2</v>
      </c>
      <c r="E1385" s="25">
        <f>('Raw Price Data'!E1385-'Raw Price Data'!E1384)/'Raw Price Data'!E1384</f>
        <v>-2.5401397230052764E-2</v>
      </c>
      <c r="F1385" s="25">
        <f>('Raw Price Data'!F1385-'Raw Price Data'!F1384)/'Raw Price Data'!F1384</f>
        <v>2.0050819635618871E-3</v>
      </c>
    </row>
    <row r="1386" spans="1:6" ht="15" customHeight="1" x14ac:dyDescent="0.3">
      <c r="A1386" s="19">
        <v>45404</v>
      </c>
      <c r="B1386" s="26">
        <f>('Raw Price Data'!B1386-'Raw Price Data'!B1385)/'Raw Price Data'!B1385</f>
        <v>-1.9542994588093766E-2</v>
      </c>
      <c r="C1386" s="26">
        <f>('Raw Price Data'!C1386-'Raw Price Data'!C1385)/'Raw Price Data'!C1385</f>
        <v>-1.253084811232538E-3</v>
      </c>
      <c r="D1386" s="26">
        <f>('Raw Price Data'!D1386-'Raw Price Data'!D1385)/'Raw Price Data'!D1385</f>
        <v>-3.0635038825656945E-2</v>
      </c>
      <c r="E1386" s="26">
        <f>('Raw Price Data'!E1386-'Raw Price Data'!E1385)/'Raw Price Data'!E1385</f>
        <v>1.8643694784167029E-2</v>
      </c>
      <c r="F1386" s="26">
        <f>('Raw Price Data'!F1386-'Raw Price Data'!F1385)/'Raw Price Data'!F1385</f>
        <v>3.4049185796869957E-3</v>
      </c>
    </row>
    <row r="1387" spans="1:6" ht="15" customHeight="1" x14ac:dyDescent="0.3">
      <c r="A1387" s="21">
        <v>45405</v>
      </c>
      <c r="B1387" s="25">
        <f>('Raw Price Data'!B1387-'Raw Price Data'!B1386)/'Raw Price Data'!B1386</f>
        <v>7.7430236123887681E-3</v>
      </c>
      <c r="C1387" s="25">
        <f>('Raw Price Data'!C1387-'Raw Price Data'!C1386)/'Raw Price Data'!C1386</f>
        <v>-7.712111852479055E-4</v>
      </c>
      <c r="D1387" s="25">
        <f>('Raw Price Data'!D1387-'Raw Price Data'!D1386)/'Raw Price Data'!D1386</f>
        <v>7.0778009437069047E-3</v>
      </c>
      <c r="E1387" s="25">
        <f>('Raw Price Data'!E1387-'Raw Price Data'!E1386)/'Raw Price Data'!E1386</f>
        <v>-8.5493827160493269E-3</v>
      </c>
      <c r="F1387" s="25">
        <f>('Raw Price Data'!F1387-'Raw Price Data'!F1386)/'Raw Price Data'!F1386</f>
        <v>5.9402823820201445E-4</v>
      </c>
    </row>
    <row r="1388" spans="1:6" ht="15" customHeight="1" x14ac:dyDescent="0.3">
      <c r="A1388" s="19">
        <v>45406</v>
      </c>
      <c r="B1388" s="26">
        <f>('Raw Price Data'!B1388-'Raw Price Data'!B1387)/'Raw Price Data'!B1387</f>
        <v>8.9767972613161422E-3</v>
      </c>
      <c r="C1388" s="26">
        <f>('Raw Price Data'!C1388-'Raw Price Data'!C1387)/'Raw Price Data'!C1387</f>
        <v>1.1519498671407343E-4</v>
      </c>
      <c r="D1388" s="26">
        <f>('Raw Price Data'!D1388-'Raw Price Data'!D1387)/'Raw Price Data'!D1387</f>
        <v>-2.1302097521111549E-2</v>
      </c>
      <c r="E1388" s="26">
        <f>('Raw Price Data'!E1388-'Raw Price Data'!E1387)/'Raw Price Data'!E1387</f>
        <v>-3.4492419761541701E-2</v>
      </c>
      <c r="F1388" s="26">
        <f>('Raw Price Data'!F1388-'Raw Price Data'!F1387)/'Raw Price Data'!F1387</f>
        <v>3.5505955496276807E-3</v>
      </c>
    </row>
    <row r="1389" spans="1:6" ht="15" customHeight="1" x14ac:dyDescent="0.3">
      <c r="A1389" s="21">
        <v>45407</v>
      </c>
      <c r="B1389" s="25">
        <f>('Raw Price Data'!B1389-'Raw Price Data'!B1388)/'Raw Price Data'!B1388</f>
        <v>1.0555681218427248E-2</v>
      </c>
      <c r="C1389" s="25">
        <f>('Raw Price Data'!C1389-'Raw Price Data'!C1388)/'Raw Price Data'!C1388</f>
        <v>3.2488923358084565E-2</v>
      </c>
      <c r="D1389" s="25">
        <f>('Raw Price Data'!D1389-'Raw Price Data'!D1388)/'Raw Price Data'!D1388</f>
        <v>-2.1598753061678889E-2</v>
      </c>
      <c r="E1389" s="25">
        <f>('Raw Price Data'!E1389-'Raw Price Data'!E1388)/'Raw Price Data'!E1388</f>
        <v>1.0124133483798302E-2</v>
      </c>
      <c r="F1389" s="25">
        <f>('Raw Price Data'!F1389-'Raw Price Data'!F1388)/'Raw Price Data'!F1388</f>
        <v>1.4401574437452089E-2</v>
      </c>
    </row>
    <row r="1390" spans="1:6" ht="15" customHeight="1" x14ac:dyDescent="0.3">
      <c r="A1390" s="19">
        <v>45408</v>
      </c>
      <c r="B1390" s="26">
        <f>('Raw Price Data'!B1390-'Raw Price Data'!B1389)/'Raw Price Data'!B1389</f>
        <v>-1.8428709990300669E-2</v>
      </c>
      <c r="C1390" s="26">
        <f>('Raw Price Data'!C1390-'Raw Price Data'!C1389)/'Raw Price Data'!C1389</f>
        <v>-1.5138331102186538E-2</v>
      </c>
      <c r="D1390" s="26">
        <f>('Raw Price Data'!D1390-'Raw Price Data'!D1389)/'Raw Price Data'!D1389</f>
        <v>2.9585798816568632E-3</v>
      </c>
      <c r="E1390" s="26">
        <f>('Raw Price Data'!E1390-'Raw Price Data'!E1389)/'Raw Price Data'!E1389</f>
        <v>7.3095215295731226E-3</v>
      </c>
      <c r="F1390" s="26">
        <f>('Raw Price Data'!F1390-'Raw Price Data'!F1389)/'Raw Price Data'!F1389</f>
        <v>1.9219833112710635E-2</v>
      </c>
    </row>
    <row r="1391" spans="1:6" ht="15" customHeight="1" x14ac:dyDescent="0.3">
      <c r="A1391" s="21">
        <v>45411</v>
      </c>
      <c r="B1391" s="25">
        <f>('Raw Price Data'!B1391-'Raw Price Data'!B1390)/'Raw Price Data'!B1390</f>
        <v>1.4290057768318603E-2</v>
      </c>
      <c r="C1391" s="25">
        <f>('Raw Price Data'!C1391-'Raw Price Data'!C1390)/'Raw Price Data'!C1390</f>
        <v>4.3904262428780254E-2</v>
      </c>
      <c r="D1391" s="25">
        <f>('Raw Price Data'!D1391-'Raw Price Data'!D1390)/'Raw Price Data'!D1390</f>
        <v>1.5656909462219145E-2</v>
      </c>
      <c r="E1391" s="25">
        <f>('Raw Price Data'!E1391-'Raw Price Data'!E1390)/'Raw Price Data'!E1390</f>
        <v>6.2424741745358619E-3</v>
      </c>
      <c r="F1391" s="25">
        <f>('Raw Price Data'!F1391-'Raw Price Data'!F1390)/'Raw Price Data'!F1390</f>
        <v>8.4370708538386852E-3</v>
      </c>
    </row>
    <row r="1392" spans="1:6" ht="15" customHeight="1" x14ac:dyDescent="0.3">
      <c r="A1392" s="19">
        <v>45412</v>
      </c>
      <c r="B1392" s="26">
        <f>('Raw Price Data'!B1392-'Raw Price Data'!B1391)/'Raw Price Data'!B1391</f>
        <v>1.693645083932847E-2</v>
      </c>
      <c r="C1392" s="26">
        <f>('Raw Price Data'!C1392-'Raw Price Data'!C1391)/'Raw Price Data'!C1391</f>
        <v>-1.096293724251925E-2</v>
      </c>
      <c r="D1392" s="26">
        <f>('Raw Price Data'!D1392-'Raw Price Data'!D1391)/'Raw Price Data'!D1391</f>
        <v>-1.1896782841823031E-2</v>
      </c>
      <c r="E1392" s="26">
        <f>('Raw Price Data'!E1392-'Raw Price Data'!E1391)/'Raw Price Data'!E1391</f>
        <v>-2.4877971972917759E-2</v>
      </c>
      <c r="F1392" s="26">
        <f>('Raw Price Data'!F1392-'Raw Price Data'!F1391)/'Raw Price Data'!F1391</f>
        <v>-3.6170553961834694E-3</v>
      </c>
    </row>
    <row r="1393" spans="1:6" ht="15" customHeight="1" x14ac:dyDescent="0.3">
      <c r="A1393" s="21">
        <v>45413</v>
      </c>
      <c r="B1393" s="25">
        <f>('Raw Price Data'!B1393-'Raw Price Data'!B1392)/'Raw Price Data'!B1392</f>
        <v>-1.0316875460573793E-3</v>
      </c>
      <c r="C1393" s="25">
        <f>('Raw Price Data'!C1393-'Raw Price Data'!C1392)/'Raw Price Data'!C1392</f>
        <v>-1.3878425722080343E-2</v>
      </c>
      <c r="D1393" s="25">
        <f>('Raw Price Data'!D1393-'Raw Price Data'!D1392)/'Raw Price Data'!D1392</f>
        <v>-1.3622746029054302E-2</v>
      </c>
      <c r="E1393" s="25">
        <f>('Raw Price Data'!E1393-'Raw Price Data'!E1392)/'Raw Price Data'!E1392</f>
        <v>-2.0636202163733203E-2</v>
      </c>
      <c r="F1393" s="25">
        <f>('Raw Price Data'!F1393-'Raw Price Data'!F1392)/'Raw Price Data'!F1392</f>
        <v>4.4626624344301334E-3</v>
      </c>
    </row>
    <row r="1394" spans="1:6" ht="15" customHeight="1" x14ac:dyDescent="0.3">
      <c r="A1394" s="19">
        <v>45414</v>
      </c>
      <c r="B1394" s="26">
        <f>('Raw Price Data'!B1394-'Raw Price Data'!B1393)/'Raw Price Data'!B1393</f>
        <v>7.3768073177924397E-4</v>
      </c>
      <c r="C1394" s="26">
        <f>('Raw Price Data'!C1394-'Raw Price Data'!C1393)/'Raw Price Data'!C1393</f>
        <v>-1.1058738888415085E-2</v>
      </c>
      <c r="D1394" s="26">
        <f>('Raw Price Data'!D1394-'Raw Price Data'!D1393)/'Raw Price Data'!D1393</f>
        <v>2.4068767908309391E-2</v>
      </c>
      <c r="E1394" s="26">
        <f>('Raw Price Data'!E1394-'Raw Price Data'!E1393)/'Raw Price Data'!E1393</f>
        <v>3.3766405064960793E-2</v>
      </c>
      <c r="F1394" s="26">
        <f>('Raw Price Data'!F1394-'Raw Price Data'!F1393)/'Raw Price Data'!F1393</f>
        <v>-1.537773374772845E-2</v>
      </c>
    </row>
    <row r="1395" spans="1:6" ht="15" customHeight="1" x14ac:dyDescent="0.3">
      <c r="A1395" s="21">
        <v>45415</v>
      </c>
      <c r="B1395" s="25">
        <f>('Raw Price Data'!B1395-'Raw Price Data'!B1394)/'Raw Price Data'!B1394</f>
        <v>9.6564941766180325E-3</v>
      </c>
      <c r="C1395" s="25">
        <f>('Raw Price Data'!C1395-'Raw Price Data'!C1394)/'Raw Price Data'!C1394</f>
        <v>1.2037394672796579E-2</v>
      </c>
      <c r="D1395" s="25">
        <f>('Raw Price Data'!D1395-'Raw Price Data'!D1394)/'Raw Price Data'!D1394</f>
        <v>-2.1824286513710003E-2</v>
      </c>
      <c r="E1395" s="25">
        <f>('Raw Price Data'!E1395-'Raw Price Data'!E1394)/'Raw Price Data'!E1394</f>
        <v>-1.097288676236044E-2</v>
      </c>
      <c r="F1395" s="25">
        <f>('Raw Price Data'!F1395-'Raw Price Data'!F1394)/'Raw Price Data'!F1394</f>
        <v>4.8875984206002323E-4</v>
      </c>
    </row>
    <row r="1396" spans="1:6" ht="15" customHeight="1" x14ac:dyDescent="0.3">
      <c r="A1396" s="19">
        <v>45418</v>
      </c>
      <c r="B1396" s="26">
        <f>('Raw Price Data'!B1396-'Raw Price Data'!B1395)/'Raw Price Data'!B1395</f>
        <v>5.402642914506893E-3</v>
      </c>
      <c r="C1396" s="26">
        <f>('Raw Price Data'!C1396-'Raw Price Data'!C1395)/'Raw Price Data'!C1395</f>
        <v>3.4459887579242415E-4</v>
      </c>
      <c r="D1396" s="26">
        <f>('Raw Price Data'!D1396-'Raw Price Data'!D1395)/'Raw Price Data'!D1395</f>
        <v>1.3729977116704675E-2</v>
      </c>
      <c r="E1396" s="26">
        <f>('Raw Price Data'!E1396-'Raw Price Data'!E1395)/'Raw Price Data'!E1395</f>
        <v>9.0950138682835361E-3</v>
      </c>
      <c r="F1396" s="26">
        <f>('Raw Price Data'!F1396-'Raw Price Data'!F1395)/'Raw Price Data'!F1395</f>
        <v>2.1472336623587048E-2</v>
      </c>
    </row>
    <row r="1397" spans="1:6" ht="15" customHeight="1" x14ac:dyDescent="0.3">
      <c r="A1397" s="21">
        <v>45419</v>
      </c>
      <c r="B1397" s="25">
        <f>('Raw Price Data'!B1397-'Raw Price Data'!B1396)/'Raw Price Data'!B1396</f>
        <v>9.2222787016192128E-3</v>
      </c>
      <c r="C1397" s="25">
        <f>('Raw Price Data'!C1397-'Raw Price Data'!C1396)/'Raw Price Data'!C1396</f>
        <v>2.0372483072318613E-2</v>
      </c>
      <c r="D1397" s="25">
        <f>('Raw Price Data'!D1397-'Raw Price Data'!D1396)/'Raw Price Data'!D1396</f>
        <v>7.167042889390577E-3</v>
      </c>
      <c r="E1397" s="25">
        <f>('Raw Price Data'!E1397-'Raw Price Data'!E1396)/'Raw Price Data'!E1396</f>
        <v>2.8125799028381345E-3</v>
      </c>
      <c r="F1397" s="25">
        <f>('Raw Price Data'!F1397-'Raw Price Data'!F1396)/'Raw Price Data'!F1396</f>
        <v>-2.2889743496646531E-4</v>
      </c>
    </row>
    <row r="1398" spans="1:6" ht="15" customHeight="1" x14ac:dyDescent="0.3">
      <c r="A1398" s="19">
        <v>45420</v>
      </c>
      <c r="B1398" s="26">
        <f>('Raw Price Data'!B1398-'Raw Price Data'!B1397)/'Raw Price Data'!B1397</f>
        <v>-1.4750323787595216E-2</v>
      </c>
      <c r="C1398" s="26">
        <f>('Raw Price Data'!C1398-'Raw Price Data'!C1397)/'Raw Price Data'!C1397</f>
        <v>-1.3932450484985646E-2</v>
      </c>
      <c r="D1398" s="26">
        <f>('Raw Price Data'!D1398-'Raw Price Data'!D1397)/'Raw Price Data'!D1397</f>
        <v>-1.103826973721073E-2</v>
      </c>
      <c r="E1398" s="26">
        <f>('Raw Price Data'!E1398-'Raw Price Data'!E1397)/'Raw Price Data'!E1397</f>
        <v>-2.5720295767465557E-2</v>
      </c>
      <c r="F1398" s="26">
        <f>('Raw Price Data'!F1398-'Raw Price Data'!F1397)/'Raw Price Data'!F1397</f>
        <v>2.2765946347205835E-4</v>
      </c>
    </row>
    <row r="1399" spans="1:6" ht="15" customHeight="1" x14ac:dyDescent="0.3">
      <c r="A1399" s="21">
        <v>45421</v>
      </c>
      <c r="B1399" s="25">
        <f>('Raw Price Data'!B1399-'Raw Price Data'!B1398)/'Raw Price Data'!B1398</f>
        <v>-2.0448404294164985E-3</v>
      </c>
      <c r="C1399" s="25">
        <f>('Raw Price Data'!C1399-'Raw Price Data'!C1398)/'Raw Price Data'!C1398</f>
        <v>-2.8917587636304799E-2</v>
      </c>
      <c r="D1399" s="25">
        <f>('Raw Price Data'!D1399-'Raw Price Data'!D1398)/'Raw Price Data'!D1398</f>
        <v>-1.6997167138810842E-3</v>
      </c>
      <c r="E1399" s="25">
        <f>('Raw Price Data'!E1399-'Raw Price Data'!E1398)/'Raw Price Data'!E1398</f>
        <v>-2.7380679773626893E-2</v>
      </c>
      <c r="F1399" s="25">
        <f>('Raw Price Data'!F1399-'Raw Price Data'!F1398)/'Raw Price Data'!F1398</f>
        <v>-8.5283755780497031E-3</v>
      </c>
    </row>
    <row r="1400" spans="1:6" ht="15" customHeight="1" x14ac:dyDescent="0.3">
      <c r="A1400" s="19">
        <v>45422</v>
      </c>
      <c r="B1400" s="26">
        <f>('Raw Price Data'!B1400-'Raw Price Data'!B1399)/'Raw Price Data'!B1399</f>
        <v>-1.6538602268569479E-2</v>
      </c>
      <c r="C1400" s="26">
        <f>('Raw Price Data'!C1400-'Raw Price Data'!C1399)/'Raw Price Data'!C1399</f>
        <v>-5.9481611500536644E-3</v>
      </c>
      <c r="D1400" s="26">
        <f>('Raw Price Data'!D1400-'Raw Price Data'!D1399)/'Raw Price Data'!D1399</f>
        <v>-1.3166855845629929E-2</v>
      </c>
      <c r="E1400" s="26">
        <f>('Raw Price Data'!E1400-'Raw Price Data'!E1399)/'Raw Price Data'!E1399</f>
        <v>9.8547020045742194E-3</v>
      </c>
      <c r="F1400" s="26">
        <f>('Raw Price Data'!F1400-'Raw Price Data'!F1399)/'Raw Price Data'!F1399</f>
        <v>1.3006417237745602E-2</v>
      </c>
    </row>
    <row r="1401" spans="1:6" ht="15" customHeight="1" x14ac:dyDescent="0.3">
      <c r="A1401" s="21">
        <v>45425</v>
      </c>
      <c r="B1401" s="25">
        <f>('Raw Price Data'!B1401-'Raw Price Data'!B1400)/'Raw Price Data'!B1400</f>
        <v>9.0780564030063793E-3</v>
      </c>
      <c r="C1401" s="25">
        <f>('Raw Price Data'!C1401-'Raw Price Data'!C1400)/'Raw Price Data'!C1400</f>
        <v>5.5299187674001755E-3</v>
      </c>
      <c r="D1401" s="25">
        <f>('Raw Price Data'!D1401-'Raw Price Data'!D1400)/'Raw Price Data'!D1400</f>
        <v>-1.0121923165401375E-2</v>
      </c>
      <c r="E1401" s="25">
        <f>('Raw Price Data'!E1401-'Raw Price Data'!E1400)/'Raw Price Data'!E1400</f>
        <v>-5.3955037468776173E-3</v>
      </c>
      <c r="F1401" s="25">
        <f>('Raw Price Data'!F1401-'Raw Price Data'!F1400)/'Raw Price Data'!F1400</f>
        <v>-2.8597904471805522E-3</v>
      </c>
    </row>
    <row r="1402" spans="1:6" ht="15" customHeight="1" x14ac:dyDescent="0.3">
      <c r="A1402" s="19">
        <v>45426</v>
      </c>
      <c r="B1402" s="26">
        <f>('Raw Price Data'!B1402-'Raw Price Data'!B1401)/'Raw Price Data'!B1401</f>
        <v>7.6690509549442662E-3</v>
      </c>
      <c r="C1402" s="26">
        <f>('Raw Price Data'!C1402-'Raw Price Data'!C1401)/'Raw Price Data'!C1401</f>
        <v>-2.5328074034741618E-2</v>
      </c>
      <c r="D1402" s="26">
        <f>('Raw Price Data'!D1402-'Raw Price Data'!D1401)/'Raw Price Data'!D1401</f>
        <v>-1.9753660237044122E-3</v>
      </c>
      <c r="E1402" s="26">
        <f>('Raw Price Data'!E1402-'Raw Price Data'!E1401)/'Raw Price Data'!E1401</f>
        <v>-4.8555068144526294E-3</v>
      </c>
      <c r="F1402" s="26">
        <f>('Raw Price Data'!F1402-'Raw Price Data'!F1401)/'Raw Price Data'!F1401</f>
        <v>3.8214134224247411E-3</v>
      </c>
    </row>
    <row r="1403" spans="1:6" ht="15" customHeight="1" x14ac:dyDescent="0.3">
      <c r="A1403" s="21">
        <v>45427</v>
      </c>
      <c r="B1403" s="25">
        <f>('Raw Price Data'!B1403-'Raw Price Data'!B1402)/'Raw Price Data'!B1402</f>
        <v>-1.0245151847787395E-3</v>
      </c>
      <c r="C1403" s="25">
        <f>('Raw Price Data'!C1403-'Raw Price Data'!C1402)/'Raw Price Data'!C1402</f>
        <v>-1.2841366321377301E-3</v>
      </c>
      <c r="D1403" s="25">
        <f>('Raw Price Data'!D1403-'Raw Price Data'!D1402)/'Raw Price Data'!D1402</f>
        <v>-1.0769589009197778E-2</v>
      </c>
      <c r="E1403" s="25">
        <f>('Raw Price Data'!E1403-'Raw Price Data'!E1402)/'Raw Price Data'!E1402</f>
        <v>2.0156134329362706E-2</v>
      </c>
      <c r="F1403" s="25">
        <f>('Raw Price Data'!F1403-'Raw Price Data'!F1402)/'Raw Price Data'!F1402</f>
        <v>-3.5965954161052286E-3</v>
      </c>
    </row>
    <row r="1404" spans="1:6" ht="15" customHeight="1" x14ac:dyDescent="0.3">
      <c r="A1404" s="19">
        <v>45428</v>
      </c>
      <c r="B1404" s="26">
        <f>('Raw Price Data'!B1404-'Raw Price Data'!B1403)/'Raw Price Data'!B1403</f>
        <v>4.3952823968941672E-3</v>
      </c>
      <c r="C1404" s="26">
        <f>('Raw Price Data'!C1404-'Raw Price Data'!C1403)/'Raw Price Data'!C1403</f>
        <v>1.0040833502174143E-2</v>
      </c>
      <c r="D1404" s="26">
        <f>('Raw Price Data'!D1404-'Raw Price Data'!D1403)/'Raw Price Data'!D1403</f>
        <v>-2.5539928205731793E-2</v>
      </c>
      <c r="E1404" s="26">
        <f>('Raw Price Data'!E1404-'Raw Price Data'!E1403)/'Raw Price Data'!E1403</f>
        <v>-3.0181086519114799E-2</v>
      </c>
      <c r="F1404" s="26">
        <f>('Raw Price Data'!F1404-'Raw Price Data'!F1403)/'Raw Price Data'!F1403</f>
        <v>-1.3401009923716733E-2</v>
      </c>
    </row>
    <row r="1405" spans="1:6" ht="15" customHeight="1" x14ac:dyDescent="0.3">
      <c r="A1405" s="21">
        <v>45429</v>
      </c>
      <c r="B1405" s="25">
        <f>('Raw Price Data'!B1405-'Raw Price Data'!B1404)/'Raw Price Data'!B1404</f>
        <v>-2.1223834877106152E-2</v>
      </c>
      <c r="C1405" s="25">
        <f>('Raw Price Data'!C1405-'Raw Price Data'!C1404)/'Raw Price Data'!C1404</f>
        <v>-1.3632733991953118E-2</v>
      </c>
      <c r="D1405" s="25">
        <f>('Raw Price Data'!D1405-'Raw Price Data'!D1404)/'Raw Price Data'!D1404</f>
        <v>1.1655293194033496E-2</v>
      </c>
      <c r="E1405" s="25">
        <f>('Raw Price Data'!E1405-'Raw Price Data'!E1404)/'Raw Price Data'!E1404</f>
        <v>-6.8022583497717379E-4</v>
      </c>
      <c r="F1405" s="25">
        <f>('Raw Price Data'!F1405-'Raw Price Data'!F1404)/'Raw Price Data'!F1404</f>
        <v>-1.6703267029984893E-3</v>
      </c>
    </row>
    <row r="1406" spans="1:6" ht="15" customHeight="1" x14ac:dyDescent="0.3">
      <c r="A1406" s="19">
        <v>45432</v>
      </c>
      <c r="B1406" s="26">
        <f>('Raw Price Data'!B1406-'Raw Price Data'!B1405)/'Raw Price Data'!B1405</f>
        <v>1.2220566318927087E-2</v>
      </c>
      <c r="C1406" s="26">
        <f>('Raw Price Data'!C1406-'Raw Price Data'!C1405)/'Raw Price Data'!C1405</f>
        <v>-1.393848139384809E-2</v>
      </c>
      <c r="D1406" s="26">
        <f>('Raw Price Data'!D1406-'Raw Price Data'!D1405)/'Raw Price Data'!D1405</f>
        <v>-9.1332378223495762E-3</v>
      </c>
      <c r="E1406" s="26">
        <f>('Raw Price Data'!E1406-'Raw Price Data'!E1405)/'Raw Price Data'!E1405</f>
        <v>2.2632904499353464E-2</v>
      </c>
      <c r="F1406" s="26">
        <f>('Raw Price Data'!F1406-'Raw Price Data'!F1405)/'Raw Price Data'!F1405</f>
        <v>-1.1081603753231318E-2</v>
      </c>
    </row>
    <row r="1407" spans="1:6" ht="15" customHeight="1" x14ac:dyDescent="0.3">
      <c r="A1407" s="21">
        <v>45433</v>
      </c>
      <c r="B1407" s="25">
        <f>('Raw Price Data'!B1407-'Raw Price Data'!B1406)/'Raw Price Data'!B1406</f>
        <v>-6.1837455830388941E-3</v>
      </c>
      <c r="C1407" s="25">
        <f>('Raw Price Data'!C1407-'Raw Price Data'!C1406)/'Raw Price Data'!C1406</f>
        <v>-1.8720427079573641E-2</v>
      </c>
      <c r="D1407" s="25">
        <f>('Raw Price Data'!D1407-'Raw Price Data'!D1406)/'Raw Price Data'!D1406</f>
        <v>1.2952587505271264E-2</v>
      </c>
      <c r="E1407" s="25">
        <f>('Raw Price Data'!E1407-'Raw Price Data'!E1406)/'Raw Price Data'!E1406</f>
        <v>1.6407628049389122E-2</v>
      </c>
      <c r="F1407" s="25">
        <f>('Raw Price Data'!F1407-'Raw Price Data'!F1406)/'Raw Price Data'!F1406</f>
        <v>-7.3237551996148936E-3</v>
      </c>
    </row>
    <row r="1408" spans="1:6" ht="15" customHeight="1" x14ac:dyDescent="0.3">
      <c r="A1408" s="19">
        <v>45434</v>
      </c>
      <c r="B1408" s="26">
        <f>('Raw Price Data'!B1408-'Raw Price Data'!B1407)/'Raw Price Data'!B1407</f>
        <v>2.0740740740740823E-3</v>
      </c>
      <c r="C1408" s="26">
        <f>('Raw Price Data'!C1408-'Raw Price Data'!C1407)/'Raw Price Data'!C1407</f>
        <v>-1.9360497310143701E-3</v>
      </c>
      <c r="D1408" s="26">
        <f>('Raw Price Data'!D1408-'Raw Price Data'!D1407)/'Raw Price Data'!D1407</f>
        <v>-2.0815986677768191E-3</v>
      </c>
      <c r="E1408" s="26">
        <f>('Raw Price Data'!E1408-'Raw Price Data'!E1407)/'Raw Price Data'!E1407</f>
        <v>-4.7478716437458698E-3</v>
      </c>
      <c r="F1408" s="26">
        <f>('Raw Price Data'!F1408-'Raw Price Data'!F1407)/'Raw Price Data'!F1407</f>
        <v>-6.1185047139411695E-3</v>
      </c>
    </row>
    <row r="1409" spans="1:6" ht="15" customHeight="1" x14ac:dyDescent="0.3">
      <c r="A1409" s="21">
        <v>45435</v>
      </c>
      <c r="B1409" s="25">
        <f>('Raw Price Data'!B1409-'Raw Price Data'!B1408)/'Raw Price Data'!B1408</f>
        <v>1.5819041986989846E-2</v>
      </c>
      <c r="C1409" s="25">
        <f>('Raw Price Data'!C1409-'Raw Price Data'!C1408)/'Raw Price Data'!C1408</f>
        <v>8.6461050005669209E-3</v>
      </c>
      <c r="D1409" s="25">
        <f>('Raw Price Data'!D1409-'Raw Price Data'!D1408)/'Raw Price Data'!D1408</f>
        <v>4.469873055605221E-2</v>
      </c>
      <c r="E1409" s="25">
        <f>('Raw Price Data'!E1409-'Raw Price Data'!E1408)/'Raw Price Data'!E1408</f>
        <v>9.3436420463893135E-3</v>
      </c>
      <c r="F1409" s="25">
        <f>('Raw Price Data'!F1409-'Raw Price Data'!F1408)/'Raw Price Data'!F1408</f>
        <v>1.9882585702979086E-2</v>
      </c>
    </row>
    <row r="1410" spans="1:6" ht="15" customHeight="1" x14ac:dyDescent="0.3">
      <c r="A1410" s="19">
        <v>45436</v>
      </c>
      <c r="B1410" s="26">
        <f>('Raw Price Data'!B1410-'Raw Price Data'!B1409)/'Raw Price Data'!B1409</f>
        <v>-1.0187745597438345E-2</v>
      </c>
      <c r="C1410" s="26">
        <f>('Raw Price Data'!C1410-'Raw Price Data'!C1409)/'Raw Price Data'!C1409</f>
        <v>4.9055073534430428E-2</v>
      </c>
      <c r="D1410" s="26">
        <f>('Raw Price Data'!D1410-'Raw Price Data'!D1409)/'Raw Price Data'!D1409</f>
        <v>9.1847795082435606E-3</v>
      </c>
      <c r="E1410" s="26">
        <f>('Raw Price Data'!E1410-'Raw Price Data'!E1409)/'Raw Price Data'!E1409</f>
        <v>1.2288536132207638E-2</v>
      </c>
      <c r="F1410" s="26">
        <f>('Raw Price Data'!F1410-'Raw Price Data'!F1409)/'Raw Price Data'!F1409</f>
        <v>7.7019897448219769E-3</v>
      </c>
    </row>
    <row r="1411" spans="1:6" ht="15" customHeight="1" x14ac:dyDescent="0.3">
      <c r="A1411" s="21">
        <v>45439</v>
      </c>
      <c r="B1411" s="25">
        <f>('Raw Price Data'!B1411-'Raw Price Data'!B1410)/'Raw Price Data'!B1410</f>
        <v>1.6909278047345853E-2</v>
      </c>
      <c r="C1411" s="25">
        <f>('Raw Price Data'!C1411-'Raw Price Data'!C1410)/'Raw Price Data'!C1410</f>
        <v>2.1149319708364513E-2</v>
      </c>
      <c r="D1411" s="25">
        <f>('Raw Price Data'!D1411-'Raw Price Data'!D1410)/'Raw Price Data'!D1410</f>
        <v>-2.08027133973997E-2</v>
      </c>
      <c r="E1411" s="25">
        <f>('Raw Price Data'!E1411-'Raw Price Data'!E1410)/'Raw Price Data'!E1410</f>
        <v>-1.6099948480164862E-2</v>
      </c>
      <c r="F1411" s="25">
        <f>('Raw Price Data'!F1411-'Raw Price Data'!F1410)/'Raw Price Data'!F1410</f>
        <v>3.9313767605410948E-3</v>
      </c>
    </row>
    <row r="1412" spans="1:6" ht="15" customHeight="1" x14ac:dyDescent="0.3">
      <c r="A1412" s="19">
        <v>45440</v>
      </c>
      <c r="B1412" s="26">
        <f>('Raw Price Data'!B1412-'Raw Price Data'!B1411)/'Raw Price Data'!B1411</f>
        <v>2.0242914979757168E-3</v>
      </c>
      <c r="C1412" s="26">
        <f>('Raw Price Data'!C1412-'Raw Price Data'!C1411)/'Raw Price Data'!C1411</f>
        <v>-2.1659526781129698E-2</v>
      </c>
      <c r="D1412" s="26">
        <f>('Raw Price Data'!D1412-'Raw Price Data'!D1411)/'Raw Price Data'!D1411</f>
        <v>-2.118692991571405E-2</v>
      </c>
      <c r="E1412" s="26">
        <f>('Raw Price Data'!E1412-'Raw Price Data'!E1411)/'Raw Price Data'!E1411</f>
        <v>-2.7425055635554377E-2</v>
      </c>
      <c r="F1412" s="26">
        <f>('Raw Price Data'!F1412-'Raw Price Data'!F1411)/'Raw Price Data'!F1411</f>
        <v>-6.775590727971053E-3</v>
      </c>
    </row>
    <row r="1413" spans="1:6" ht="15" customHeight="1" x14ac:dyDescent="0.3">
      <c r="A1413" s="21">
        <v>45441</v>
      </c>
      <c r="B1413" s="25">
        <f>('Raw Price Data'!B1413-'Raw Price Data'!B1412)/'Raw Price Data'!B1412</f>
        <v>7.2150072150068052E-4</v>
      </c>
      <c r="C1413" s="25">
        <f>('Raw Price Data'!C1413-'Raw Price Data'!C1412)/'Raw Price Data'!C1412</f>
        <v>-2.6510159673909815E-2</v>
      </c>
      <c r="D1413" s="25">
        <f>('Raw Price Data'!D1413-'Raw Price Data'!D1412)/'Raw Price Data'!D1412</f>
        <v>-1.3742258920672441E-2</v>
      </c>
      <c r="E1413" s="25">
        <f>('Raw Price Data'!E1413-'Raw Price Data'!E1412)/'Raw Price Data'!E1412</f>
        <v>1.679117033447745E-2</v>
      </c>
      <c r="F1413" s="25">
        <f>('Raw Price Data'!F1413-'Raw Price Data'!F1412)/'Raw Price Data'!F1412</f>
        <v>7.2606578794223268E-3</v>
      </c>
    </row>
    <row r="1414" spans="1:6" ht="15" customHeight="1" x14ac:dyDescent="0.3">
      <c r="A1414" s="19">
        <v>45442</v>
      </c>
      <c r="B1414" s="26">
        <f>('Raw Price Data'!B1414-'Raw Price Data'!B1413)/'Raw Price Data'!B1413</f>
        <v>8.0028839221342012E-3</v>
      </c>
      <c r="C1414" s="26">
        <f>('Raw Price Data'!C1414-'Raw Price Data'!C1413)/'Raw Price Data'!C1413</f>
        <v>-1.3497985140409883E-3</v>
      </c>
      <c r="D1414" s="26">
        <f>('Raw Price Data'!D1414-'Raw Price Data'!D1413)/'Raw Price Data'!D1413</f>
        <v>-6.3389546704939737E-3</v>
      </c>
      <c r="E1414" s="26">
        <f>('Raw Price Data'!E1414-'Raw Price Data'!E1413)/'Raw Price Data'!E1413</f>
        <v>1.4892279180593329E-3</v>
      </c>
      <c r="F1414" s="26">
        <f>('Raw Price Data'!F1414-'Raw Price Data'!F1413)/'Raw Price Data'!F1413</f>
        <v>-1.1757293407624828E-3</v>
      </c>
    </row>
    <row r="1415" spans="1:6" ht="15" customHeight="1" x14ac:dyDescent="0.3">
      <c r="A1415" s="21">
        <v>45443</v>
      </c>
      <c r="B1415" s="25">
        <f>('Raw Price Data'!B1415-'Raw Price Data'!B1414)/'Raw Price Data'!B1414</f>
        <v>-1.6951577140404867E-2</v>
      </c>
      <c r="C1415" s="25">
        <f>('Raw Price Data'!C1415-'Raw Price Data'!C1414)/'Raw Price Data'!C1414</f>
        <v>2.8321032119762418E-2</v>
      </c>
      <c r="D1415" s="25">
        <f>('Raw Price Data'!D1415-'Raw Price Data'!D1414)/'Raw Price Data'!D1414</f>
        <v>-2.5637939335580111E-2</v>
      </c>
      <c r="E1415" s="25">
        <f>('Raw Price Data'!E1415-'Raw Price Data'!E1414)/'Raw Price Data'!E1414</f>
        <v>3.4862203423435371E-2</v>
      </c>
      <c r="F1415" s="25">
        <f>('Raw Price Data'!F1415-'Raw Price Data'!F1414)/'Raw Price Data'!F1414</f>
        <v>1.42130071856092E-2</v>
      </c>
    </row>
    <row r="1416" spans="1:6" ht="15" customHeight="1" x14ac:dyDescent="0.3">
      <c r="A1416" s="19">
        <v>45446</v>
      </c>
      <c r="B1416" s="26">
        <f>('Raw Price Data'!B1416-'Raw Price Data'!B1415)/'Raw Price Data'!B1415</f>
        <v>8.5855646100116909E-3</v>
      </c>
      <c r="C1416" s="26">
        <f>('Raw Price Data'!C1416-'Raw Price Data'!C1415)/'Raw Price Data'!C1415</f>
        <v>1.2185962384463352E-2</v>
      </c>
      <c r="D1416" s="26">
        <f>('Raw Price Data'!D1416-'Raw Price Data'!D1415)/'Raw Price Data'!D1415</f>
        <v>-1.7294626312538672E-2</v>
      </c>
      <c r="E1416" s="26">
        <f>('Raw Price Data'!E1416-'Raw Price Data'!E1415)/'Raw Price Data'!E1415</f>
        <v>-1.1686943193792588E-2</v>
      </c>
      <c r="F1416" s="26">
        <f>('Raw Price Data'!F1416-'Raw Price Data'!F1415)/'Raw Price Data'!F1415</f>
        <v>-2.1416220594579092E-3</v>
      </c>
    </row>
    <row r="1417" spans="1:6" ht="15" customHeight="1" x14ac:dyDescent="0.3">
      <c r="A1417" s="21">
        <v>45447</v>
      </c>
      <c r="B1417" s="25">
        <f>('Raw Price Data'!B1417-'Raw Price Data'!B1416)/'Raw Price Data'!B1416</f>
        <v>1.1542345981820558E-3</v>
      </c>
      <c r="C1417" s="25">
        <f>('Raw Price Data'!C1417-'Raw Price Data'!C1416)/'Raw Price Data'!C1416</f>
        <v>-8.703849532059332E-3</v>
      </c>
      <c r="D1417" s="25">
        <f>('Raw Price Data'!D1417-'Raw Price Data'!D1416)/'Raw Price Data'!D1416</f>
        <v>6.2853551225640683E-4</v>
      </c>
      <c r="E1417" s="25">
        <f>('Raw Price Data'!E1417-'Raw Price Data'!E1416)/'Raw Price Data'!E1416</f>
        <v>1.9288552873897538E-2</v>
      </c>
      <c r="F1417" s="25">
        <f>('Raw Price Data'!F1417-'Raw Price Data'!F1416)/'Raw Price Data'!F1416</f>
        <v>1.9860548093953545E-2</v>
      </c>
    </row>
    <row r="1418" spans="1:6" ht="15" customHeight="1" x14ac:dyDescent="0.3">
      <c r="A1418" s="19">
        <v>45448</v>
      </c>
      <c r="B1418" s="26">
        <f>('Raw Price Data'!B1418-'Raw Price Data'!B1417)/'Raw Price Data'!B1417</f>
        <v>1.4699524427150829E-2</v>
      </c>
      <c r="C1418" s="26">
        <f>('Raw Price Data'!C1418-'Raw Price Data'!C1417)/'Raw Price Data'!C1417</f>
        <v>1.8259451490812966E-2</v>
      </c>
      <c r="D1418" s="26">
        <f>('Raw Price Data'!D1418-'Raw Price Data'!D1417)/'Raw Price Data'!D1417</f>
        <v>-2.4246231155778803E-2</v>
      </c>
      <c r="E1418" s="26">
        <f>('Raw Price Data'!E1418-'Raw Price Data'!E1417)/'Raw Price Data'!E1417</f>
        <v>1.6165842525675052E-2</v>
      </c>
      <c r="F1418" s="26">
        <f>('Raw Price Data'!F1418-'Raw Price Data'!F1417)/'Raw Price Data'!F1417</f>
        <v>-2.2609463482666666E-3</v>
      </c>
    </row>
    <row r="1419" spans="1:6" ht="15" customHeight="1" x14ac:dyDescent="0.3">
      <c r="A1419" s="21">
        <v>45449</v>
      </c>
      <c r="B1419" s="25">
        <f>('Raw Price Data'!B1419-'Raw Price Data'!B1418)/'Raw Price Data'!B1418</f>
        <v>-2.6984803294986186E-3</v>
      </c>
      <c r="C1419" s="25">
        <f>('Raw Price Data'!C1419-'Raw Price Data'!C1418)/'Raw Price Data'!C1418</f>
        <v>2.4889542341477368E-2</v>
      </c>
      <c r="D1419" s="25">
        <f>('Raw Price Data'!D1419-'Raw Price Data'!D1418)/'Raw Price Data'!D1418</f>
        <v>-1.1587485515643543E-3</v>
      </c>
      <c r="E1419" s="25">
        <f>('Raw Price Data'!E1419-'Raw Price Data'!E1418)/'Raw Price Data'!E1418</f>
        <v>9.7947470210245288E-3</v>
      </c>
      <c r="F1419" s="25">
        <f>('Raw Price Data'!F1419-'Raw Price Data'!F1418)/'Raw Price Data'!F1418</f>
        <v>1.382326025902898E-3</v>
      </c>
    </row>
    <row r="1420" spans="1:6" ht="15" customHeight="1" x14ac:dyDescent="0.3">
      <c r="A1420" s="19">
        <v>45450</v>
      </c>
      <c r="B1420" s="26">
        <f>('Raw Price Data'!B1420-'Raw Price Data'!B1419)/'Raw Price Data'!B1419</f>
        <v>-4.6995158074622373E-3</v>
      </c>
      <c r="C1420" s="26">
        <f>('Raw Price Data'!C1420-'Raw Price Data'!C1419)/'Raw Price Data'!C1419</f>
        <v>2.6378387873553517E-2</v>
      </c>
      <c r="D1420" s="26">
        <f>('Raw Price Data'!D1420-'Raw Price Data'!D1419)/'Raw Price Data'!D1419</f>
        <v>4.0603248259860501E-3</v>
      </c>
      <c r="E1420" s="26">
        <f>('Raw Price Data'!E1420-'Raw Price Data'!E1419)/'Raw Price Data'!E1419</f>
        <v>1.0193994810329423E-3</v>
      </c>
      <c r="F1420" s="26">
        <f>('Raw Price Data'!F1420-'Raw Price Data'!F1419)/'Raw Price Data'!F1419</f>
        <v>-4.9240184960865239E-3</v>
      </c>
    </row>
    <row r="1421" spans="1:6" ht="15" customHeight="1" x14ac:dyDescent="0.3">
      <c r="A1421" s="21">
        <v>45453</v>
      </c>
      <c r="B1421" s="25">
        <f>('Raw Price Data'!B1421-'Raw Price Data'!B1420)/'Raw Price Data'!B1420</f>
        <v>5.4371154671626195E-3</v>
      </c>
      <c r="C1421" s="25">
        <f>('Raw Price Data'!C1421-'Raw Price Data'!C1420)/'Raw Price Data'!C1420</f>
        <v>-1.8212806012935772E-2</v>
      </c>
      <c r="D1421" s="25">
        <f>('Raw Price Data'!D1421-'Raw Price Data'!D1420)/'Raw Price Data'!D1420</f>
        <v>-1.5405353360292738E-2</v>
      </c>
      <c r="E1421" s="25">
        <f>('Raw Price Data'!E1421-'Raw Price Data'!E1420)/'Raw Price Data'!E1420</f>
        <v>-1.7373862058324318E-2</v>
      </c>
      <c r="F1421" s="25">
        <f>('Raw Price Data'!F1421-'Raw Price Data'!F1420)/'Raw Price Data'!F1420</f>
        <v>6.1526813204259526E-5</v>
      </c>
    </row>
    <row r="1422" spans="1:6" ht="15" customHeight="1" x14ac:dyDescent="0.3">
      <c r="A1422" s="19">
        <v>45454</v>
      </c>
      <c r="B1422" s="26">
        <f>('Raw Price Data'!B1422-'Raw Price Data'!B1421)/'Raw Price Data'!B1421</f>
        <v>-4.9807883876471599E-4</v>
      </c>
      <c r="C1422" s="26">
        <f>('Raw Price Data'!C1422-'Raw Price Data'!C1421)/'Raw Price Data'!C1421</f>
        <v>8.3093036600158741E-3</v>
      </c>
      <c r="D1422" s="26">
        <f>('Raw Price Data'!D1422-'Raw Price Data'!D1421)/'Raw Price Data'!D1421</f>
        <v>9.9093813156008233E-3</v>
      </c>
      <c r="E1422" s="26">
        <f>('Raw Price Data'!E1422-'Raw Price Data'!E1421)/'Raw Price Data'!E1421</f>
        <v>-5.0562150618680161E-3</v>
      </c>
      <c r="F1422" s="26">
        <f>('Raw Price Data'!F1422-'Raw Price Data'!F1421)/'Raw Price Data'!F1421</f>
        <v>-1.0763091828909483E-2</v>
      </c>
    </row>
    <row r="1423" spans="1:6" ht="15" customHeight="1" x14ac:dyDescent="0.3">
      <c r="A1423" s="21">
        <v>45455</v>
      </c>
      <c r="B1423" s="25">
        <f>('Raw Price Data'!B1423-'Raw Price Data'!B1422)/'Raw Price Data'!B1422</f>
        <v>-1.6017655015305759E-2</v>
      </c>
      <c r="C1423" s="25">
        <f>('Raw Price Data'!C1423-'Raw Price Data'!C1422)/'Raw Price Data'!C1422</f>
        <v>-2.2003155142233576E-2</v>
      </c>
      <c r="D1423" s="25">
        <f>('Raw Price Data'!D1423-'Raw Price Data'!D1422)/'Raw Price Data'!D1422</f>
        <v>1.6783939061389898E-3</v>
      </c>
      <c r="E1423" s="25">
        <f>('Raw Price Data'!E1423-'Raw Price Data'!E1422)/'Raw Price Data'!E1422</f>
        <v>-8.8381048578012409E-3</v>
      </c>
      <c r="F1423" s="25">
        <f>('Raw Price Data'!F1423-'Raw Price Data'!F1422)/'Raw Price Data'!F1422</f>
        <v>-1.2657435971541505E-2</v>
      </c>
    </row>
    <row r="1424" spans="1:6" ht="15" customHeight="1" x14ac:dyDescent="0.3">
      <c r="A1424" s="19">
        <v>45456</v>
      </c>
      <c r="B1424" s="26">
        <f>('Raw Price Data'!B1424-'Raw Price Data'!B1423)/'Raw Price Data'!B1423</f>
        <v>-2.3151497612501314E-3</v>
      </c>
      <c r="C1424" s="26">
        <f>('Raw Price Data'!C1424-'Raw Price Data'!C1423)/'Raw Price Data'!C1423</f>
        <v>-1.3611605219255132E-2</v>
      </c>
      <c r="D1424" s="26">
        <f>('Raw Price Data'!D1424-'Raw Price Data'!D1423)/'Raw Price Data'!D1423</f>
        <v>1.7658052458593861E-2</v>
      </c>
      <c r="E1424" s="26">
        <f>('Raw Price Data'!E1424-'Raw Price Data'!E1423)/'Raw Price Data'!E1423</f>
        <v>8.9169134740941234E-4</v>
      </c>
      <c r="F1424" s="26">
        <f>('Raw Price Data'!F1424-'Raw Price Data'!F1423)/'Raw Price Data'!F1423</f>
        <v>-1.8492108131821904E-2</v>
      </c>
    </row>
    <row r="1425" spans="1:6" ht="15" customHeight="1" x14ac:dyDescent="0.3">
      <c r="A1425" s="21">
        <v>45457</v>
      </c>
      <c r="B1425" s="25">
        <f>('Raw Price Data'!B1425-'Raw Price Data'!B1424)/'Raw Price Data'!B1424</f>
        <v>1.783901377810013E-2</v>
      </c>
      <c r="C1425" s="25">
        <f>('Raw Price Data'!C1425-'Raw Price Data'!C1424)/'Raw Price Data'!C1424</f>
        <v>-2.1957384528649867E-2</v>
      </c>
      <c r="D1425" s="25">
        <f>('Raw Price Data'!D1425-'Raw Price Data'!D1424)/'Raw Price Data'!D1424</f>
        <v>1.0828953201190603E-2</v>
      </c>
      <c r="E1425" s="25">
        <f>('Raw Price Data'!E1425-'Raw Price Data'!E1424)/'Raw Price Data'!E1424</f>
        <v>-1.9281555251519304E-2</v>
      </c>
      <c r="F1425" s="25">
        <f>('Raw Price Data'!F1425-'Raw Price Data'!F1424)/'Raw Price Data'!F1424</f>
        <v>-9.1776107973490818E-3</v>
      </c>
    </row>
    <row r="1426" spans="1:6" ht="15" customHeight="1" x14ac:dyDescent="0.3">
      <c r="A1426" s="19">
        <v>45460</v>
      </c>
      <c r="B1426" s="26">
        <f>('Raw Price Data'!B1426-'Raw Price Data'!B1425)/'Raw Price Data'!B1425</f>
        <v>-9.261897976633219E-4</v>
      </c>
      <c r="C1426" s="26">
        <f>('Raw Price Data'!C1426-'Raw Price Data'!C1425)/'Raw Price Data'!C1425</f>
        <v>-4.0235764784925573E-3</v>
      </c>
      <c r="D1426" s="26">
        <f>('Raw Price Data'!D1426-'Raw Price Data'!D1425)/'Raw Price Data'!D1425</f>
        <v>-2.9444931712817872E-3</v>
      </c>
      <c r="E1426" s="26">
        <f>('Raw Price Data'!E1426-'Raw Price Data'!E1425)/'Raw Price Data'!E1425</f>
        <v>5.1260422411834802E-3</v>
      </c>
      <c r="F1426" s="26">
        <f>('Raw Price Data'!F1426-'Raw Price Data'!F1425)/'Raw Price Data'!F1425</f>
        <v>-1.0362962780927026E-2</v>
      </c>
    </row>
    <row r="1427" spans="1:6" ht="15" customHeight="1" x14ac:dyDescent="0.3">
      <c r="A1427" s="21">
        <v>45461</v>
      </c>
      <c r="B1427" s="25">
        <f>('Raw Price Data'!B1427-'Raw Price Data'!B1426)/'Raw Price Data'!B1426</f>
        <v>-1.1766383798045905E-2</v>
      </c>
      <c r="C1427" s="25">
        <f>('Raw Price Data'!C1427-'Raw Price Data'!C1426)/'Raw Price Data'!C1426</f>
        <v>-2.4733424810848594E-2</v>
      </c>
      <c r="D1427" s="25">
        <f>('Raw Price Data'!D1427-'Raw Price Data'!D1426)/'Raw Price Data'!D1426</f>
        <v>-2.0735155513667137E-3</v>
      </c>
      <c r="E1427" s="25">
        <f>('Raw Price Data'!E1427-'Raw Price Data'!E1426)/'Raw Price Data'!E1426</f>
        <v>3.4149962880475081E-2</v>
      </c>
      <c r="F1427" s="25">
        <f>('Raw Price Data'!F1427-'Raw Price Data'!F1426)/'Raw Price Data'!F1426</f>
        <v>3.621840225930339E-3</v>
      </c>
    </row>
    <row r="1428" spans="1:6" ht="15" customHeight="1" x14ac:dyDescent="0.3">
      <c r="A1428" s="19">
        <v>45462</v>
      </c>
      <c r="B1428" s="26">
        <f>('Raw Price Data'!B1428-'Raw Price Data'!B1427)/'Raw Price Data'!B1427</f>
        <v>1.0246788858421037E-2</v>
      </c>
      <c r="C1428" s="26">
        <f>('Raw Price Data'!C1428-'Raw Price Data'!C1427)/'Raw Price Data'!C1427</f>
        <v>1.4262190065592878E-2</v>
      </c>
      <c r="D1428" s="26">
        <f>('Raw Price Data'!D1428-'Raw Price Data'!D1427)/'Raw Price Data'!D1427</f>
        <v>7.6816521848633605E-3</v>
      </c>
      <c r="E1428" s="26">
        <f>('Raw Price Data'!E1428-'Raw Price Data'!E1427)/'Raw Price Data'!E1427</f>
        <v>-1.610537157838874E-2</v>
      </c>
      <c r="F1428" s="26">
        <f>('Raw Price Data'!F1428-'Raw Price Data'!F1427)/'Raw Price Data'!F1427</f>
        <v>-6.9532354064914667E-3</v>
      </c>
    </row>
    <row r="1429" spans="1:6" ht="15" customHeight="1" x14ac:dyDescent="0.3">
      <c r="A1429" s="21">
        <v>45463</v>
      </c>
      <c r="B1429" s="25">
        <f>('Raw Price Data'!B1429-'Raw Price Data'!B1428)/'Raw Price Data'!B1428</f>
        <v>-2.5357142857142939E-2</v>
      </c>
      <c r="C1429" s="25">
        <f>('Raw Price Data'!C1429-'Raw Price Data'!C1428)/'Raw Price Data'!C1428</f>
        <v>3.797301590991941E-4</v>
      </c>
      <c r="D1429" s="25">
        <f>('Raw Price Data'!D1429-'Raw Price Data'!D1428)/'Raw Price Data'!D1428</f>
        <v>6.3109222694327626E-3</v>
      </c>
      <c r="E1429" s="25">
        <f>('Raw Price Data'!E1429-'Raw Price Data'!E1428)/'Raw Price Data'!E1428</f>
        <v>1.0500269644386644E-2</v>
      </c>
      <c r="F1429" s="25">
        <f>('Raw Price Data'!F1429-'Raw Price Data'!F1428)/'Raw Price Data'!F1428</f>
        <v>-1.4064876900458008E-3</v>
      </c>
    </row>
    <row r="1430" spans="1:6" ht="15" customHeight="1" x14ac:dyDescent="0.3">
      <c r="A1430" s="19">
        <v>45464</v>
      </c>
      <c r="B1430" s="26">
        <f>('Raw Price Data'!B1430-'Raw Price Data'!B1429)/'Raw Price Data'!B1429</f>
        <v>-2.9094906559179179E-2</v>
      </c>
      <c r="C1430" s="26">
        <f>('Raw Price Data'!C1430-'Raw Price Data'!C1429)/'Raw Price Data'!C1429</f>
        <v>-1.465279499256336E-2</v>
      </c>
      <c r="D1430" s="26">
        <f>('Raw Price Data'!D1430-'Raw Price Data'!D1429)/'Raw Price Data'!D1429</f>
        <v>-2.6265135051226438E-2</v>
      </c>
      <c r="E1430" s="26">
        <f>('Raw Price Data'!E1430-'Raw Price Data'!E1429)/'Raw Price Data'!E1429</f>
        <v>-3.5254599108432275E-2</v>
      </c>
      <c r="F1430" s="26">
        <f>('Raw Price Data'!F1430-'Raw Price Data'!F1429)/'Raw Price Data'!F1429</f>
        <v>1.5222563970048064E-2</v>
      </c>
    </row>
    <row r="1431" spans="1:6" ht="15" customHeight="1" x14ac:dyDescent="0.3">
      <c r="A1431" s="21">
        <v>45467</v>
      </c>
      <c r="B1431" s="25">
        <f>('Raw Price Data'!B1431-'Raw Price Data'!B1430)/'Raw Price Data'!B1430</f>
        <v>3.0193236714991294E-4</v>
      </c>
      <c r="C1431" s="25">
        <f>('Raw Price Data'!C1431-'Raw Price Data'!C1430)/'Raw Price Data'!C1430</f>
        <v>9.1551261237533908E-3</v>
      </c>
      <c r="D1431" s="25">
        <f>('Raw Price Data'!D1431-'Raw Price Data'!D1430)/'Raw Price Data'!D1430</f>
        <v>1.4985333503379635E-2</v>
      </c>
      <c r="E1431" s="25">
        <f>('Raw Price Data'!E1431-'Raw Price Data'!E1430)/'Raw Price Data'!E1430</f>
        <v>9.957372034753189E-3</v>
      </c>
      <c r="F1431" s="25">
        <f>('Raw Price Data'!F1431-'Raw Price Data'!F1430)/'Raw Price Data'!F1430</f>
        <v>7.0849710708445167E-3</v>
      </c>
    </row>
    <row r="1432" spans="1:6" ht="15" customHeight="1" x14ac:dyDescent="0.3">
      <c r="A1432" s="19">
        <v>45468</v>
      </c>
      <c r="B1432" s="26">
        <f>('Raw Price Data'!B1432-'Raw Price Data'!B1431)/'Raw Price Data'!B1431</f>
        <v>2.7920313914878967E-3</v>
      </c>
      <c r="C1432" s="26">
        <f>('Raw Price Data'!C1432-'Raw Price Data'!C1431)/'Raw Price Data'!C1431</f>
        <v>2.7597946416746663E-2</v>
      </c>
      <c r="D1432" s="26">
        <f>('Raw Price Data'!D1432-'Raw Price Data'!D1431)/'Raw Price Data'!D1431</f>
        <v>-8.4186718602750205E-3</v>
      </c>
      <c r="E1432" s="26">
        <f>('Raw Price Data'!E1432-'Raw Price Data'!E1431)/'Raw Price Data'!E1431</f>
        <v>5.4128942874633722E-3</v>
      </c>
      <c r="F1432" s="26">
        <f>('Raw Price Data'!F1432-'Raw Price Data'!F1431)/'Raw Price Data'!F1431</f>
        <v>-1.7368940294681515E-2</v>
      </c>
    </row>
    <row r="1433" spans="1:6" ht="15" customHeight="1" x14ac:dyDescent="0.3">
      <c r="A1433" s="21">
        <v>45469</v>
      </c>
      <c r="B1433" s="25">
        <f>('Raw Price Data'!B1433-'Raw Price Data'!B1432)/'Raw Price Data'!B1432</f>
        <v>3.3862593122132374E-3</v>
      </c>
      <c r="C1433" s="25">
        <f>('Raw Price Data'!C1433-'Raw Price Data'!C1432)/'Raw Price Data'!C1432</f>
        <v>6.686706569575436E-3</v>
      </c>
      <c r="D1433" s="25">
        <f>('Raw Price Data'!D1433-'Raw Price Data'!D1432)/'Raw Price Data'!D1432</f>
        <v>1.8247481467401603E-2</v>
      </c>
      <c r="E1433" s="25">
        <f>('Raw Price Data'!E1433-'Raw Price Data'!E1432)/'Raw Price Data'!E1432</f>
        <v>-1.672808844736429E-2</v>
      </c>
      <c r="F1433" s="25">
        <f>('Raw Price Data'!F1433-'Raw Price Data'!F1432)/'Raw Price Data'!F1432</f>
        <v>4.9574220019436947E-3</v>
      </c>
    </row>
    <row r="1434" spans="1:6" ht="15" customHeight="1" x14ac:dyDescent="0.3">
      <c r="A1434" s="19">
        <v>45470</v>
      </c>
      <c r="B1434" s="26">
        <f>('Raw Price Data'!B1434-'Raw Price Data'!B1433)/'Raw Price Data'!B1433</f>
        <v>-1.2074396280186092E-2</v>
      </c>
      <c r="C1434" s="26">
        <f>('Raw Price Data'!C1434-'Raw Price Data'!C1433)/'Raw Price Data'!C1433</f>
        <v>-9.6998542762576547E-3</v>
      </c>
      <c r="D1434" s="26">
        <f>('Raw Price Data'!D1434-'Raw Price Data'!D1433)/'Raw Price Data'!D1433</f>
        <v>3.2356418393378245E-3</v>
      </c>
      <c r="E1434" s="26">
        <f>('Raw Price Data'!E1434-'Raw Price Data'!E1433)/'Raw Price Data'!E1433</f>
        <v>1.0885506632337229E-2</v>
      </c>
      <c r="F1434" s="26">
        <f>('Raw Price Data'!F1434-'Raw Price Data'!F1433)/'Raw Price Data'!F1433</f>
        <v>7.1850822474100037E-3</v>
      </c>
    </row>
    <row r="1435" spans="1:6" ht="15" customHeight="1" x14ac:dyDescent="0.3">
      <c r="A1435" s="21">
        <v>45471</v>
      </c>
      <c r="B1435" s="25">
        <f>('Raw Price Data'!B1435-'Raw Price Data'!B1434)/'Raw Price Data'!B1434</f>
        <v>-1.7459955970545039E-3</v>
      </c>
      <c r="C1435" s="25">
        <f>('Raw Price Data'!C1435-'Raw Price Data'!C1434)/'Raw Price Data'!C1434</f>
        <v>-4.4107302420197756E-3</v>
      </c>
      <c r="D1435" s="25">
        <f>('Raw Price Data'!D1435-'Raw Price Data'!D1434)/'Raw Price Data'!D1434</f>
        <v>-9.7996650747378539E-3</v>
      </c>
      <c r="E1435" s="25">
        <f>('Raw Price Data'!E1435-'Raw Price Data'!E1434)/'Raw Price Data'!E1434</f>
        <v>2.4502692072089203E-3</v>
      </c>
      <c r="F1435" s="25">
        <f>('Raw Price Data'!F1435-'Raw Price Data'!F1434)/'Raw Price Data'!F1434</f>
        <v>-1.257064210132225E-3</v>
      </c>
    </row>
    <row r="1436" spans="1:6" ht="15" customHeight="1" x14ac:dyDescent="0.3">
      <c r="A1436" s="19">
        <v>45474</v>
      </c>
      <c r="B1436" s="26">
        <f>('Raw Price Data'!B1436-'Raw Price Data'!B1435)/'Raw Price Data'!B1435</f>
        <v>-1.9087452471482819E-2</v>
      </c>
      <c r="C1436" s="26">
        <f>('Raw Price Data'!C1436-'Raw Price Data'!C1435)/'Raw Price Data'!C1435</f>
        <v>-1.2412397120323869E-3</v>
      </c>
      <c r="D1436" s="26">
        <f>('Raw Price Data'!D1436-'Raw Price Data'!D1435)/'Raw Price Data'!D1435</f>
        <v>3.7582211086753693E-4</v>
      </c>
      <c r="E1436" s="26">
        <f>('Raw Price Data'!E1436-'Raw Price Data'!E1435)/'Raw Price Data'!E1435</f>
        <v>3.4638021419612072E-2</v>
      </c>
      <c r="F1436" s="26">
        <f>('Raw Price Data'!F1436-'Raw Price Data'!F1435)/'Raw Price Data'!F1435</f>
        <v>-1.0396925924211932E-2</v>
      </c>
    </row>
    <row r="1437" spans="1:6" ht="15" customHeight="1" x14ac:dyDescent="0.3">
      <c r="A1437" s="21">
        <v>45475</v>
      </c>
      <c r="B1437" s="25">
        <f>('Raw Price Data'!B1437-'Raw Price Data'!B1436)/'Raw Price Data'!B1436</f>
        <v>3.3335917512983828E-3</v>
      </c>
      <c r="C1437" s="25">
        <f>('Raw Price Data'!C1437-'Raw Price Data'!C1436)/'Raw Price Data'!C1436</f>
        <v>-1.178157623035446E-2</v>
      </c>
      <c r="D1437" s="25">
        <f>('Raw Price Data'!D1437-'Raw Price Data'!D1436)/'Raw Price Data'!D1436</f>
        <v>2.3041763195792236E-2</v>
      </c>
      <c r="E1437" s="25">
        <f>('Raw Price Data'!E1437-'Raw Price Data'!E1436)/'Raw Price Data'!E1436</f>
        <v>2.6422132421511433E-3</v>
      </c>
      <c r="F1437" s="25">
        <f>('Raw Price Data'!F1437-'Raw Price Data'!F1436)/'Raw Price Data'!F1436</f>
        <v>4.466074423155302E-3</v>
      </c>
    </row>
    <row r="1438" spans="1:6" ht="15" customHeight="1" x14ac:dyDescent="0.3">
      <c r="A1438" s="19">
        <v>45476</v>
      </c>
      <c r="B1438" s="26">
        <f>('Raw Price Data'!B1438-'Raw Price Data'!B1437)/'Raw Price Data'!B1437</f>
        <v>-2.2021325915623509E-2</v>
      </c>
      <c r="C1438" s="26">
        <f>('Raw Price Data'!C1438-'Raw Price Data'!C1437)/'Raw Price Data'!C1437</f>
        <v>-2.9594201889106879E-2</v>
      </c>
      <c r="D1438" s="26">
        <f>('Raw Price Data'!D1438-'Raw Price Data'!D1437)/'Raw Price Data'!D1437</f>
        <v>-1.1383805618458812E-2</v>
      </c>
      <c r="E1438" s="26">
        <f>('Raw Price Data'!E1438-'Raw Price Data'!E1437)/'Raw Price Data'!E1437</f>
        <v>7.9367539916292123E-3</v>
      </c>
      <c r="F1438" s="26">
        <f>('Raw Price Data'!F1438-'Raw Price Data'!F1437)/'Raw Price Data'!F1437</f>
        <v>-2.5433504748449704E-3</v>
      </c>
    </row>
    <row r="1439" spans="1:6" ht="15" customHeight="1" x14ac:dyDescent="0.3">
      <c r="A1439" s="21">
        <v>45477</v>
      </c>
      <c r="B1439" s="25">
        <f>('Raw Price Data'!B1439-'Raw Price Data'!B1438)/'Raw Price Data'!B1438</f>
        <v>-1.7381686023544194E-3</v>
      </c>
      <c r="C1439" s="25">
        <f>('Raw Price Data'!C1439-'Raw Price Data'!C1438)/'Raw Price Data'!C1438</f>
        <v>-6.0810029467942154E-3</v>
      </c>
      <c r="D1439" s="25">
        <f>('Raw Price Data'!D1439-'Raw Price Data'!D1438)/'Raw Price Data'!D1438</f>
        <v>-2.6496626013743585E-2</v>
      </c>
      <c r="E1439" s="25">
        <f>('Raw Price Data'!E1439-'Raw Price Data'!E1438)/'Raw Price Data'!E1438</f>
        <v>-2.3069115068745961E-3</v>
      </c>
      <c r="F1439" s="25">
        <f>('Raw Price Data'!F1439-'Raw Price Data'!F1438)/'Raw Price Data'!F1438</f>
        <v>3.3828779355763168E-3</v>
      </c>
    </row>
    <row r="1440" spans="1:6" ht="15" customHeight="1" x14ac:dyDescent="0.3">
      <c r="A1440" s="19">
        <v>45478</v>
      </c>
      <c r="B1440" s="26">
        <f>('Raw Price Data'!B1440-'Raw Price Data'!B1439)/'Raw Price Data'!B1439</f>
        <v>3.8781163434903768E-3</v>
      </c>
      <c r="C1440" s="26">
        <f>('Raw Price Data'!C1440-'Raw Price Data'!C1439)/'Raw Price Data'!C1439</f>
        <v>2.2515004653849813E-2</v>
      </c>
      <c r="D1440" s="26">
        <f>('Raw Price Data'!D1440-'Raw Price Data'!D1439)/'Raw Price Data'!D1439</f>
        <v>-3.6883942766296504E-3</v>
      </c>
      <c r="E1440" s="26">
        <f>('Raw Price Data'!E1440-'Raw Price Data'!E1439)/'Raw Price Data'!E1439</f>
        <v>-2.0717721050684507E-2</v>
      </c>
      <c r="F1440" s="26">
        <f>('Raw Price Data'!F1440-'Raw Price Data'!F1439)/'Raw Price Data'!F1439</f>
        <v>6.9493073090050169E-3</v>
      </c>
    </row>
    <row r="1441" spans="1:6" ht="15" customHeight="1" x14ac:dyDescent="0.3">
      <c r="A1441" s="21">
        <v>45481</v>
      </c>
      <c r="B1441" s="25">
        <f>('Raw Price Data'!B1441-'Raw Price Data'!B1440)/'Raw Price Data'!B1440</f>
        <v>-2.3967202775149844E-2</v>
      </c>
      <c r="C1441" s="25">
        <f>('Raw Price Data'!C1441-'Raw Price Data'!C1440)/'Raw Price Data'!C1440</f>
        <v>-1.3995480013183147E-2</v>
      </c>
      <c r="D1441" s="25">
        <f>('Raw Price Data'!D1441-'Raw Price Data'!D1440)/'Raw Price Data'!D1440</f>
        <v>2.0233612050807533E-2</v>
      </c>
      <c r="E1441" s="25">
        <f>('Raw Price Data'!E1441-'Raw Price Data'!E1440)/'Raw Price Data'!E1440</f>
        <v>4.9647399571842464E-2</v>
      </c>
      <c r="F1441" s="25">
        <f>('Raw Price Data'!F1441-'Raw Price Data'!F1440)/'Raw Price Data'!F1440</f>
        <v>5.1166016366129101E-3</v>
      </c>
    </row>
    <row r="1442" spans="1:6" ht="15" customHeight="1" x14ac:dyDescent="0.3">
      <c r="A1442" s="19">
        <v>45482</v>
      </c>
      <c r="B1442" s="26">
        <f>('Raw Price Data'!B1442-'Raw Price Data'!B1441)/'Raw Price Data'!B1441</f>
        <v>-6.9466882067851328E-3</v>
      </c>
      <c r="C1442" s="26">
        <f>('Raw Price Data'!C1442-'Raw Price Data'!C1441)/'Raw Price Data'!C1441</f>
        <v>-3.3453905873832637E-2</v>
      </c>
      <c r="D1442" s="26">
        <f>('Raw Price Data'!D1442-'Raw Price Data'!D1441)/'Raw Price Data'!D1441</f>
        <v>2.546296296296292E-2</v>
      </c>
      <c r="E1442" s="26">
        <f>('Raw Price Data'!E1442-'Raw Price Data'!E1441)/'Raw Price Data'!E1441</f>
        <v>3.929096307849201E-3</v>
      </c>
      <c r="F1442" s="26">
        <f>('Raw Price Data'!F1442-'Raw Price Data'!F1441)/'Raw Price Data'!F1441</f>
        <v>-5.2259806326632229E-3</v>
      </c>
    </row>
    <row r="1443" spans="1:6" ht="15" customHeight="1" x14ac:dyDescent="0.3">
      <c r="A1443" s="21">
        <v>45483</v>
      </c>
      <c r="B1443" s="25">
        <f>('Raw Price Data'!B1443-'Raw Price Data'!B1442)/'Raw Price Data'!B1442</f>
        <v>1.1224987798926269E-2</v>
      </c>
      <c r="C1443" s="25">
        <f>('Raw Price Data'!C1443-'Raw Price Data'!C1442)/'Raw Price Data'!C1442</f>
        <v>-9.7161724867642974E-4</v>
      </c>
      <c r="D1443" s="25">
        <f>('Raw Price Data'!D1443-'Raw Price Data'!D1442)/'Raw Price Data'!D1442</f>
        <v>1.6655481666768286E-2</v>
      </c>
      <c r="E1443" s="25">
        <f>('Raw Price Data'!E1443-'Raw Price Data'!E1442)/'Raw Price Data'!E1442</f>
        <v>6.2440248565964829E-3</v>
      </c>
      <c r="F1443" s="25">
        <f>('Raw Price Data'!F1443-'Raw Price Data'!F1442)/'Raw Price Data'!F1442</f>
        <v>-1.7945908823337148E-2</v>
      </c>
    </row>
    <row r="1444" spans="1:6" ht="15" customHeight="1" x14ac:dyDescent="0.3">
      <c r="A1444" s="19">
        <v>45484</v>
      </c>
      <c r="B1444" s="26">
        <f>('Raw Price Data'!B1444-'Raw Price Data'!B1443)/'Raw Price Data'!B1443</f>
        <v>2.1798584298584365E-2</v>
      </c>
      <c r="C1444" s="26">
        <f>('Raw Price Data'!C1444-'Raw Price Data'!C1443)/'Raw Price Data'!C1443</f>
        <v>2.0048792951396655E-2</v>
      </c>
      <c r="D1444" s="26">
        <f>('Raw Price Data'!D1444-'Raw Price Data'!D1443)/'Raw Price Data'!D1443</f>
        <v>-3.3005280844935189E-2</v>
      </c>
      <c r="E1444" s="26">
        <f>('Raw Price Data'!E1444-'Raw Price Data'!E1443)/'Raw Price Data'!E1443</f>
        <v>2.0783230901694981E-3</v>
      </c>
      <c r="F1444" s="26">
        <f>('Raw Price Data'!F1444-'Raw Price Data'!F1443)/'Raw Price Data'!F1443</f>
        <v>1.4489748464240348E-3</v>
      </c>
    </row>
    <row r="1445" spans="1:6" ht="15" customHeight="1" x14ac:dyDescent="0.3">
      <c r="A1445" s="21">
        <v>45485</v>
      </c>
      <c r="B1445" s="25">
        <f>('Raw Price Data'!B1445-'Raw Price Data'!B1444)/'Raw Price Data'!B1444</f>
        <v>-2.0546327639140355E-2</v>
      </c>
      <c r="C1445" s="25">
        <f>('Raw Price Data'!C1445-'Raw Price Data'!C1444)/'Raw Price Data'!C1444</f>
        <v>-2.9787130892886728E-2</v>
      </c>
      <c r="D1445" s="25">
        <f>('Raw Price Data'!D1445-'Raw Price Data'!D1444)/'Raw Price Data'!D1444</f>
        <v>-3.3511232468660299E-3</v>
      </c>
      <c r="E1445" s="25">
        <f>('Raw Price Data'!E1445-'Raw Price Data'!E1444)/'Raw Price Data'!E1444</f>
        <v>-2.7228822849693336E-2</v>
      </c>
      <c r="F1445" s="25">
        <f>('Raw Price Data'!F1445-'Raw Price Data'!F1444)/'Raw Price Data'!F1444</f>
        <v>-1.0464928569565222E-3</v>
      </c>
    </row>
    <row r="1446" spans="1:6" ht="15" customHeight="1" x14ac:dyDescent="0.3">
      <c r="A1446" s="19">
        <v>45488</v>
      </c>
      <c r="B1446" s="26">
        <f>('Raw Price Data'!B1446-'Raw Price Data'!B1445)/'Raw Price Data'!B1445</f>
        <v>5.0634946150136268E-3</v>
      </c>
      <c r="C1446" s="26">
        <f>('Raw Price Data'!C1446-'Raw Price Data'!C1445)/'Raw Price Data'!C1445</f>
        <v>3.9475327920050042E-3</v>
      </c>
      <c r="D1446" s="26">
        <f>('Raw Price Data'!D1446-'Raw Price Data'!D1445)/'Raw Price Data'!D1445</f>
        <v>-7.0983810709837258E-3</v>
      </c>
      <c r="E1446" s="26">
        <f>('Raw Price Data'!E1446-'Raw Price Data'!E1445)/'Raw Price Data'!E1445</f>
        <v>-2.5219298245613954E-2</v>
      </c>
      <c r="F1446" s="26">
        <f>('Raw Price Data'!F1446-'Raw Price Data'!F1445)/'Raw Price Data'!F1445</f>
        <v>-1.5136144012639799E-3</v>
      </c>
    </row>
    <row r="1447" spans="1:6" ht="15" customHeight="1" x14ac:dyDescent="0.3">
      <c r="A1447" s="21">
        <v>45489</v>
      </c>
      <c r="B1447" s="25">
        <f>('Raw Price Data'!B1447-'Raw Price Data'!B1446)/'Raw Price Data'!B1446</f>
        <v>-1.6793282686925187E-2</v>
      </c>
      <c r="C1447" s="25">
        <f>('Raw Price Data'!C1447-'Raw Price Data'!C1446)/'Raw Price Data'!C1446</f>
        <v>7.8515790259561825E-3</v>
      </c>
      <c r="D1447" s="25">
        <f>('Raw Price Data'!D1447-'Raw Price Data'!D1446)/'Raw Price Data'!D1446</f>
        <v>-2.3830427693465159E-3</v>
      </c>
      <c r="E1447" s="25">
        <f>('Raw Price Data'!E1447-'Raw Price Data'!E1446)/'Raw Price Data'!E1446</f>
        <v>-3.1183602049743835E-2</v>
      </c>
      <c r="F1447" s="25">
        <f>('Raw Price Data'!F1447-'Raw Price Data'!F1446)/'Raw Price Data'!F1446</f>
        <v>4.0476570281789605E-3</v>
      </c>
    </row>
    <row r="1448" spans="1:6" ht="15" customHeight="1" x14ac:dyDescent="0.3">
      <c r="A1448" s="19">
        <v>45490</v>
      </c>
      <c r="B1448" s="26">
        <f>('Raw Price Data'!B1448-'Raw Price Data'!B1447)/'Raw Price Data'!B1447</f>
        <v>-1.8381455876372549E-2</v>
      </c>
      <c r="C1448" s="26">
        <f>('Raw Price Data'!C1448-'Raw Price Data'!C1447)/'Raw Price Data'!C1447</f>
        <v>1.0066216444230461E-2</v>
      </c>
      <c r="D1448" s="26">
        <f>('Raw Price Data'!D1448-'Raw Price Data'!D1447)/'Raw Price Data'!D1447</f>
        <v>-1.6846869499622871E-2</v>
      </c>
      <c r="E1448" s="26">
        <f>('Raw Price Data'!E1448-'Raw Price Data'!E1447)/'Raw Price Data'!E1447</f>
        <v>2.5414435915629217E-2</v>
      </c>
      <c r="F1448" s="26">
        <f>('Raw Price Data'!F1448-'Raw Price Data'!F1447)/'Raw Price Data'!F1447</f>
        <v>6.4152409074307243E-3</v>
      </c>
    </row>
    <row r="1449" spans="1:6" ht="15" customHeight="1" x14ac:dyDescent="0.3">
      <c r="A1449" s="21">
        <v>45491</v>
      </c>
      <c r="B1449" s="25">
        <f>('Raw Price Data'!B1449-'Raw Price Data'!B1448)/'Raw Price Data'!B1448</f>
        <v>2.2454221559367039E-2</v>
      </c>
      <c r="C1449" s="25">
        <f>('Raw Price Data'!C1449-'Raw Price Data'!C1448)/'Raw Price Data'!C1448</f>
        <v>1.0422226477670412E-2</v>
      </c>
      <c r="D1449" s="25">
        <f>('Raw Price Data'!D1449-'Raw Price Data'!D1448)/'Raw Price Data'!D1448</f>
        <v>-3.9641943734015639E-3</v>
      </c>
      <c r="E1449" s="25">
        <f>('Raw Price Data'!E1449-'Raw Price Data'!E1448)/'Raw Price Data'!E1448</f>
        <v>9.9704346732088309E-3</v>
      </c>
      <c r="F1449" s="25">
        <f>('Raw Price Data'!F1449-'Raw Price Data'!F1448)/'Raw Price Data'!F1448</f>
        <v>-1.1853502016727699E-2</v>
      </c>
    </row>
    <row r="1450" spans="1:6" ht="15" customHeight="1" x14ac:dyDescent="0.3">
      <c r="A1450" s="19">
        <v>45492</v>
      </c>
      <c r="B1450" s="26">
        <f>('Raw Price Data'!B1450-'Raw Price Data'!B1449)/'Raw Price Data'!B1449</f>
        <v>9.5623987034035053E-3</v>
      </c>
      <c r="C1450" s="26">
        <f>('Raw Price Data'!C1450-'Raw Price Data'!C1449)/'Raw Price Data'!C1449</f>
        <v>1.1318776588237734E-2</v>
      </c>
      <c r="D1450" s="26">
        <f>('Raw Price Data'!D1450-'Raw Price Data'!D1449)/'Raw Price Data'!D1449</f>
        <v>-1.8230838361792293E-2</v>
      </c>
      <c r="E1450" s="26">
        <f>('Raw Price Data'!E1450-'Raw Price Data'!E1449)/'Raw Price Data'!E1449</f>
        <v>-5.8546915387250329E-3</v>
      </c>
      <c r="F1450" s="26">
        <f>('Raw Price Data'!F1450-'Raw Price Data'!F1449)/'Raw Price Data'!F1449</f>
        <v>9.9275972372849727E-3</v>
      </c>
    </row>
    <row r="1451" spans="1:6" ht="15" customHeight="1" x14ac:dyDescent="0.3">
      <c r="A1451" s="21">
        <v>45495</v>
      </c>
      <c r="B1451" s="25">
        <f>('Raw Price Data'!B1451-'Raw Price Data'!B1450)/'Raw Price Data'!B1450</f>
        <v>-1.0836410338738115E-2</v>
      </c>
      <c r="C1451" s="25">
        <f>('Raw Price Data'!C1451-'Raw Price Data'!C1450)/'Raw Price Data'!C1450</f>
        <v>-2.7340292342166395E-2</v>
      </c>
      <c r="D1451" s="25">
        <f>('Raw Price Data'!D1451-'Raw Price Data'!D1450)/'Raw Price Data'!D1450</f>
        <v>3.6942591866091314E-2</v>
      </c>
      <c r="E1451" s="25">
        <f>('Raw Price Data'!E1451-'Raw Price Data'!E1450)/'Raw Price Data'!E1450</f>
        <v>-2.6563919431131216E-2</v>
      </c>
      <c r="F1451" s="25">
        <f>('Raw Price Data'!F1451-'Raw Price Data'!F1450)/'Raw Price Data'!F1450</f>
        <v>4.3311776751567502E-3</v>
      </c>
    </row>
    <row r="1452" spans="1:6" ht="15" customHeight="1" x14ac:dyDescent="0.3">
      <c r="A1452" s="19">
        <v>45496</v>
      </c>
      <c r="B1452" s="26">
        <f>('Raw Price Data'!B1452-'Raw Price Data'!B1451)/'Raw Price Data'!B1451</f>
        <v>3.4082609754118452E-3</v>
      </c>
      <c r="C1452" s="26">
        <f>('Raw Price Data'!C1452-'Raw Price Data'!C1451)/'Raw Price Data'!C1451</f>
        <v>1.14615999508086E-2</v>
      </c>
      <c r="D1452" s="26">
        <f>('Raw Price Data'!D1452-'Raw Price Data'!D1451)/'Raw Price Data'!D1451</f>
        <v>1.3241692414402418E-3</v>
      </c>
      <c r="E1452" s="26">
        <f>('Raw Price Data'!E1452-'Raw Price Data'!E1451)/'Raw Price Data'!E1451</f>
        <v>-1.5221238938053156E-2</v>
      </c>
      <c r="F1452" s="26">
        <f>('Raw Price Data'!F1452-'Raw Price Data'!F1451)/'Raw Price Data'!F1451</f>
        <v>2.2106009328501453E-3</v>
      </c>
    </row>
    <row r="1453" spans="1:6" ht="15" customHeight="1" x14ac:dyDescent="0.3">
      <c r="A1453" s="21">
        <v>45497</v>
      </c>
      <c r="B1453" s="25">
        <f>('Raw Price Data'!B1453-'Raw Price Data'!B1452)/'Raw Price Data'!B1452</f>
        <v>9.2195713708046953E-3</v>
      </c>
      <c r="C1453" s="25">
        <f>('Raw Price Data'!C1453-'Raw Price Data'!C1452)/'Raw Price Data'!C1452</f>
        <v>2.4892498611904821E-2</v>
      </c>
      <c r="D1453" s="25">
        <f>('Raw Price Data'!D1453-'Raw Price Data'!D1452)/'Raw Price Data'!D1452</f>
        <v>-7.7455919395467135E-3</v>
      </c>
      <c r="E1453" s="25">
        <f>('Raw Price Data'!E1453-'Raw Price Data'!E1452)/'Raw Price Data'!E1452</f>
        <v>-1.4704921246976952E-3</v>
      </c>
      <c r="F1453" s="25">
        <f>('Raw Price Data'!F1453-'Raw Price Data'!F1452)/'Raw Price Data'!F1452</f>
        <v>1.0976112061750981E-3</v>
      </c>
    </row>
    <row r="1454" spans="1:6" ht="15" customHeight="1" x14ac:dyDescent="0.3">
      <c r="A1454" s="19">
        <v>45498</v>
      </c>
      <c r="B1454" s="26">
        <f>('Raw Price Data'!B1454-'Raw Price Data'!B1453)/'Raw Price Data'!B1453</f>
        <v>2.8047119160188659E-3</v>
      </c>
      <c r="C1454" s="26">
        <f>('Raw Price Data'!C1454-'Raw Price Data'!C1453)/'Raw Price Data'!C1453</f>
        <v>-3.3137854264620832E-3</v>
      </c>
      <c r="D1454" s="26">
        <f>('Raw Price Data'!D1454-'Raw Price Data'!D1453)/'Raw Price Data'!D1453</f>
        <v>-1.9166084914640998E-2</v>
      </c>
      <c r="E1454" s="26">
        <f>('Raw Price Data'!E1454-'Raw Price Data'!E1453)/'Raw Price Data'!E1453</f>
        <v>-2.2842556533691195E-2</v>
      </c>
      <c r="F1454" s="26">
        <f>('Raw Price Data'!F1454-'Raw Price Data'!F1453)/'Raw Price Data'!F1453</f>
        <v>2.5179801910320782E-2</v>
      </c>
    </row>
    <row r="1455" spans="1:6" ht="15" customHeight="1" x14ac:dyDescent="0.3">
      <c r="A1455" s="21">
        <v>45499</v>
      </c>
      <c r="B1455" s="25">
        <f>('Raw Price Data'!B1455-'Raw Price Data'!B1454)/'Raw Price Data'!B1454</f>
        <v>3.1484737094454304E-2</v>
      </c>
      <c r="C1455" s="25">
        <f>('Raw Price Data'!C1455-'Raw Price Data'!C1454)/'Raw Price Data'!C1454</f>
        <v>7.1455494058601521E-3</v>
      </c>
      <c r="D1455" s="25">
        <f>('Raw Price Data'!D1455-'Raw Price Data'!D1454)/'Raw Price Data'!D1454</f>
        <v>1.5528955030734242E-2</v>
      </c>
      <c r="E1455" s="25">
        <f>('Raw Price Data'!E1455-'Raw Price Data'!E1454)/'Raw Price Data'!E1454</f>
        <v>1.694631434408387E-2</v>
      </c>
      <c r="F1455" s="25">
        <f>('Raw Price Data'!F1455-'Raw Price Data'!F1454)/'Raw Price Data'!F1454</f>
        <v>5.478751649895734E-3</v>
      </c>
    </row>
    <row r="1456" spans="1:6" ht="15" customHeight="1" x14ac:dyDescent="0.3">
      <c r="A1456" s="19">
        <v>45502</v>
      </c>
      <c r="B1456" s="26">
        <f>('Raw Price Data'!B1456-'Raw Price Data'!B1455)/'Raw Price Data'!B1455</f>
        <v>8.6767895878523092E-3</v>
      </c>
      <c r="C1456" s="26">
        <f>('Raw Price Data'!C1456-'Raw Price Data'!C1455)/'Raw Price Data'!C1455</f>
        <v>-1.7297889271447986E-2</v>
      </c>
      <c r="D1456" s="26">
        <f>('Raw Price Data'!D1456-'Raw Price Data'!D1455)/'Raw Price Data'!D1455</f>
        <v>9.5571838165020712E-3</v>
      </c>
      <c r="E1456" s="26">
        <f>('Raw Price Data'!E1456-'Raw Price Data'!E1455)/'Raw Price Data'!E1455</f>
        <v>-1.4720895768154029E-2</v>
      </c>
      <c r="F1456" s="26">
        <f>('Raw Price Data'!F1456-'Raw Price Data'!F1455)/'Raw Price Data'!F1455</f>
        <v>-6.0695466418744749E-4</v>
      </c>
    </row>
    <row r="1457" spans="1:6" ht="15" customHeight="1" x14ac:dyDescent="0.3">
      <c r="A1457" s="21">
        <v>45503</v>
      </c>
      <c r="B1457" s="25">
        <f>('Raw Price Data'!B1457-'Raw Price Data'!B1456)/'Raw Price Data'!B1456</f>
        <v>-4.1167434715821703E-2</v>
      </c>
      <c r="C1457" s="25">
        <f>('Raw Price Data'!C1457-'Raw Price Data'!C1456)/'Raw Price Data'!C1456</f>
        <v>2.3575394359704131E-2</v>
      </c>
      <c r="D1457" s="25">
        <f>('Raw Price Data'!D1457-'Raw Price Data'!D1456)/'Raw Price Data'!D1456</f>
        <v>1.8680971915430788E-2</v>
      </c>
      <c r="E1457" s="25">
        <f>('Raw Price Data'!E1457-'Raw Price Data'!E1456)/'Raw Price Data'!E1456</f>
        <v>-4.8465806537869799E-3</v>
      </c>
      <c r="F1457" s="25">
        <f>('Raw Price Data'!F1457-'Raw Price Data'!F1456)/'Raw Price Data'!F1456</f>
        <v>-1.7650332879815905E-2</v>
      </c>
    </row>
    <row r="1458" spans="1:6" ht="15" customHeight="1" x14ac:dyDescent="0.3">
      <c r="A1458" s="19">
        <v>45504</v>
      </c>
      <c r="B1458" s="26">
        <f>('Raw Price Data'!B1458-'Raw Price Data'!B1457)/'Raw Price Data'!B1457</f>
        <v>-3.6847164370394743E-3</v>
      </c>
      <c r="C1458" s="26">
        <f>('Raw Price Data'!C1458-'Raw Price Data'!C1457)/'Raw Price Data'!C1457</f>
        <v>-1.0311902747751952E-2</v>
      </c>
      <c r="D1458" s="26">
        <f>('Raw Price Data'!D1458-'Raw Price Data'!D1457)/'Raw Price Data'!D1457</f>
        <v>5.8856328604176764E-3</v>
      </c>
      <c r="E1458" s="26">
        <f>('Raw Price Data'!E1458-'Raw Price Data'!E1457)/'Raw Price Data'!E1457</f>
        <v>-1.4106741006953143E-3</v>
      </c>
      <c r="F1458" s="26">
        <f>('Raw Price Data'!F1458-'Raw Price Data'!F1457)/'Raw Price Data'!F1457</f>
        <v>-2.7015753503538123E-3</v>
      </c>
    </row>
    <row r="1459" spans="1:6" ht="15" customHeight="1" x14ac:dyDescent="0.3">
      <c r="A1459" s="21">
        <v>45505</v>
      </c>
      <c r="B1459" s="25">
        <f>('Raw Price Data'!B1459-'Raw Price Data'!B1458)/'Raw Price Data'!B1458</f>
        <v>-9.8890496864446845E-3</v>
      </c>
      <c r="C1459" s="25">
        <f>('Raw Price Data'!C1459-'Raw Price Data'!C1458)/'Raw Price Data'!C1458</f>
        <v>2.9690981112214632E-2</v>
      </c>
      <c r="D1459" s="25">
        <f>('Raw Price Data'!D1459-'Raw Price Data'!D1458)/'Raw Price Data'!D1458</f>
        <v>-6.9598423256961306E-3</v>
      </c>
      <c r="E1459" s="25">
        <f>('Raw Price Data'!E1459-'Raw Price Data'!E1458)/'Raw Price Data'!E1458</f>
        <v>-4.0866435706837907E-2</v>
      </c>
      <c r="F1459" s="25">
        <f>('Raw Price Data'!F1459-'Raw Price Data'!F1458)/'Raw Price Data'!F1458</f>
        <v>5.851913310867843E-3</v>
      </c>
    </row>
    <row r="1460" spans="1:6" ht="15" customHeight="1" x14ac:dyDescent="0.3">
      <c r="A1460" s="19">
        <v>45506</v>
      </c>
      <c r="B1460" s="26">
        <f>('Raw Price Data'!B1460-'Raw Price Data'!B1459)/'Raw Price Data'!B1459</f>
        <v>-2.5172553796183701E-3</v>
      </c>
      <c r="C1460" s="26">
        <f>('Raw Price Data'!C1460-'Raw Price Data'!C1459)/'Raw Price Data'!C1459</f>
        <v>-6.1067000760935079E-3</v>
      </c>
      <c r="D1460" s="26">
        <f>('Raw Price Data'!D1460-'Raw Price Data'!D1459)/'Raw Price Data'!D1459</f>
        <v>-1.1102152204924593E-2</v>
      </c>
      <c r="E1460" s="26">
        <f>('Raw Price Data'!E1460-'Raw Price Data'!E1459)/'Raw Price Data'!E1459</f>
        <v>1.574554635993811E-2</v>
      </c>
      <c r="F1460" s="26">
        <f>('Raw Price Data'!F1460-'Raw Price Data'!F1459)/'Raw Price Data'!F1459</f>
        <v>-1.404946549761908E-2</v>
      </c>
    </row>
    <row r="1461" spans="1:6" ht="15" customHeight="1" x14ac:dyDescent="0.3">
      <c r="A1461" s="21">
        <v>45509</v>
      </c>
      <c r="B1461" s="25">
        <f>('Raw Price Data'!B1461-'Raw Price Data'!B1460)/'Raw Price Data'!B1460</f>
        <v>4.884402474764106E-4</v>
      </c>
      <c r="C1461" s="25">
        <f>('Raw Price Data'!C1461-'Raw Price Data'!C1460)/'Raw Price Data'!C1460</f>
        <v>1.2551379066341361E-2</v>
      </c>
      <c r="D1461" s="25">
        <f>('Raw Price Data'!D1461-'Raw Price Data'!D1460)/'Raw Price Data'!D1460</f>
        <v>-1.1665830406422386E-2</v>
      </c>
      <c r="E1461" s="25">
        <f>('Raw Price Data'!E1461-'Raw Price Data'!E1460)/'Raw Price Data'!E1460</f>
        <v>1.2428793371310673E-3</v>
      </c>
      <c r="F1461" s="25">
        <f>('Raw Price Data'!F1461-'Raw Price Data'!F1460)/'Raw Price Data'!F1460</f>
        <v>-1.3126798431415696E-3</v>
      </c>
    </row>
    <row r="1462" spans="1:6" ht="15" customHeight="1" x14ac:dyDescent="0.3">
      <c r="A1462" s="19">
        <v>45510</v>
      </c>
      <c r="B1462" s="26">
        <f>('Raw Price Data'!B1462-'Raw Price Data'!B1461)/'Raw Price Data'!B1461</f>
        <v>-8.7062652563060002E-3</v>
      </c>
      <c r="C1462" s="26">
        <f>('Raw Price Data'!C1462-'Raw Price Data'!C1461)/'Raw Price Data'!C1461</f>
        <v>-8.8137690318983303E-3</v>
      </c>
      <c r="D1462" s="26">
        <f>('Raw Price Data'!D1462-'Raw Price Data'!D1461)/'Raw Price Data'!D1461</f>
        <v>-5.96522401319981E-3</v>
      </c>
      <c r="E1462" s="26">
        <f>('Raw Price Data'!E1462-'Raw Price Data'!E1461)/'Raw Price Data'!E1461</f>
        <v>-4.1377883521257888E-2</v>
      </c>
      <c r="F1462" s="26">
        <f>('Raw Price Data'!F1462-'Raw Price Data'!F1461)/'Raw Price Data'!F1461</f>
        <v>1.9677913469467387E-3</v>
      </c>
    </row>
    <row r="1463" spans="1:6" ht="15" customHeight="1" x14ac:dyDescent="0.3">
      <c r="A1463" s="21">
        <v>45511</v>
      </c>
      <c r="B1463" s="25">
        <f>('Raw Price Data'!B1463-'Raw Price Data'!B1462)/'Raw Price Data'!B1462</f>
        <v>-1.4692604448822064E-2</v>
      </c>
      <c r="C1463" s="25">
        <f>('Raw Price Data'!C1463-'Raw Price Data'!C1462)/'Raw Price Data'!C1462</f>
        <v>3.3715397507271969E-2</v>
      </c>
      <c r="D1463" s="25">
        <f>('Raw Price Data'!D1463-'Raw Price Data'!D1462)/'Raw Price Data'!D1462</f>
        <v>1.1172114402451482E-2</v>
      </c>
      <c r="E1463" s="25">
        <f>('Raw Price Data'!E1463-'Raw Price Data'!E1462)/'Raw Price Data'!E1462</f>
        <v>-6.9421963238732671E-3</v>
      </c>
      <c r="F1463" s="25">
        <f>('Raw Price Data'!F1463-'Raw Price Data'!F1462)/'Raw Price Data'!F1462</f>
        <v>9.2659938046414491E-3</v>
      </c>
    </row>
    <row r="1464" spans="1:6" ht="15" customHeight="1" x14ac:dyDescent="0.3">
      <c r="A1464" s="19">
        <v>45512</v>
      </c>
      <c r="B1464" s="26">
        <f>('Raw Price Data'!B1464-'Raw Price Data'!B1463)/'Raw Price Data'!B1463</f>
        <v>1.9160279906697743E-2</v>
      </c>
      <c r="C1464" s="26">
        <f>('Raw Price Data'!C1464-'Raw Price Data'!C1463)/'Raw Price Data'!C1463</f>
        <v>-3.4188575730695558E-2</v>
      </c>
      <c r="D1464" s="26">
        <f>('Raw Price Data'!D1464-'Raw Price Data'!D1463)/'Raw Price Data'!D1463</f>
        <v>-8.2707241618787414E-3</v>
      </c>
      <c r="E1464" s="26">
        <f>('Raw Price Data'!E1464-'Raw Price Data'!E1463)/'Raw Price Data'!E1463</f>
        <v>-5.8316430020282414E-3</v>
      </c>
      <c r="F1464" s="26">
        <f>('Raw Price Data'!F1464-'Raw Price Data'!F1463)/'Raw Price Data'!F1463</f>
        <v>-1.6711269553783756E-2</v>
      </c>
    </row>
    <row r="1465" spans="1:6" ht="15" customHeight="1" x14ac:dyDescent="0.3">
      <c r="A1465" s="21">
        <v>45513</v>
      </c>
      <c r="B1465" s="25">
        <f>('Raw Price Data'!B1465-'Raw Price Data'!B1464)/'Raw Price Data'!B1464</f>
        <v>8.6643779630538025E-3</v>
      </c>
      <c r="C1465" s="25">
        <f>('Raw Price Data'!C1465-'Raw Price Data'!C1464)/'Raw Price Data'!C1464</f>
        <v>7.1083188941586262E-3</v>
      </c>
      <c r="D1465" s="25">
        <f>('Raw Price Data'!D1465-'Raw Price Data'!D1464)/'Raw Price Data'!D1464</f>
        <v>4.9019607843136092E-3</v>
      </c>
      <c r="E1465" s="25">
        <f>('Raw Price Data'!E1465-'Raw Price Data'!E1464)/'Raw Price Data'!E1464</f>
        <v>-1.9054905818486602E-2</v>
      </c>
      <c r="F1465" s="25">
        <f>('Raw Price Data'!F1465-'Raw Price Data'!F1464)/'Raw Price Data'!F1464</f>
        <v>-1.7300609752938362E-3</v>
      </c>
    </row>
    <row r="1466" spans="1:6" ht="15" customHeight="1" x14ac:dyDescent="0.3">
      <c r="A1466" s="19">
        <v>45516</v>
      </c>
      <c r="B1466" s="26">
        <f>('Raw Price Data'!B1466-'Raw Price Data'!B1465)/'Raw Price Data'!B1465</f>
        <v>-8.9951377633711461E-3</v>
      </c>
      <c r="C1466" s="26">
        <f>('Raw Price Data'!C1466-'Raw Price Data'!C1465)/'Raw Price Data'!C1465</f>
        <v>-3.6083916083916111E-2</v>
      </c>
      <c r="D1466" s="26">
        <f>('Raw Price Data'!D1466-'Raw Price Data'!D1465)/'Raw Price Data'!D1465</f>
        <v>1.2226797592651295E-2</v>
      </c>
      <c r="E1466" s="26">
        <f>('Raw Price Data'!E1466-'Raw Price Data'!E1465)/'Raw Price Data'!E1465</f>
        <v>7.056900906254558E-3</v>
      </c>
      <c r="F1466" s="26">
        <f>('Raw Price Data'!F1466-'Raw Price Data'!F1465)/'Raw Price Data'!F1465</f>
        <v>-2.3157439832180485E-3</v>
      </c>
    </row>
    <row r="1467" spans="1:6" ht="15" customHeight="1" x14ac:dyDescent="0.3">
      <c r="A1467" s="21">
        <v>45517</v>
      </c>
      <c r="B1467" s="25">
        <f>('Raw Price Data'!B1467-'Raw Price Data'!B1466)/'Raw Price Data'!B1466</f>
        <v>9.7309673726387897E-3</v>
      </c>
      <c r="C1467" s="25">
        <f>('Raw Price Data'!C1467-'Raw Price Data'!C1466)/'Raw Price Data'!C1466</f>
        <v>-2.0655276317986325E-2</v>
      </c>
      <c r="D1467" s="25">
        <f>('Raw Price Data'!D1467-'Raw Price Data'!D1466)/'Raw Price Data'!D1466</f>
        <v>-6.7592940292903522E-3</v>
      </c>
      <c r="E1467" s="25">
        <f>('Raw Price Data'!E1467-'Raw Price Data'!E1466)/'Raw Price Data'!E1466</f>
        <v>2.3235229032971941E-2</v>
      </c>
      <c r="F1467" s="25">
        <f>('Raw Price Data'!F1467-'Raw Price Data'!F1466)/'Raw Price Data'!F1466</f>
        <v>4.0657158415330065E-4</v>
      </c>
    </row>
    <row r="1468" spans="1:6" ht="15" customHeight="1" x14ac:dyDescent="0.3">
      <c r="A1468" s="19">
        <v>45518</v>
      </c>
      <c r="B1468" s="26">
        <f>('Raw Price Data'!B1468-'Raw Price Data'!B1467)/'Raw Price Data'!B1467</f>
        <v>9.6371882086167607E-3</v>
      </c>
      <c r="C1468" s="26">
        <f>('Raw Price Data'!C1468-'Raw Price Data'!C1467)/'Raw Price Data'!C1467</f>
        <v>3.3966277266786395E-2</v>
      </c>
      <c r="D1468" s="26">
        <f>('Raw Price Data'!D1468-'Raw Price Data'!D1467)/'Raw Price Data'!D1467</f>
        <v>1.5816005040957905E-2</v>
      </c>
      <c r="E1468" s="26">
        <f>('Raw Price Data'!E1468-'Raw Price Data'!E1467)/'Raw Price Data'!E1467</f>
        <v>7.0285467128027275E-3</v>
      </c>
      <c r="F1468" s="26">
        <f>('Raw Price Data'!F1468-'Raw Price Data'!F1467)/'Raw Price Data'!F1467</f>
        <v>5.0947177190086221E-3</v>
      </c>
    </row>
    <row r="1469" spans="1:6" ht="15" customHeight="1" x14ac:dyDescent="0.3">
      <c r="A1469" s="21">
        <v>45519</v>
      </c>
      <c r="B1469" s="25">
        <f>('Raw Price Data'!B1469-'Raw Price Data'!B1468)/'Raw Price Data'!B1468</f>
        <v>1.7887222266784342E-2</v>
      </c>
      <c r="C1469" s="25">
        <f>('Raw Price Data'!C1469-'Raw Price Data'!C1468)/'Raw Price Data'!C1468</f>
        <v>1.6613669375416994E-2</v>
      </c>
      <c r="D1469" s="25">
        <f>('Raw Price Data'!D1469-'Raw Price Data'!D1468)/'Raw Price Data'!D1468</f>
        <v>7.0094907263817093E-3</v>
      </c>
      <c r="E1469" s="25">
        <f>('Raw Price Data'!E1469-'Raw Price Data'!E1468)/'Raw Price Data'!E1468</f>
        <v>-2.6199935573928895E-2</v>
      </c>
      <c r="F1469" s="25">
        <f>('Raw Price Data'!F1469-'Raw Price Data'!F1468)/'Raw Price Data'!F1468</f>
        <v>1.0308531573219554E-2</v>
      </c>
    </row>
    <row r="1470" spans="1:6" ht="15" customHeight="1" x14ac:dyDescent="0.3">
      <c r="A1470" s="19">
        <v>45520</v>
      </c>
      <c r="B1470" s="26">
        <f>('Raw Price Data'!B1470-'Raw Price Data'!B1469)/'Raw Price Data'!B1469</f>
        <v>-1.4263199369582365E-2</v>
      </c>
      <c r="C1470" s="26">
        <f>('Raw Price Data'!C1470-'Raw Price Data'!C1469)/'Raw Price Data'!C1469</f>
        <v>-3.4869980923842005E-2</v>
      </c>
      <c r="D1470" s="26">
        <f>('Raw Price Data'!D1470-'Raw Price Data'!D1469)/'Raw Price Data'!D1469</f>
        <v>6.4679068621410797E-3</v>
      </c>
      <c r="E1470" s="26">
        <f>('Raw Price Data'!E1470-'Raw Price Data'!E1469)/'Raw Price Data'!E1469</f>
        <v>-1.2313007681846459E-2</v>
      </c>
      <c r="F1470" s="26">
        <f>('Raw Price Data'!F1470-'Raw Price Data'!F1469)/'Raw Price Data'!F1469</f>
        <v>1.280004218439287E-2</v>
      </c>
    </row>
    <row r="1471" spans="1:6" ht="15" customHeight="1" x14ac:dyDescent="0.3">
      <c r="A1471" s="21">
        <v>45523</v>
      </c>
      <c r="B1471" s="25">
        <f>('Raw Price Data'!B1471-'Raw Price Data'!B1470)/'Raw Price Data'!B1470</f>
        <v>1.1111999360460473E-2</v>
      </c>
      <c r="C1471" s="25">
        <f>('Raw Price Data'!C1471-'Raw Price Data'!C1470)/'Raw Price Data'!C1470</f>
        <v>4.9213386041003875E-4</v>
      </c>
      <c r="D1471" s="25">
        <f>('Raw Price Data'!D1471-'Raw Price Data'!D1470)/'Raw Price Data'!D1470</f>
        <v>-6.1203256013164244E-5</v>
      </c>
      <c r="E1471" s="25">
        <f>('Raw Price Data'!E1471-'Raw Price Data'!E1470)/'Raw Price Data'!E1470</f>
        <v>-3.6915748734742536E-2</v>
      </c>
      <c r="F1471" s="25">
        <f>('Raw Price Data'!F1471-'Raw Price Data'!F1470)/'Raw Price Data'!F1470</f>
        <v>2.9784767514268409E-2</v>
      </c>
    </row>
    <row r="1472" spans="1:6" ht="15" customHeight="1" x14ac:dyDescent="0.3">
      <c r="A1472" s="19">
        <v>45524</v>
      </c>
      <c r="B1472" s="26">
        <f>('Raw Price Data'!B1472-'Raw Price Data'!B1471)/'Raw Price Data'!B1471</f>
        <v>-8.1435800126502308E-3</v>
      </c>
      <c r="C1472" s="26">
        <f>('Raw Price Data'!C1472-'Raw Price Data'!C1471)/'Raw Price Data'!C1471</f>
        <v>-1.0337725700346068E-2</v>
      </c>
      <c r="D1472" s="26">
        <f>('Raw Price Data'!D1472-'Raw Price Data'!D1471)/'Raw Price Data'!D1471</f>
        <v>3.1827641082140426E-3</v>
      </c>
      <c r="E1472" s="26">
        <f>('Raw Price Data'!E1472-'Raw Price Data'!E1471)/'Raw Price Data'!E1471</f>
        <v>4.2503863987633922E-3</v>
      </c>
      <c r="F1472" s="26">
        <f>('Raw Price Data'!F1472-'Raw Price Data'!F1471)/'Raw Price Data'!F1471</f>
        <v>2.8587209174386766E-3</v>
      </c>
    </row>
    <row r="1473" spans="1:6" ht="15" customHeight="1" x14ac:dyDescent="0.3">
      <c r="A1473" s="21">
        <v>45525</v>
      </c>
      <c r="B1473" s="25">
        <f>('Raw Price Data'!B1473-'Raw Price Data'!B1472)/'Raw Price Data'!B1472</f>
        <v>1.6341171781586266E-2</v>
      </c>
      <c r="C1473" s="25">
        <f>('Raw Price Data'!C1473-'Raw Price Data'!C1472)/'Raw Price Data'!C1472</f>
        <v>1.0647755283468851E-2</v>
      </c>
      <c r="D1473" s="25">
        <f>('Raw Price Data'!D1473-'Raw Price Data'!D1472)/'Raw Price Data'!D1472</f>
        <v>-1.3178767541183627E-2</v>
      </c>
      <c r="E1473" s="25">
        <f>('Raw Price Data'!E1473-'Raw Price Data'!E1472)/'Raw Price Data'!E1472</f>
        <v>-1.8353212774143833E-2</v>
      </c>
      <c r="F1473" s="25">
        <f>('Raw Price Data'!F1473-'Raw Price Data'!F1472)/'Raw Price Data'!F1472</f>
        <v>5.5444612330196649E-3</v>
      </c>
    </row>
    <row r="1474" spans="1:6" ht="15" customHeight="1" x14ac:dyDescent="0.3">
      <c r="A1474" s="19">
        <v>45526</v>
      </c>
      <c r="B1474" s="26">
        <f>('Raw Price Data'!B1474-'Raw Price Data'!B1473)/'Raw Price Data'!B1473</f>
        <v>-2.3529411764705659E-3</v>
      </c>
      <c r="C1474" s="26">
        <f>('Raw Price Data'!C1474-'Raw Price Data'!C1473)/'Raw Price Data'!C1473</f>
        <v>3.3234041702484909E-2</v>
      </c>
      <c r="D1474" s="26">
        <f>('Raw Price Data'!D1474-'Raw Price Data'!D1473)/'Raw Price Data'!D1473</f>
        <v>-1.2798318288611485E-2</v>
      </c>
      <c r="E1474" s="26">
        <f>('Raw Price Data'!E1474-'Raw Price Data'!E1473)/'Raw Price Data'!E1473</f>
        <v>5.6833771018695908E-3</v>
      </c>
      <c r="F1474" s="26">
        <f>('Raw Price Data'!F1474-'Raw Price Data'!F1473)/'Raw Price Data'!F1473</f>
        <v>-1.0579079248592531E-3</v>
      </c>
    </row>
    <row r="1475" spans="1:6" ht="15" customHeight="1" x14ac:dyDescent="0.3">
      <c r="A1475" s="21">
        <v>45527</v>
      </c>
      <c r="B1475" s="25">
        <f>('Raw Price Data'!B1475-'Raw Price Data'!B1474)/'Raw Price Data'!B1474</f>
        <v>-3.1132075471698176E-2</v>
      </c>
      <c r="C1475" s="25">
        <f>('Raw Price Data'!C1475-'Raw Price Data'!C1474)/'Raw Price Data'!C1474</f>
        <v>1.2127685098116667E-2</v>
      </c>
      <c r="D1475" s="25">
        <f>('Raw Price Data'!D1475-'Raw Price Data'!D1474)/'Raw Price Data'!D1474</f>
        <v>4.3214129141355686E-3</v>
      </c>
      <c r="E1475" s="25">
        <f>('Raw Price Data'!E1475-'Raw Price Data'!E1474)/'Raw Price Data'!E1474</f>
        <v>1.5589679632083561E-2</v>
      </c>
      <c r="F1475" s="25">
        <f>('Raw Price Data'!F1475-'Raw Price Data'!F1474)/'Raw Price Data'!F1474</f>
        <v>-5.3980473150584674E-4</v>
      </c>
    </row>
    <row r="1476" spans="1:6" ht="15" customHeight="1" x14ac:dyDescent="0.3">
      <c r="A1476" s="19">
        <v>45530</v>
      </c>
      <c r="B1476" s="26">
        <f>('Raw Price Data'!B1476-'Raw Price Data'!B1475)/'Raw Price Data'!B1475</f>
        <v>8.1142486205784269E-4</v>
      </c>
      <c r="C1476" s="26">
        <f>('Raw Price Data'!C1476-'Raw Price Data'!C1475)/'Raw Price Data'!C1475</f>
        <v>8.2622509567922397E-3</v>
      </c>
      <c r="D1476" s="26">
        <f>('Raw Price Data'!D1476-'Raw Price Data'!D1475)/'Raw Price Data'!D1475</f>
        <v>1.4467448241456678E-2</v>
      </c>
      <c r="E1476" s="26">
        <f>('Raw Price Data'!E1476-'Raw Price Data'!E1475)/'Raw Price Data'!E1475</f>
        <v>1.7077289124261222E-2</v>
      </c>
      <c r="F1476" s="26">
        <f>('Raw Price Data'!F1476-'Raw Price Data'!F1475)/'Raw Price Data'!F1475</f>
        <v>-9.9099538479602359E-3</v>
      </c>
    </row>
    <row r="1477" spans="1:6" ht="15" customHeight="1" x14ac:dyDescent="0.3">
      <c r="A1477" s="21">
        <v>45531</v>
      </c>
      <c r="B1477" s="25">
        <f>('Raw Price Data'!B1477-'Raw Price Data'!B1476)/'Raw Price Data'!B1476</f>
        <v>-2.4404086265607305E-2</v>
      </c>
      <c r="C1477" s="25">
        <f>('Raw Price Data'!C1477-'Raw Price Data'!C1476)/'Raw Price Data'!C1476</f>
        <v>9.5558791408810653E-3</v>
      </c>
      <c r="D1477" s="25">
        <f>('Raw Price Data'!D1477-'Raw Price Data'!D1476)/'Raw Price Data'!D1476</f>
        <v>-3.1964593066142748E-3</v>
      </c>
      <c r="E1477" s="25">
        <f>('Raw Price Data'!E1477-'Raw Price Data'!E1476)/'Raw Price Data'!E1476</f>
        <v>4.4145945741992081E-3</v>
      </c>
      <c r="F1477" s="25">
        <f>('Raw Price Data'!F1477-'Raw Price Data'!F1476)/'Raw Price Data'!F1476</f>
        <v>-1.6567576226175361E-3</v>
      </c>
    </row>
    <row r="1478" spans="1:6" ht="15" customHeight="1" x14ac:dyDescent="0.3">
      <c r="A1478" s="19">
        <v>45532</v>
      </c>
      <c r="B1478" s="26">
        <f>('Raw Price Data'!B1478-'Raw Price Data'!B1477)/'Raw Price Data'!B1477</f>
        <v>-2.7424582398404246E-3</v>
      </c>
      <c r="C1478" s="26">
        <f>('Raw Price Data'!C1478-'Raw Price Data'!C1477)/'Raw Price Data'!C1477</f>
        <v>-1.8675440968779204E-2</v>
      </c>
      <c r="D1478" s="26">
        <f>('Raw Price Data'!D1478-'Raw Price Data'!D1477)/'Raw Price Data'!D1477</f>
        <v>8.2634435125801889E-3</v>
      </c>
      <c r="E1478" s="26">
        <f>('Raw Price Data'!E1478-'Raw Price Data'!E1477)/'Raw Price Data'!E1477</f>
        <v>-4.3576258452290313E-3</v>
      </c>
      <c r="F1478" s="26">
        <f>('Raw Price Data'!F1478-'Raw Price Data'!F1477)/'Raw Price Data'!F1477</f>
        <v>-6.9962082247294602E-3</v>
      </c>
    </row>
    <row r="1479" spans="1:6" ht="15" customHeight="1" x14ac:dyDescent="0.3">
      <c r="A1479" s="21">
        <v>45533</v>
      </c>
      <c r="B1479" s="25">
        <f>('Raw Price Data'!B1479-'Raw Price Data'!B1478)/'Raw Price Data'!B1478</f>
        <v>-5.0000000000001898E-4</v>
      </c>
      <c r="C1479" s="25">
        <f>('Raw Price Data'!C1479-'Raw Price Data'!C1478)/'Raw Price Data'!C1478</f>
        <v>1.2964097068054769E-2</v>
      </c>
      <c r="D1479" s="25">
        <f>('Raw Price Data'!D1479-'Raw Price Data'!D1478)/'Raw Price Data'!D1478</f>
        <v>-3.2415902140672851E-3</v>
      </c>
      <c r="E1479" s="25">
        <f>('Raw Price Data'!E1479-'Raw Price Data'!E1478)/'Raw Price Data'!E1478</f>
        <v>-3.0184123151222455E-2</v>
      </c>
      <c r="F1479" s="25">
        <f>('Raw Price Data'!F1479-'Raw Price Data'!F1478)/'Raw Price Data'!F1478</f>
        <v>-1.4119709088794485E-2</v>
      </c>
    </row>
    <row r="1480" spans="1:6" ht="15" customHeight="1" x14ac:dyDescent="0.3">
      <c r="A1480" s="19">
        <v>45534</v>
      </c>
      <c r="B1480" s="26">
        <f>('Raw Price Data'!B1480-'Raw Price Data'!B1479)/'Raw Price Data'!B1479</f>
        <v>-5.2526263131565405E-3</v>
      </c>
      <c r="C1480" s="26">
        <f>('Raw Price Data'!C1480-'Raw Price Data'!C1479)/'Raw Price Data'!C1479</f>
        <v>1.6841301809580371E-2</v>
      </c>
      <c r="D1480" s="26">
        <f>('Raw Price Data'!D1480-'Raw Price Data'!D1479)/'Raw Price Data'!D1479</f>
        <v>-1.1904031416825169E-2</v>
      </c>
      <c r="E1480" s="26">
        <f>('Raw Price Data'!E1480-'Raw Price Data'!E1479)/'Raw Price Data'!E1479</f>
        <v>4.1705571117335707E-2</v>
      </c>
      <c r="F1480" s="26">
        <f>('Raw Price Data'!F1480-'Raw Price Data'!F1479)/'Raw Price Data'!F1479</f>
        <v>2.1466842408549851E-3</v>
      </c>
    </row>
    <row r="1481" spans="1:6" ht="15" customHeight="1" x14ac:dyDescent="0.3">
      <c r="A1481" s="21">
        <v>45537</v>
      </c>
      <c r="B1481" s="25">
        <f>('Raw Price Data'!B1481-'Raw Price Data'!B1480)/'Raw Price Data'!B1480</f>
        <v>-2.0283295616461333E-2</v>
      </c>
      <c r="C1481" s="25">
        <f>('Raw Price Data'!C1481-'Raw Price Data'!C1480)/'Raw Price Data'!C1480</f>
        <v>-1.0207949343004862E-2</v>
      </c>
      <c r="D1481" s="25">
        <f>('Raw Price Data'!D1481-'Raw Price Data'!D1480)/'Raw Price Data'!D1480</f>
        <v>6.2100229770846622E-4</v>
      </c>
      <c r="E1481" s="25">
        <f>('Raw Price Data'!E1481-'Raw Price Data'!E1480)/'Raw Price Data'!E1480</f>
        <v>4.223931879294892E-2</v>
      </c>
      <c r="F1481" s="25">
        <f>('Raw Price Data'!F1481-'Raw Price Data'!F1480)/'Raw Price Data'!F1480</f>
        <v>-6.0004481616153385E-3</v>
      </c>
    </row>
    <row r="1482" spans="1:6" ht="15" customHeight="1" x14ac:dyDescent="0.3">
      <c r="A1482" s="19">
        <v>45538</v>
      </c>
      <c r="B1482" s="26">
        <f>('Raw Price Data'!B1482-'Raw Price Data'!B1481)/'Raw Price Data'!B1481</f>
        <v>-1.5142441611771718E-2</v>
      </c>
      <c r="C1482" s="26">
        <f>('Raw Price Data'!C1482-'Raw Price Data'!C1481)/'Raw Price Data'!C1481</f>
        <v>-1.0737468885743706E-2</v>
      </c>
      <c r="D1482" s="26">
        <f>('Raw Price Data'!D1482-'Raw Price Data'!D1481)/'Raw Price Data'!D1481</f>
        <v>6.3923539998758843E-3</v>
      </c>
      <c r="E1482" s="26">
        <f>('Raw Price Data'!E1482-'Raw Price Data'!E1481)/'Raw Price Data'!E1481</f>
        <v>-1.2899989250009446E-3</v>
      </c>
      <c r="F1482" s="26">
        <f>('Raw Price Data'!F1482-'Raw Price Data'!F1481)/'Raw Price Data'!F1481</f>
        <v>2.67653102240565E-3</v>
      </c>
    </row>
    <row r="1483" spans="1:6" ht="15" customHeight="1" x14ac:dyDescent="0.3">
      <c r="A1483" s="21">
        <v>45539</v>
      </c>
      <c r="B1483" s="25">
        <f>('Raw Price Data'!B1483-'Raw Price Data'!B1482)/'Raw Price Data'!B1482</f>
        <v>-1.1379430159833236E-2</v>
      </c>
      <c r="C1483" s="25">
        <f>('Raw Price Data'!C1483-'Raw Price Data'!C1482)/'Raw Price Data'!C1482</f>
        <v>2.6171075951528875E-2</v>
      </c>
      <c r="D1483" s="25">
        <f>('Raw Price Data'!D1483-'Raw Price Data'!D1482)/'Raw Price Data'!D1482</f>
        <v>-1.0421805624074973E-2</v>
      </c>
      <c r="E1483" s="25">
        <f>('Raw Price Data'!E1483-'Raw Price Data'!E1482)/'Raw Price Data'!E1482</f>
        <v>8.6111011445589841E-3</v>
      </c>
      <c r="F1483" s="25">
        <f>('Raw Price Data'!F1483-'Raw Price Data'!F1482)/'Raw Price Data'!F1482</f>
        <v>-2.871230283770127E-3</v>
      </c>
    </row>
    <row r="1484" spans="1:6" ht="15" customHeight="1" x14ac:dyDescent="0.3">
      <c r="A1484" s="19">
        <v>45540</v>
      </c>
      <c r="B1484" s="26">
        <f>('Raw Price Data'!B1484-'Raw Price Data'!B1483)/'Raw Price Data'!B1483</f>
        <v>-3.0753009401635052E-3</v>
      </c>
      <c r="C1484" s="26">
        <f>('Raw Price Data'!C1484-'Raw Price Data'!C1483)/'Raw Price Data'!C1483</f>
        <v>4.2863535668453499E-3</v>
      </c>
      <c r="D1484" s="26">
        <f>('Raw Price Data'!D1484-'Raw Price Data'!D1483)/'Raw Price Data'!D1483</f>
        <v>-8.9736399326976867E-3</v>
      </c>
      <c r="E1484" s="26">
        <f>('Raw Price Data'!E1484-'Raw Price Data'!E1483)/'Raw Price Data'!E1483</f>
        <v>-2.1237238091850262E-2</v>
      </c>
      <c r="F1484" s="26">
        <f>('Raw Price Data'!F1484-'Raw Price Data'!F1483)/'Raw Price Data'!F1483</f>
        <v>6.0789401917977406E-3</v>
      </c>
    </row>
    <row r="1485" spans="1:6" ht="15" customHeight="1" x14ac:dyDescent="0.3">
      <c r="A1485" s="21">
        <v>45541</v>
      </c>
      <c r="B1485" s="25">
        <f>('Raw Price Data'!B1485-'Raw Price Data'!B1484)/'Raw Price Data'!B1484</f>
        <v>1.815617838885953E-2</v>
      </c>
      <c r="C1485" s="25">
        <f>('Raw Price Data'!C1485-'Raw Price Data'!C1484)/'Raw Price Data'!C1484</f>
        <v>-1.946588498703752E-2</v>
      </c>
      <c r="D1485" s="25">
        <f>('Raw Price Data'!D1485-'Raw Price Data'!D1484)/'Raw Price Data'!D1484</f>
        <v>-7.4199836508835239E-3</v>
      </c>
      <c r="E1485" s="25">
        <f>('Raw Price Data'!E1485-'Raw Price Data'!E1484)/'Raw Price Data'!E1484</f>
        <v>-6.8692302100748217E-3</v>
      </c>
      <c r="F1485" s="25">
        <f>('Raw Price Data'!F1485-'Raw Price Data'!F1484)/'Raw Price Data'!F1484</f>
        <v>1.6698467771713184E-2</v>
      </c>
    </row>
    <row r="1486" spans="1:6" ht="15" customHeight="1" x14ac:dyDescent="0.3">
      <c r="A1486" s="19">
        <v>45544</v>
      </c>
      <c r="B1486" s="26">
        <f>('Raw Price Data'!B1486-'Raw Price Data'!B1485)/'Raw Price Data'!B1485</f>
        <v>1.0128116343490319E-2</v>
      </c>
      <c r="C1486" s="26">
        <f>('Raw Price Data'!C1486-'Raw Price Data'!C1485)/'Raw Price Data'!C1485</f>
        <v>-6.8840933502587369E-3</v>
      </c>
      <c r="D1486" s="26">
        <f>('Raw Price Data'!D1486-'Raw Price Data'!D1485)/'Raw Price Data'!D1485</f>
        <v>3.2942667089009203E-3</v>
      </c>
      <c r="E1486" s="26">
        <f>('Raw Price Data'!E1486-'Raw Price Data'!E1485)/'Raw Price Data'!E1485</f>
        <v>9.5150960658734092E-4</v>
      </c>
      <c r="F1486" s="26">
        <f>('Raw Price Data'!F1486-'Raw Price Data'!F1485)/'Raw Price Data'!F1485</f>
        <v>6.342064704781855E-3</v>
      </c>
    </row>
    <row r="1487" spans="1:6" ht="15" customHeight="1" x14ac:dyDescent="0.3">
      <c r="A1487" s="21">
        <v>45545</v>
      </c>
      <c r="B1487" s="25">
        <f>('Raw Price Data'!B1487-'Raw Price Data'!B1486)/'Raw Price Data'!B1486</f>
        <v>-6.2558916788071298E-3</v>
      </c>
      <c r="C1487" s="25">
        <f>('Raw Price Data'!C1487-'Raw Price Data'!C1486)/'Raw Price Data'!C1486</f>
        <v>-7.4763739775292734E-3</v>
      </c>
      <c r="D1487" s="25">
        <f>('Raw Price Data'!D1487-'Raw Price Data'!D1486)/'Raw Price Data'!D1486</f>
        <v>-2.2794721222453834E-2</v>
      </c>
      <c r="E1487" s="25">
        <f>('Raw Price Data'!E1487-'Raw Price Data'!E1486)/'Raw Price Data'!E1486</f>
        <v>-1.0676026470695828E-2</v>
      </c>
      <c r="F1487" s="25">
        <f>('Raw Price Data'!F1487-'Raw Price Data'!F1486)/'Raw Price Data'!F1486</f>
        <v>-3.6873755230807754E-3</v>
      </c>
    </row>
    <row r="1488" spans="1:6" ht="15" customHeight="1" x14ac:dyDescent="0.3">
      <c r="A1488" s="19">
        <v>45546</v>
      </c>
      <c r="B1488" s="26">
        <f>('Raw Price Data'!B1488-'Raw Price Data'!B1487)/'Raw Price Data'!B1487</f>
        <v>1.8023456364263571E-2</v>
      </c>
      <c r="C1488" s="26">
        <f>('Raw Price Data'!C1488-'Raw Price Data'!C1487)/'Raw Price Data'!C1487</f>
        <v>-5.4104307007653578E-4</v>
      </c>
      <c r="D1488" s="26">
        <f>('Raw Price Data'!D1488-'Raw Price Data'!D1487)/'Raw Price Data'!D1487</f>
        <v>4.7169811320755895E-3</v>
      </c>
      <c r="E1488" s="26">
        <f>('Raw Price Data'!E1488-'Raw Price Data'!E1487)/'Raw Price Data'!E1487</f>
        <v>3.3704128016556437E-2</v>
      </c>
      <c r="F1488" s="26">
        <f>('Raw Price Data'!F1488-'Raw Price Data'!F1487)/'Raw Price Data'!F1487</f>
        <v>-3.8157943071397494E-3</v>
      </c>
    </row>
    <row r="1489" spans="1:6" ht="15" customHeight="1" x14ac:dyDescent="0.3">
      <c r="A1489" s="21">
        <v>45547</v>
      </c>
      <c r="B1489" s="25">
        <f>('Raw Price Data'!B1489-'Raw Price Data'!B1488)/'Raw Price Data'!B1488</f>
        <v>-1.8636171113934799E-2</v>
      </c>
      <c r="C1489" s="25">
        <f>('Raw Price Data'!C1489-'Raw Price Data'!C1488)/'Raw Price Data'!C1488</f>
        <v>-6.9001273283162377E-4</v>
      </c>
      <c r="D1489" s="25">
        <f>('Raw Price Data'!D1489-'Raw Price Data'!D1488)/'Raw Price Data'!D1488</f>
        <v>4.5018972281174905E-3</v>
      </c>
      <c r="E1489" s="25">
        <f>('Raw Price Data'!E1489-'Raw Price Data'!E1488)/'Raw Price Data'!E1488</f>
        <v>6.3637338672197265E-3</v>
      </c>
      <c r="F1489" s="25">
        <f>('Raw Price Data'!F1489-'Raw Price Data'!F1488)/'Raw Price Data'!F1488</f>
        <v>2.7529641237737687E-3</v>
      </c>
    </row>
    <row r="1490" spans="1:6" ht="15" customHeight="1" x14ac:dyDescent="0.3">
      <c r="A1490" s="19">
        <v>45548</v>
      </c>
      <c r="B1490" s="26">
        <f>('Raw Price Data'!B1490-'Raw Price Data'!B1489)/'Raw Price Data'!B1489</f>
        <v>9.7539922313337052E-3</v>
      </c>
      <c r="C1490" s="26">
        <f>('Raw Price Data'!C1490-'Raw Price Data'!C1489)/'Raw Price Data'!C1489</f>
        <v>-3.7995979140360188E-3</v>
      </c>
      <c r="D1490" s="26">
        <f>('Raw Price Data'!D1490-'Raw Price Data'!D1489)/'Raw Price Data'!D1489</f>
        <v>3.6494013701260848E-3</v>
      </c>
      <c r="E1490" s="26">
        <f>('Raw Price Data'!E1490-'Raw Price Data'!E1489)/'Raw Price Data'!E1489</f>
        <v>-1.126150129667134E-2</v>
      </c>
      <c r="F1490" s="26">
        <f>('Raw Price Data'!F1490-'Raw Price Data'!F1489)/'Raw Price Data'!F1489</f>
        <v>-4.3502776691234724E-3</v>
      </c>
    </row>
    <row r="1491" spans="1:6" ht="15" customHeight="1" x14ac:dyDescent="0.3">
      <c r="A1491" s="21">
        <v>45551</v>
      </c>
      <c r="B1491" s="25">
        <f>('Raw Price Data'!B1491-'Raw Price Data'!B1490)/'Raw Price Data'!B1490</f>
        <v>-2.0516327577364429E-3</v>
      </c>
      <c r="C1491" s="25">
        <f>('Raw Price Data'!C1491-'Raw Price Data'!C1490)/'Raw Price Data'!C1490</f>
        <v>3.0118290399292362E-2</v>
      </c>
      <c r="D1491" s="25">
        <f>('Raw Price Data'!D1491-'Raw Price Data'!D1490)/'Raw Price Data'!D1490</f>
        <v>-8.4843072212298053E-3</v>
      </c>
      <c r="E1491" s="25">
        <f>('Raw Price Data'!E1491-'Raw Price Data'!E1490)/'Raw Price Data'!E1490</f>
        <v>-7.2578327105489431E-3</v>
      </c>
      <c r="F1491" s="25">
        <f>('Raw Price Data'!F1491-'Raw Price Data'!F1490)/'Raw Price Data'!F1490</f>
        <v>-3.5719798312409852E-3</v>
      </c>
    </row>
    <row r="1492" spans="1:6" ht="15" customHeight="1" x14ac:dyDescent="0.3">
      <c r="A1492" s="19">
        <v>45552</v>
      </c>
      <c r="B1492" s="26">
        <f>('Raw Price Data'!B1492-'Raw Price Data'!B1491)/'Raw Price Data'!B1491</f>
        <v>3.5977385643310069E-3</v>
      </c>
      <c r="C1492" s="26">
        <f>('Raw Price Data'!C1492-'Raw Price Data'!C1491)/'Raw Price Data'!C1491</f>
        <v>1.527497936818319E-2</v>
      </c>
      <c r="D1492" s="26">
        <f>('Raw Price Data'!D1492-'Raw Price Data'!D1491)/'Raw Price Data'!D1491</f>
        <v>4.8253232966608758E-3</v>
      </c>
      <c r="E1492" s="26">
        <f>('Raw Price Data'!E1492-'Raw Price Data'!E1491)/'Raw Price Data'!E1491</f>
        <v>5.1031487513571051E-3</v>
      </c>
      <c r="F1492" s="26">
        <f>('Raw Price Data'!F1492-'Raw Price Data'!F1491)/'Raw Price Data'!F1491</f>
        <v>1.3349768129588446E-2</v>
      </c>
    </row>
    <row r="1493" spans="1:6" ht="15" customHeight="1" x14ac:dyDescent="0.3">
      <c r="A1493" s="21">
        <v>45553</v>
      </c>
      <c r="B1493" s="25">
        <f>('Raw Price Data'!B1493-'Raw Price Data'!B1492)/'Raw Price Data'!B1492</f>
        <v>9.1328098327074728E-3</v>
      </c>
      <c r="C1493" s="25">
        <f>('Raw Price Data'!C1493-'Raw Price Data'!C1492)/'Raw Price Data'!C1492</f>
        <v>2.6754689485227509E-2</v>
      </c>
      <c r="D1493" s="25">
        <f>('Raw Price Data'!D1493-'Raw Price Data'!D1492)/'Raw Price Data'!D1492</f>
        <v>-1.6967601485465524E-2</v>
      </c>
      <c r="E1493" s="25">
        <f>('Raw Price Data'!E1493-'Raw Price Data'!E1492)/'Raw Price Data'!E1492</f>
        <v>-2.9635230996362977E-2</v>
      </c>
      <c r="F1493" s="25">
        <f>('Raw Price Data'!F1493-'Raw Price Data'!F1492)/'Raw Price Data'!F1492</f>
        <v>3.5997970530471466E-3</v>
      </c>
    </row>
    <row r="1494" spans="1:6" ht="15" customHeight="1" x14ac:dyDescent="0.3">
      <c r="A1494" s="19">
        <v>45554</v>
      </c>
      <c r="B1494" s="26">
        <f>('Raw Price Data'!B1494-'Raw Price Data'!B1493)/'Raw Price Data'!B1493</f>
        <v>-9.0501564746680828E-3</v>
      </c>
      <c r="C1494" s="26">
        <f>('Raw Price Data'!C1494-'Raw Price Data'!C1493)/'Raw Price Data'!C1493</f>
        <v>-2.9295551640764729E-2</v>
      </c>
      <c r="D1494" s="26">
        <f>('Raw Price Data'!D1494-'Raw Price Data'!D1493)/'Raw Price Data'!D1493</f>
        <v>-1.1593825311014142E-2</v>
      </c>
      <c r="E1494" s="26">
        <f>('Raw Price Data'!E1494-'Raw Price Data'!E1493)/'Raw Price Data'!E1493</f>
        <v>9.6111028647765141E-3</v>
      </c>
      <c r="F1494" s="26">
        <f>('Raw Price Data'!F1494-'Raw Price Data'!F1493)/'Raw Price Data'!F1493</f>
        <v>-5.0110493320444146E-3</v>
      </c>
    </row>
    <row r="1495" spans="1:6" ht="15" customHeight="1" x14ac:dyDescent="0.3">
      <c r="A1495" s="21">
        <v>45555</v>
      </c>
      <c r="B1495" s="25">
        <f>('Raw Price Data'!B1495-'Raw Price Data'!B1494)/'Raw Price Data'!B1494</f>
        <v>1.1351997268692373E-2</v>
      </c>
      <c r="C1495" s="25">
        <f>('Raw Price Data'!C1495-'Raw Price Data'!C1494)/'Raw Price Data'!C1494</f>
        <v>2.5569152434027475E-3</v>
      </c>
      <c r="D1495" s="25">
        <f>('Raw Price Data'!D1495-'Raw Price Data'!D1494)/'Raw Price Data'!D1494</f>
        <v>1.2981878088962102E-2</v>
      </c>
      <c r="E1495" s="25">
        <f>('Raw Price Data'!E1495-'Raw Price Data'!E1494)/'Raw Price Data'!E1494</f>
        <v>-2.9404197449180023E-4</v>
      </c>
      <c r="F1495" s="25">
        <f>('Raw Price Data'!F1495-'Raw Price Data'!F1494)/'Raw Price Data'!F1494</f>
        <v>2.485430580163513E-3</v>
      </c>
    </row>
    <row r="1496" spans="1:6" ht="15" customHeight="1" x14ac:dyDescent="0.3">
      <c r="A1496" s="19">
        <v>45558</v>
      </c>
      <c r="B1496" s="26">
        <f>('Raw Price Data'!B1496-'Raw Price Data'!B1495)/'Raw Price Data'!B1495</f>
        <v>2.5318592286269843E-4</v>
      </c>
      <c r="C1496" s="26">
        <f>('Raw Price Data'!C1496-'Raw Price Data'!C1495)/'Raw Price Data'!C1495</f>
        <v>2.1315578290869545E-2</v>
      </c>
      <c r="D1496" s="26">
        <f>('Raw Price Data'!D1496-'Raw Price Data'!D1495)/'Raw Price Data'!D1495</f>
        <v>-2.0556856622430369E-2</v>
      </c>
      <c r="E1496" s="26">
        <f>('Raw Price Data'!E1496-'Raw Price Data'!E1495)/'Raw Price Data'!E1495</f>
        <v>1.7463877348431928E-2</v>
      </c>
      <c r="F1496" s="26">
        <f>('Raw Price Data'!F1496-'Raw Price Data'!F1495)/'Raw Price Data'!F1495</f>
        <v>-9.53131317244574E-4</v>
      </c>
    </row>
    <row r="1497" spans="1:6" ht="15" customHeight="1" x14ac:dyDescent="0.3">
      <c r="A1497" s="21">
        <v>45559</v>
      </c>
      <c r="B1497" s="25">
        <f>('Raw Price Data'!B1497-'Raw Price Data'!B1496)/'Raw Price Data'!B1496</f>
        <v>3.3665204184947763E-2</v>
      </c>
      <c r="C1497" s="25">
        <f>('Raw Price Data'!C1497-'Raw Price Data'!C1496)/'Raw Price Data'!C1496</f>
        <v>1.3389974023737483E-2</v>
      </c>
      <c r="D1497" s="25">
        <f>('Raw Price Data'!D1497-'Raw Price Data'!D1496)/'Raw Price Data'!D1496</f>
        <v>-9.7635494155154014E-3</v>
      </c>
      <c r="E1497" s="25">
        <f>('Raw Price Data'!E1497-'Raw Price Data'!E1496)/'Raw Price Data'!E1496</f>
        <v>7.1908650719086833E-3</v>
      </c>
      <c r="F1497" s="25">
        <f>('Raw Price Data'!F1497-'Raw Price Data'!F1496)/'Raw Price Data'!F1496</f>
        <v>-5.3865174750659132E-3</v>
      </c>
    </row>
    <row r="1498" spans="1:6" ht="15" customHeight="1" x14ac:dyDescent="0.3">
      <c r="A1498" s="19">
        <v>45560</v>
      </c>
      <c r="B1498" s="26">
        <f>('Raw Price Data'!B1498-'Raw Price Data'!B1497)/'Raw Price Data'!B1497</f>
        <v>-3.8364215166108795E-3</v>
      </c>
      <c r="C1498" s="26">
        <f>('Raw Price Data'!C1498-'Raw Price Data'!C1497)/'Raw Price Data'!C1497</f>
        <v>-1.1386166657225348E-2</v>
      </c>
      <c r="D1498" s="26">
        <f>('Raw Price Data'!D1498-'Raw Price Data'!D1497)/'Raw Price Data'!D1497</f>
        <v>-8.719565363203511E-3</v>
      </c>
      <c r="E1498" s="26">
        <f>('Raw Price Data'!E1498-'Raw Price Data'!E1497)/'Raw Price Data'!E1497</f>
        <v>-1.1875291500735486E-2</v>
      </c>
      <c r="F1498" s="26">
        <f>('Raw Price Data'!F1498-'Raw Price Data'!F1497)/'Raw Price Data'!F1497</f>
        <v>3.1871738799931272E-3</v>
      </c>
    </row>
    <row r="1499" spans="1:6" ht="15" customHeight="1" x14ac:dyDescent="0.3">
      <c r="A1499" s="21">
        <v>45561</v>
      </c>
      <c r="B1499" s="25">
        <f>('Raw Price Data'!B1499-'Raw Price Data'!B1498)/'Raw Price Data'!B1498</f>
        <v>1.7862995739101873E-2</v>
      </c>
      <c r="C1499" s="25">
        <f>('Raw Price Data'!C1499-'Raw Price Data'!C1498)/'Raw Price Data'!C1498</f>
        <v>-1.2742092596837175E-2</v>
      </c>
      <c r="D1499" s="25">
        <f>('Raw Price Data'!D1499-'Raw Price Data'!D1498)/'Raw Price Data'!D1498</f>
        <v>1.0690845118073026E-2</v>
      </c>
      <c r="E1499" s="25">
        <f>('Raw Price Data'!E1499-'Raw Price Data'!E1498)/'Raw Price Data'!E1498</f>
        <v>-1.2163241594655518E-2</v>
      </c>
      <c r="F1499" s="25">
        <f>('Raw Price Data'!F1499-'Raw Price Data'!F1498)/'Raw Price Data'!F1498</f>
        <v>-4.1881010877938595E-3</v>
      </c>
    </row>
    <row r="1500" spans="1:6" ht="15" customHeight="1" x14ac:dyDescent="0.3">
      <c r="A1500" s="19">
        <v>45562</v>
      </c>
      <c r="B1500" s="26">
        <f>('Raw Price Data'!B1500-'Raw Price Data'!B1499)/'Raw Price Data'!B1499</f>
        <v>9.3382708098534578E-3</v>
      </c>
      <c r="C1500" s="26">
        <f>('Raw Price Data'!C1500-'Raw Price Data'!C1499)/'Raw Price Data'!C1499</f>
        <v>1.753157715272401E-2</v>
      </c>
      <c r="D1500" s="26">
        <f>('Raw Price Data'!D1500-'Raw Price Data'!D1499)/'Raw Price Data'!D1499</f>
        <v>-2.2293633259690783E-2</v>
      </c>
      <c r="E1500" s="26">
        <f>('Raw Price Data'!E1500-'Raw Price Data'!E1499)/'Raw Price Data'!E1499</f>
        <v>2.6684309185136146E-2</v>
      </c>
      <c r="F1500" s="26">
        <f>('Raw Price Data'!F1500-'Raw Price Data'!F1499)/'Raw Price Data'!F1499</f>
        <v>-6.364337441009592E-3</v>
      </c>
    </row>
    <row r="1501" spans="1:6" ht="15" customHeight="1" x14ac:dyDescent="0.3">
      <c r="A1501" s="21">
        <v>45565</v>
      </c>
      <c r="B1501" s="25">
        <f>('Raw Price Data'!B1501-'Raw Price Data'!B1500)/'Raw Price Data'!B1500</f>
        <v>-1.5951507417450949E-2</v>
      </c>
      <c r="C1501" s="25">
        <f>('Raw Price Data'!C1501-'Raw Price Data'!C1500)/'Raw Price Data'!C1500</f>
        <v>-3.1550014794641001E-3</v>
      </c>
      <c r="D1501" s="25">
        <f>('Raw Price Data'!D1501-'Raw Price Data'!D1500)/'Raw Price Data'!D1500</f>
        <v>-8.9016707751299849E-3</v>
      </c>
      <c r="E1501" s="25">
        <f>('Raw Price Data'!E1501-'Raw Price Data'!E1500)/'Raw Price Data'!E1500</f>
        <v>8.5561880213369246E-3</v>
      </c>
      <c r="F1501" s="25">
        <f>('Raw Price Data'!F1501-'Raw Price Data'!F1500)/'Raw Price Data'!F1500</f>
        <v>8.4553534813641071E-3</v>
      </c>
    </row>
    <row r="1502" spans="1:6" ht="15" customHeight="1" x14ac:dyDescent="0.3">
      <c r="A1502" s="19">
        <v>45566</v>
      </c>
      <c r="B1502" s="26">
        <f>('Raw Price Data'!B1502-'Raw Price Data'!B1501)/'Raw Price Data'!B1501</f>
        <v>1.9127897552277513E-2</v>
      </c>
      <c r="C1502" s="26">
        <f>('Raw Price Data'!C1502-'Raw Price Data'!C1501)/'Raw Price Data'!C1501</f>
        <v>1.203052692563544E-2</v>
      </c>
      <c r="D1502" s="26">
        <f>('Raw Price Data'!D1502-'Raw Price Data'!D1501)/'Raw Price Data'!D1501</f>
        <v>-1.6719635207959209E-2</v>
      </c>
      <c r="E1502" s="26">
        <f>('Raw Price Data'!E1502-'Raw Price Data'!E1501)/'Raw Price Data'!E1501</f>
        <v>1.1749254579014429E-2</v>
      </c>
      <c r="F1502" s="26">
        <f>('Raw Price Data'!F1502-'Raw Price Data'!F1501)/'Raw Price Data'!F1501</f>
        <v>-7.3449009248018459E-3</v>
      </c>
    </row>
    <row r="1503" spans="1:6" ht="15" customHeight="1" x14ac:dyDescent="0.3">
      <c r="A1503" s="21">
        <v>45567</v>
      </c>
      <c r="B1503" s="25">
        <f>('Raw Price Data'!B1503-'Raw Price Data'!B1502)/'Raw Price Data'!B1502</f>
        <v>-1.4394782885318818E-2</v>
      </c>
      <c r="C1503" s="25">
        <f>('Raw Price Data'!C1503-'Raw Price Data'!C1502)/'Raw Price Data'!C1502</f>
        <v>3.3570565328320126E-3</v>
      </c>
      <c r="D1503" s="25">
        <f>('Raw Price Data'!D1503-'Raw Price Data'!D1502)/'Raw Price Data'!D1502</f>
        <v>2.6489600899381748E-2</v>
      </c>
      <c r="E1503" s="25">
        <f>('Raw Price Data'!E1503-'Raw Price Data'!E1502)/'Raw Price Data'!E1502</f>
        <v>1.1682980738869737E-2</v>
      </c>
      <c r="F1503" s="25">
        <f>('Raw Price Data'!F1503-'Raw Price Data'!F1502)/'Raw Price Data'!F1502</f>
        <v>1.6111793669471252E-2</v>
      </c>
    </row>
    <row r="1504" spans="1:6" ht="15" customHeight="1" x14ac:dyDescent="0.3">
      <c r="A1504" s="19">
        <v>45568</v>
      </c>
      <c r="B1504" s="26">
        <f>('Raw Price Data'!B1504-'Raw Price Data'!B1503)/'Raw Price Data'!B1503</f>
        <v>-3.0581780037117777E-2</v>
      </c>
      <c r="C1504" s="26">
        <f>('Raw Price Data'!C1504-'Raw Price Data'!C1503)/'Raw Price Data'!C1503</f>
        <v>-1.4792065817650008E-3</v>
      </c>
      <c r="D1504" s="26">
        <f>('Raw Price Data'!D1504-'Raw Price Data'!D1503)/'Raw Price Data'!D1503</f>
        <v>-3.9701553836676874E-3</v>
      </c>
      <c r="E1504" s="26">
        <f>('Raw Price Data'!E1504-'Raw Price Data'!E1503)/'Raw Price Data'!E1503</f>
        <v>-1.2137605770565359E-3</v>
      </c>
      <c r="F1504" s="26">
        <f>('Raw Price Data'!F1504-'Raw Price Data'!F1503)/'Raw Price Data'!F1503</f>
        <v>-1.3669459991099657E-2</v>
      </c>
    </row>
    <row r="1505" spans="1:6" ht="15" customHeight="1" x14ac:dyDescent="0.3">
      <c r="A1505" s="21">
        <v>45569</v>
      </c>
      <c r="B1505" s="25">
        <f>('Raw Price Data'!B1505-'Raw Price Data'!B1504)/'Raw Price Data'!B1504</f>
        <v>1.2152488763109653E-2</v>
      </c>
      <c r="C1505" s="25">
        <f>('Raw Price Data'!C1505-'Raw Price Data'!C1504)/'Raw Price Data'!C1504</f>
        <v>2.7194232424272483E-3</v>
      </c>
      <c r="D1505" s="25">
        <f>('Raw Price Data'!D1505-'Raw Price Data'!D1504)/'Raw Price Data'!D1504</f>
        <v>-7.7657892928320767E-3</v>
      </c>
      <c r="E1505" s="25">
        <f>('Raw Price Data'!E1505-'Raw Price Data'!E1504)/'Raw Price Data'!E1504</f>
        <v>-2.0242352696086888E-2</v>
      </c>
      <c r="F1505" s="25">
        <f>('Raw Price Data'!F1505-'Raw Price Data'!F1504)/'Raw Price Data'!F1504</f>
        <v>5.615574879965439E-3</v>
      </c>
    </row>
    <row r="1506" spans="1:6" ht="15" customHeight="1" x14ac:dyDescent="0.3">
      <c r="A1506" s="19">
        <v>45572</v>
      </c>
      <c r="B1506" s="26">
        <f>('Raw Price Data'!B1506-'Raw Price Data'!B1505)/'Raw Price Data'!B1505</f>
        <v>1.5131578947368449E-2</v>
      </c>
      <c r="C1506" s="26">
        <f>('Raw Price Data'!C1506-'Raw Price Data'!C1505)/'Raw Price Data'!C1505</f>
        <v>-1.4035112404014286E-2</v>
      </c>
      <c r="D1506" s="26">
        <f>('Raw Price Data'!D1506-'Raw Price Data'!D1505)/'Raw Price Data'!D1505</f>
        <v>2.2163734589277823E-3</v>
      </c>
      <c r="E1506" s="26">
        <f>('Raw Price Data'!E1506-'Raw Price Data'!E1505)/'Raw Price Data'!E1505</f>
        <v>3.4481536607839029E-2</v>
      </c>
      <c r="F1506" s="26">
        <f>('Raw Price Data'!F1506-'Raw Price Data'!F1505)/'Raw Price Data'!F1505</f>
        <v>4.8432590427475814E-3</v>
      </c>
    </row>
    <row r="1507" spans="1:6" ht="15" customHeight="1" x14ac:dyDescent="0.3">
      <c r="A1507" s="21">
        <v>45573</v>
      </c>
      <c r="B1507" s="25">
        <f>('Raw Price Data'!B1507-'Raw Price Data'!B1506)/'Raw Price Data'!B1506</f>
        <v>1.0531432274789004E-3</v>
      </c>
      <c r="C1507" s="25">
        <f>('Raw Price Data'!C1507-'Raw Price Data'!C1506)/'Raw Price Data'!C1506</f>
        <v>3.059968533377096E-2</v>
      </c>
      <c r="D1507" s="25">
        <f>('Raw Price Data'!D1507-'Raw Price Data'!D1506)/'Raw Price Data'!D1506</f>
        <v>1.3959917069799658E-2</v>
      </c>
      <c r="E1507" s="25">
        <f>('Raw Price Data'!E1507-'Raw Price Data'!E1506)/'Raw Price Data'!E1506</f>
        <v>-3.1859134664794174E-3</v>
      </c>
      <c r="F1507" s="25">
        <f>('Raw Price Data'!F1507-'Raw Price Data'!F1506)/'Raw Price Data'!F1506</f>
        <v>4.4014084507041987E-3</v>
      </c>
    </row>
    <row r="1508" spans="1:6" ht="15" customHeight="1" x14ac:dyDescent="0.3">
      <c r="A1508" s="19">
        <v>45574</v>
      </c>
      <c r="B1508" s="26">
        <f>('Raw Price Data'!B1508-'Raw Price Data'!B1507)/'Raw Price Data'!B1507</f>
        <v>-3.3179574330338803E-3</v>
      </c>
      <c r="C1508" s="26">
        <f>('Raw Price Data'!C1508-'Raw Price Data'!C1507)/'Raw Price Data'!C1507</f>
        <v>1.0263990528742668E-2</v>
      </c>
      <c r="D1508" s="26">
        <f>('Raw Price Data'!D1508-'Raw Price Data'!D1507)/'Raw Price Data'!D1507</f>
        <v>-3.2238276990185319E-2</v>
      </c>
      <c r="E1508" s="26">
        <f>('Raw Price Data'!E1508-'Raw Price Data'!E1507)/'Raw Price Data'!E1507</f>
        <v>2.48470685270464E-2</v>
      </c>
      <c r="F1508" s="26">
        <f>('Raw Price Data'!F1508-'Raw Price Data'!F1507)/'Raw Price Data'!F1507</f>
        <v>3.7087838989907809E-3</v>
      </c>
    </row>
    <row r="1509" spans="1:6" ht="15" customHeight="1" x14ac:dyDescent="0.3">
      <c r="A1509" s="21">
        <v>45575</v>
      </c>
      <c r="B1509" s="25">
        <f>('Raw Price Data'!B1509-'Raw Price Data'!B1508)/'Raw Price Data'!B1508</f>
        <v>2.2247482949009491E-2</v>
      </c>
      <c r="C1509" s="25">
        <f>('Raw Price Data'!C1509-'Raw Price Data'!C1508)/'Raw Price Data'!C1508</f>
        <v>2.52776359568118E-2</v>
      </c>
      <c r="D1509" s="25">
        <f>('Raw Price Data'!D1509-'Raw Price Data'!D1508)/'Raw Price Data'!D1508</f>
        <v>-1.6620888794985657E-2</v>
      </c>
      <c r="E1509" s="25">
        <f>('Raw Price Data'!E1509-'Raw Price Data'!E1508)/'Raw Price Data'!E1508</f>
        <v>-1.2407363938164535E-3</v>
      </c>
      <c r="F1509" s="25">
        <f>('Raw Price Data'!F1509-'Raw Price Data'!F1508)/'Raw Price Data'!F1508</f>
        <v>1.0611496909405813E-2</v>
      </c>
    </row>
    <row r="1510" spans="1:6" ht="15" customHeight="1" x14ac:dyDescent="0.3">
      <c r="A1510" s="19">
        <v>45576</v>
      </c>
      <c r="B1510" s="26">
        <f>('Raw Price Data'!B1510-'Raw Price Data'!B1509)/'Raw Price Data'!B1509</f>
        <v>1.0166799046862598E-2</v>
      </c>
      <c r="C1510" s="26">
        <f>('Raw Price Data'!C1510-'Raw Price Data'!C1509)/'Raw Price Data'!C1509</f>
        <v>-8.7395059087748105E-3</v>
      </c>
      <c r="D1510" s="26">
        <f>('Raw Price Data'!D1510-'Raw Price Data'!D1509)/'Raw Price Data'!D1509</f>
        <v>3.8673637470457069E-3</v>
      </c>
      <c r="E1510" s="26">
        <f>('Raw Price Data'!E1510-'Raw Price Data'!E1509)/'Raw Price Data'!E1509</f>
        <v>2.1420897125973854E-2</v>
      </c>
      <c r="F1510" s="26">
        <f>('Raw Price Data'!F1510-'Raw Price Data'!F1509)/'Raw Price Data'!F1509</f>
        <v>-2.5627871246803003E-3</v>
      </c>
    </row>
    <row r="1511" spans="1:6" ht="15" customHeight="1" x14ac:dyDescent="0.3">
      <c r="A1511" s="21">
        <v>45579</v>
      </c>
      <c r="B1511" s="25">
        <f>('Raw Price Data'!B1511-'Raw Price Data'!B1510)/'Raw Price Data'!B1510</f>
        <v>-8.7277873879541869E-3</v>
      </c>
      <c r="C1511" s="25">
        <f>('Raw Price Data'!C1511-'Raw Price Data'!C1510)/'Raw Price Data'!C1510</f>
        <v>-8.9379334526856671E-3</v>
      </c>
      <c r="D1511" s="25">
        <f>('Raw Price Data'!D1511-'Raw Price Data'!D1510)/'Raw Price Data'!D1510</f>
        <v>-9.5598202183061649E-3</v>
      </c>
      <c r="E1511" s="25">
        <f>('Raw Price Data'!E1511-'Raw Price Data'!E1510)/'Raw Price Data'!E1510</f>
        <v>-1.5909539149299951E-2</v>
      </c>
      <c r="F1511" s="25">
        <f>('Raw Price Data'!F1511-'Raw Price Data'!F1510)/'Raw Price Data'!F1510</f>
        <v>-3.8953838788641517E-3</v>
      </c>
    </row>
    <row r="1512" spans="1:6" ht="15" customHeight="1" x14ac:dyDescent="0.3">
      <c r="A1512" s="19">
        <v>45580</v>
      </c>
      <c r="B1512" s="26">
        <f>('Raw Price Data'!B1512-'Raw Price Data'!B1511)/'Raw Price Data'!B1511</f>
        <v>1.0391052589831066E-2</v>
      </c>
      <c r="C1512" s="26">
        <f>('Raw Price Data'!C1512-'Raw Price Data'!C1511)/'Raw Price Data'!C1511</f>
        <v>-5.0348698758292849E-3</v>
      </c>
      <c r="D1512" s="26">
        <f>('Raw Price Data'!D1512-'Raw Price Data'!D1511)/'Raw Price Data'!D1511</f>
        <v>-2.2329467694302545E-2</v>
      </c>
      <c r="E1512" s="26">
        <f>('Raw Price Data'!E1512-'Raw Price Data'!E1511)/'Raw Price Data'!E1511</f>
        <v>-2.4383726367826881E-2</v>
      </c>
      <c r="F1512" s="26">
        <f>('Raw Price Data'!F1512-'Raw Price Data'!F1511)/'Raw Price Data'!F1511</f>
        <v>-3.4251575858053811E-3</v>
      </c>
    </row>
    <row r="1513" spans="1:6" ht="15" customHeight="1" x14ac:dyDescent="0.3">
      <c r="A1513" s="21">
        <v>45581</v>
      </c>
      <c r="B1513" s="25">
        <f>('Raw Price Data'!B1513-'Raw Price Data'!B1512)/'Raw Price Data'!B1512</f>
        <v>-1.6878630868268109E-2</v>
      </c>
      <c r="C1513" s="25">
        <f>('Raw Price Data'!C1513-'Raw Price Data'!C1512)/'Raw Price Data'!C1512</f>
        <v>-1.4603207166547009E-2</v>
      </c>
      <c r="D1513" s="25">
        <f>('Raw Price Data'!D1513-'Raw Price Data'!D1512)/'Raw Price Data'!D1512</f>
        <v>-1.0756649230088998E-2</v>
      </c>
      <c r="E1513" s="25">
        <f>('Raw Price Data'!E1513-'Raw Price Data'!E1512)/'Raw Price Data'!E1512</f>
        <v>-4.7932073404545923E-3</v>
      </c>
      <c r="F1513" s="25">
        <f>('Raw Price Data'!F1513-'Raw Price Data'!F1512)/'Raw Price Data'!F1512</f>
        <v>2.2933769315720987E-2</v>
      </c>
    </row>
    <row r="1514" spans="1:6" ht="15" customHeight="1" x14ac:dyDescent="0.3">
      <c r="A1514" s="19">
        <v>45582</v>
      </c>
      <c r="B1514" s="26">
        <f>('Raw Price Data'!B1514-'Raw Price Data'!B1513)/'Raw Price Data'!B1513</f>
        <v>-7.4263355426016676E-3</v>
      </c>
      <c r="C1514" s="26">
        <f>('Raw Price Data'!C1514-'Raw Price Data'!C1513)/'Raw Price Data'!C1513</f>
        <v>1.2557295479859423E-2</v>
      </c>
      <c r="D1514" s="26">
        <f>('Raw Price Data'!D1514-'Raw Price Data'!D1513)/'Raw Price Data'!D1513</f>
        <v>2.9045952185893075E-3</v>
      </c>
      <c r="E1514" s="26">
        <f>('Raw Price Data'!E1514-'Raw Price Data'!E1513)/'Raw Price Data'!E1513</f>
        <v>-8.6693270950873192E-3</v>
      </c>
      <c r="F1514" s="26">
        <f>('Raw Price Data'!F1514-'Raw Price Data'!F1513)/'Raw Price Data'!F1513</f>
        <v>-1.1448169378150888E-2</v>
      </c>
    </row>
    <row r="1515" spans="1:6" ht="15" customHeight="1" x14ac:dyDescent="0.3">
      <c r="A1515" s="21">
        <v>45583</v>
      </c>
      <c r="B1515" s="25">
        <f>('Raw Price Data'!B1515-'Raw Price Data'!B1514)/'Raw Price Data'!B1514</f>
        <v>-1.4239742558326598E-2</v>
      </c>
      <c r="C1515" s="25">
        <f>('Raw Price Data'!C1515-'Raw Price Data'!C1514)/'Raw Price Data'!C1514</f>
        <v>1.316231349676864E-2</v>
      </c>
      <c r="D1515" s="25">
        <f>('Raw Price Data'!D1515-'Raw Price Data'!D1514)/'Raw Price Data'!D1514</f>
        <v>5.4953215505718781E-3</v>
      </c>
      <c r="E1515" s="25">
        <f>('Raw Price Data'!E1515-'Raw Price Data'!E1514)/'Raw Price Data'!E1514</f>
        <v>1.2978900610771626E-2</v>
      </c>
      <c r="F1515" s="25">
        <f>('Raw Price Data'!F1515-'Raw Price Data'!F1514)/'Raw Price Data'!F1514</f>
        <v>1.2595517866922539E-2</v>
      </c>
    </row>
    <row r="1516" spans="1:6" ht="15" customHeight="1" x14ac:dyDescent="0.3">
      <c r="A1516" s="19">
        <v>45586</v>
      </c>
      <c r="B1516" s="26">
        <f>('Raw Price Data'!B1516-'Raw Price Data'!B1515)/'Raw Price Data'!B1515</f>
        <v>-3.019668652574882E-2</v>
      </c>
      <c r="C1516" s="26">
        <f>('Raw Price Data'!C1516-'Raw Price Data'!C1515)/'Raw Price Data'!C1515</f>
        <v>-8.4556871260472368E-3</v>
      </c>
      <c r="D1516" s="26">
        <f>('Raw Price Data'!D1516-'Raw Price Data'!D1515)/'Raw Price Data'!D1515</f>
        <v>3.1240768094534636E-2</v>
      </c>
      <c r="E1516" s="26">
        <f>('Raw Price Data'!E1516-'Raw Price Data'!E1515)/'Raw Price Data'!E1515</f>
        <v>6.988694758479002E-3</v>
      </c>
      <c r="F1516" s="26">
        <f>('Raw Price Data'!F1516-'Raw Price Data'!F1515)/'Raw Price Data'!F1515</f>
        <v>-9.0638561948172963E-3</v>
      </c>
    </row>
    <row r="1517" spans="1:6" ht="15" customHeight="1" x14ac:dyDescent="0.3">
      <c r="A1517" s="21">
        <v>45587</v>
      </c>
      <c r="B1517" s="25">
        <f>('Raw Price Data'!B1517-'Raw Price Data'!B1516)/'Raw Price Data'!B1516</f>
        <v>-1.5989228309349419E-2</v>
      </c>
      <c r="C1517" s="25">
        <f>('Raw Price Data'!C1517-'Raw Price Data'!C1516)/'Raw Price Data'!C1516</f>
        <v>-5.0416326976146734E-3</v>
      </c>
      <c r="D1517" s="25">
        <f>('Raw Price Data'!D1517-'Raw Price Data'!D1516)/'Raw Price Data'!D1516</f>
        <v>-2.54243357444674E-2</v>
      </c>
      <c r="E1517" s="25">
        <f>('Raw Price Data'!E1517-'Raw Price Data'!E1516)/'Raw Price Data'!E1516</f>
        <v>-2.8747363407498089E-2</v>
      </c>
      <c r="F1517" s="25">
        <f>('Raw Price Data'!F1517-'Raw Price Data'!F1516)/'Raw Price Data'!F1516</f>
        <v>6.4465492862812281E-3</v>
      </c>
    </row>
    <row r="1518" spans="1:6" ht="15" customHeight="1" x14ac:dyDescent="0.3">
      <c r="A1518" s="19">
        <v>45588</v>
      </c>
      <c r="B1518" s="26">
        <f>('Raw Price Data'!B1518-'Raw Price Data'!B1517)/'Raw Price Data'!B1517</f>
        <v>1.7275292910288172E-2</v>
      </c>
      <c r="C1518" s="26">
        <f>('Raw Price Data'!C1518-'Raw Price Data'!C1517)/'Raw Price Data'!C1517</f>
        <v>7.2373586212335144E-3</v>
      </c>
      <c r="D1518" s="26">
        <f>('Raw Price Data'!D1518-'Raw Price Data'!D1517)/'Raw Price Data'!D1517</f>
        <v>-2.2927689594356291E-2</v>
      </c>
      <c r="E1518" s="26">
        <f>('Raw Price Data'!E1518-'Raw Price Data'!E1517)/'Raw Price Data'!E1517</f>
        <v>-1.3555641178325001E-2</v>
      </c>
      <c r="F1518" s="26">
        <f>('Raw Price Data'!F1518-'Raw Price Data'!F1517)/'Raw Price Data'!F1517</f>
        <v>1.2900339621942314E-2</v>
      </c>
    </row>
    <row r="1519" spans="1:6" ht="15" customHeight="1" x14ac:dyDescent="0.3">
      <c r="A1519" s="21">
        <v>45589</v>
      </c>
      <c r="B1519" s="25">
        <f>('Raw Price Data'!B1519-'Raw Price Data'!B1518)/'Raw Price Data'!B1518</f>
        <v>-1.4880201765447633E-2</v>
      </c>
      <c r="C1519" s="25">
        <f>('Raw Price Data'!C1519-'Raw Price Data'!C1518)/'Raw Price Data'!C1518</f>
        <v>-1.2679038231129506E-2</v>
      </c>
      <c r="D1519" s="25">
        <f>('Raw Price Data'!D1519-'Raw Price Data'!D1518)/'Raw Price Data'!D1518</f>
        <v>-1.8577015643802638E-2</v>
      </c>
      <c r="E1519" s="25">
        <f>('Raw Price Data'!E1519-'Raw Price Data'!E1518)/'Raw Price Data'!E1518</f>
        <v>-2.5956963283857687E-2</v>
      </c>
      <c r="F1519" s="25">
        <f>('Raw Price Data'!F1519-'Raw Price Data'!F1518)/'Raw Price Data'!F1518</f>
        <v>-1.3504722201315145E-2</v>
      </c>
    </row>
    <row r="1520" spans="1:6" ht="15" customHeight="1" x14ac:dyDescent="0.3">
      <c r="A1520" s="19">
        <v>45590</v>
      </c>
      <c r="B1520" s="26">
        <f>('Raw Price Data'!B1520-'Raw Price Data'!B1519)/'Raw Price Data'!B1519</f>
        <v>-7.3391363713945518E-3</v>
      </c>
      <c r="C1520" s="26">
        <f>('Raw Price Data'!C1520-'Raw Price Data'!C1519)/'Raw Price Data'!C1519</f>
        <v>-6.6260553596238989E-3</v>
      </c>
      <c r="D1520" s="26">
        <f>('Raw Price Data'!D1520-'Raw Price Data'!D1519)/'Raw Price Data'!D1519</f>
        <v>1.5710016093187087E-2</v>
      </c>
      <c r="E1520" s="26">
        <f>('Raw Price Data'!E1520-'Raw Price Data'!E1519)/'Raw Price Data'!E1519</f>
        <v>-1.3670664576573949E-2</v>
      </c>
      <c r="F1520" s="26">
        <f>('Raw Price Data'!F1520-'Raw Price Data'!F1519)/'Raw Price Data'!F1519</f>
        <v>-9.6625276858766408E-3</v>
      </c>
    </row>
    <row r="1521" spans="1:6" ht="15" customHeight="1" x14ac:dyDescent="0.3">
      <c r="A1521" s="21">
        <v>45593</v>
      </c>
      <c r="B1521" s="25">
        <f>('Raw Price Data'!B1521-'Raw Price Data'!B1520)/'Raw Price Data'!B1520</f>
        <v>-1.573246217331498E-2</v>
      </c>
      <c r="C1521" s="25">
        <f>('Raw Price Data'!C1521-'Raw Price Data'!C1520)/'Raw Price Data'!C1520</f>
        <v>2.812125839421132E-2</v>
      </c>
      <c r="D1521" s="25">
        <f>('Raw Price Data'!D1521-'Raw Price Data'!D1520)/'Raw Price Data'!D1520</f>
        <v>-1.3731703636637945E-2</v>
      </c>
      <c r="E1521" s="25">
        <f>('Raw Price Data'!E1521-'Raw Price Data'!E1520)/'Raw Price Data'!E1520</f>
        <v>-1.2936132465997292E-3</v>
      </c>
      <c r="F1521" s="25">
        <f>('Raw Price Data'!F1521-'Raw Price Data'!F1520)/'Raw Price Data'!F1520</f>
        <v>1.0225998453492023E-2</v>
      </c>
    </row>
    <row r="1522" spans="1:6" ht="15" customHeight="1" x14ac:dyDescent="0.3">
      <c r="A1522" s="19">
        <v>45594</v>
      </c>
      <c r="B1522" s="26">
        <f>('Raw Price Data'!B1522-'Raw Price Data'!B1521)/'Raw Price Data'!B1521</f>
        <v>1.2315486068652379E-2</v>
      </c>
      <c r="C1522" s="26">
        <f>('Raw Price Data'!C1522-'Raw Price Data'!C1521)/'Raw Price Data'!C1521</f>
        <v>-1.25739245497016E-2</v>
      </c>
      <c r="D1522" s="26">
        <f>('Raw Price Data'!D1522-'Raw Price Data'!D1521)/'Raw Price Data'!D1521</f>
        <v>-2.3485312117503009E-2</v>
      </c>
      <c r="E1522" s="26">
        <f>('Raw Price Data'!E1522-'Raw Price Data'!E1521)/'Raw Price Data'!E1521</f>
        <v>-1.1250508863476422E-2</v>
      </c>
      <c r="F1522" s="26">
        <f>('Raw Price Data'!F1522-'Raw Price Data'!F1521)/'Raw Price Data'!F1521</f>
        <v>1.3979805868295064E-2</v>
      </c>
    </row>
    <row r="1523" spans="1:6" ht="15" customHeight="1" x14ac:dyDescent="0.3">
      <c r="A1523" s="21">
        <v>45595</v>
      </c>
      <c r="B1523" s="25">
        <f>('Raw Price Data'!B1523-'Raw Price Data'!B1522)/'Raw Price Data'!B1522</f>
        <v>2.5884383088870693E-4</v>
      </c>
      <c r="C1523" s="25">
        <f>('Raw Price Data'!C1523-'Raw Price Data'!C1522)/'Raw Price Data'!C1522</f>
        <v>-8.5224067851074406E-3</v>
      </c>
      <c r="D1523" s="25">
        <f>('Raw Price Data'!D1523-'Raw Price Data'!D1522)/'Raw Price Data'!D1522</f>
        <v>1.3160987074030605E-2</v>
      </c>
      <c r="E1523" s="25">
        <f>('Raw Price Data'!E1523-'Raw Price Data'!E1522)/'Raw Price Data'!E1522</f>
        <v>2.2532469962944873E-2</v>
      </c>
      <c r="F1523" s="25">
        <f>('Raw Price Data'!F1523-'Raw Price Data'!F1522)/'Raw Price Data'!F1522</f>
        <v>-6.3015243539918933E-3</v>
      </c>
    </row>
    <row r="1524" spans="1:6" ht="15" customHeight="1" x14ac:dyDescent="0.3">
      <c r="A1524" s="19">
        <v>45596</v>
      </c>
      <c r="B1524" s="26">
        <f>('Raw Price Data'!B1524-'Raw Price Data'!B1523)/'Raw Price Data'!B1523</f>
        <v>7.1594927973777124E-3</v>
      </c>
      <c r="C1524" s="26">
        <f>('Raw Price Data'!C1524-'Raw Price Data'!C1523)/'Raw Price Data'!C1523</f>
        <v>4.4774678481536274E-2</v>
      </c>
      <c r="D1524" s="26">
        <f>('Raw Price Data'!D1524-'Raw Price Data'!D1523)/'Raw Price Data'!D1523</f>
        <v>-1.1288950746153312E-2</v>
      </c>
      <c r="E1524" s="26">
        <f>('Raw Price Data'!E1524-'Raw Price Data'!E1523)/'Raw Price Data'!E1523</f>
        <v>8.3824444525788661E-3</v>
      </c>
      <c r="F1524" s="26">
        <f>('Raw Price Data'!F1524-'Raw Price Data'!F1523)/'Raw Price Data'!F1523</f>
        <v>2.0185146284626407E-2</v>
      </c>
    </row>
    <row r="1525" spans="1:6" ht="15" customHeight="1" x14ac:dyDescent="0.3">
      <c r="A1525" s="21">
        <v>45597</v>
      </c>
      <c r="B1525" s="25">
        <f>('Raw Price Data'!B1525-'Raw Price Data'!B1524)/'Raw Price Data'!B1524</f>
        <v>-1.1133949982871673E-3</v>
      </c>
      <c r="C1525" s="25">
        <f>('Raw Price Data'!C1525-'Raw Price Data'!C1524)/'Raw Price Data'!C1524</f>
        <v>-3.6908942102067119E-2</v>
      </c>
      <c r="D1525" s="25">
        <f>('Raw Price Data'!D1525-'Raw Price Data'!D1524)/'Raw Price Data'!D1524</f>
        <v>1.7987018065222359E-2</v>
      </c>
      <c r="E1525" s="25">
        <f>('Raw Price Data'!E1525-'Raw Price Data'!E1524)/'Raw Price Data'!E1524</f>
        <v>-1.557281835341956E-2</v>
      </c>
      <c r="F1525" s="25">
        <f>('Raw Price Data'!F1525-'Raw Price Data'!F1524)/'Raw Price Data'!F1524</f>
        <v>-2.7212664759753546E-3</v>
      </c>
    </row>
    <row r="1526" spans="1:6" ht="15" customHeight="1" x14ac:dyDescent="0.3">
      <c r="A1526" s="19">
        <v>45600</v>
      </c>
      <c r="B1526" s="26">
        <f>('Raw Price Data'!B1526-'Raw Price Data'!B1525)/'Raw Price Data'!B1525</f>
        <v>-1.5947869330360968E-2</v>
      </c>
      <c r="C1526" s="26">
        <f>('Raw Price Data'!C1526-'Raw Price Data'!C1525)/'Raw Price Data'!C1525</f>
        <v>-2.0295923682118484E-2</v>
      </c>
      <c r="D1526" s="26">
        <f>('Raw Price Data'!D1526-'Raw Price Data'!D1525)/'Raw Price Data'!D1525</f>
        <v>3.7643082123377824E-3</v>
      </c>
      <c r="E1526" s="26">
        <f>('Raw Price Data'!E1526-'Raw Price Data'!E1525)/'Raw Price Data'!E1525</f>
        <v>2.4816549282790732E-2</v>
      </c>
      <c r="F1526" s="26">
        <f>('Raw Price Data'!F1526-'Raw Price Data'!F1525)/'Raw Price Data'!F1525</f>
        <v>4.6859249019059277E-3</v>
      </c>
    </row>
    <row r="1527" spans="1:6" ht="15" customHeight="1" x14ac:dyDescent="0.3">
      <c r="A1527" s="21">
        <v>45601</v>
      </c>
      <c r="B1527" s="25">
        <f>('Raw Price Data'!B1527-'Raw Price Data'!B1526)/'Raw Price Data'!B1526</f>
        <v>-1.3156748279166951E-2</v>
      </c>
      <c r="C1527" s="25">
        <f>('Raw Price Data'!C1527-'Raw Price Data'!C1526)/'Raw Price Data'!C1526</f>
        <v>3.2296989601586411E-2</v>
      </c>
      <c r="D1527" s="25">
        <f>('Raw Price Data'!D1527-'Raw Price Data'!D1526)/'Raw Price Data'!D1526</f>
        <v>-1.0026021735802864E-2</v>
      </c>
      <c r="E1527" s="25">
        <f>('Raw Price Data'!E1527-'Raw Price Data'!E1526)/'Raw Price Data'!E1526</f>
        <v>1.7666954519286009E-2</v>
      </c>
      <c r="F1527" s="25">
        <f>('Raw Price Data'!F1527-'Raw Price Data'!F1526)/'Raw Price Data'!F1526</f>
        <v>1.4792634705599002E-2</v>
      </c>
    </row>
    <row r="1528" spans="1:6" ht="15" customHeight="1" x14ac:dyDescent="0.3">
      <c r="A1528" s="19">
        <v>45602</v>
      </c>
      <c r="B1528" s="26">
        <f>('Raw Price Data'!B1528-'Raw Price Data'!B1527)/'Raw Price Data'!B1527</f>
        <v>1.191947730884685E-2</v>
      </c>
      <c r="C1528" s="26">
        <f>('Raw Price Data'!C1528-'Raw Price Data'!C1527)/'Raw Price Data'!C1527</f>
        <v>-6.6272959209603298E-3</v>
      </c>
      <c r="D1528" s="26">
        <f>('Raw Price Data'!D1528-'Raw Price Data'!D1527)/'Raw Price Data'!D1527</f>
        <v>1.4534209509083846E-2</v>
      </c>
      <c r="E1528" s="26">
        <f>('Raw Price Data'!E1528-'Raw Price Data'!E1527)/'Raw Price Data'!E1527</f>
        <v>4.1721175264293284E-3</v>
      </c>
      <c r="F1528" s="26">
        <f>('Raw Price Data'!F1528-'Raw Price Data'!F1527)/'Raw Price Data'!F1527</f>
        <v>-8.0294614011596176E-3</v>
      </c>
    </row>
    <row r="1529" spans="1:6" ht="15" customHeight="1" x14ac:dyDescent="0.3">
      <c r="A1529" s="21">
        <v>45603</v>
      </c>
      <c r="B1529" s="25">
        <f>('Raw Price Data'!B1529-'Raw Price Data'!B1528)/'Raw Price Data'!B1528</f>
        <v>-5.2351452752815873E-4</v>
      </c>
      <c r="C1529" s="25">
        <f>('Raw Price Data'!C1529-'Raw Price Data'!C1528)/'Raw Price Data'!C1528</f>
        <v>9.4103763127287854E-3</v>
      </c>
      <c r="D1529" s="25">
        <f>('Raw Price Data'!D1529-'Raw Price Data'!D1528)/'Raw Price Data'!D1528</f>
        <v>1.3182961213137379E-2</v>
      </c>
      <c r="E1529" s="25">
        <f>('Raw Price Data'!E1529-'Raw Price Data'!E1528)/'Raw Price Data'!E1528</f>
        <v>-6.4082250624977752E-3</v>
      </c>
      <c r="F1529" s="25">
        <f>('Raw Price Data'!F1529-'Raw Price Data'!F1528)/'Raw Price Data'!F1528</f>
        <v>1.9233100568076242E-2</v>
      </c>
    </row>
    <row r="1530" spans="1:6" ht="15" customHeight="1" x14ac:dyDescent="0.3">
      <c r="A1530" s="19">
        <v>45604</v>
      </c>
      <c r="B1530" s="26">
        <f>('Raw Price Data'!B1530-'Raw Price Data'!B1529)/'Raw Price Data'!B1529</f>
        <v>1.1086861632474868E-2</v>
      </c>
      <c r="C1530" s="26">
        <f>('Raw Price Data'!C1530-'Raw Price Data'!C1529)/'Raw Price Data'!C1529</f>
        <v>3.7983280733647304E-2</v>
      </c>
      <c r="D1530" s="26">
        <f>('Raw Price Data'!D1530-'Raw Price Data'!D1529)/'Raw Price Data'!D1529</f>
        <v>2.4067388688327231E-2</v>
      </c>
      <c r="E1530" s="26">
        <f>('Raw Price Data'!E1530-'Raw Price Data'!E1529)/'Raw Price Data'!E1529</f>
        <v>3.7102661327474494E-2</v>
      </c>
      <c r="F1530" s="26">
        <f>('Raw Price Data'!F1530-'Raw Price Data'!F1529)/'Raw Price Data'!F1529</f>
        <v>-8.1112708325851227E-3</v>
      </c>
    </row>
    <row r="1531" spans="1:6" ht="15" customHeight="1" x14ac:dyDescent="0.3">
      <c r="A1531" s="21">
        <v>45607</v>
      </c>
      <c r="B1531" s="25">
        <f>('Raw Price Data'!B1531-'Raw Price Data'!B1530)/'Raw Price Data'!B1530</f>
        <v>-4.3515800379899779E-2</v>
      </c>
      <c r="C1531" s="25">
        <f>('Raw Price Data'!C1531-'Raw Price Data'!C1530)/'Raw Price Data'!C1530</f>
        <v>-1.2051291233027435E-2</v>
      </c>
      <c r="D1531" s="25">
        <f>('Raw Price Data'!D1531-'Raw Price Data'!D1530)/'Raw Price Data'!D1530</f>
        <v>-6.0957696827260875E-3</v>
      </c>
      <c r="E1531" s="25">
        <f>('Raw Price Data'!E1531-'Raw Price Data'!E1530)/'Raw Price Data'!E1530</f>
        <v>1.5547051185676055E-2</v>
      </c>
      <c r="F1531" s="25">
        <f>('Raw Price Data'!F1531-'Raw Price Data'!F1530)/'Raw Price Data'!F1530</f>
        <v>-7.3077156272946162E-4</v>
      </c>
    </row>
    <row r="1532" spans="1:6" ht="15" customHeight="1" x14ac:dyDescent="0.3">
      <c r="A1532" s="19">
        <v>45608</v>
      </c>
      <c r="B1532" s="26">
        <f>('Raw Price Data'!B1532-'Raw Price Data'!B1531)/'Raw Price Data'!B1531</f>
        <v>1.5706806282722467E-2</v>
      </c>
      <c r="C1532" s="26">
        <f>('Raw Price Data'!C1532-'Raw Price Data'!C1531)/'Raw Price Data'!C1531</f>
        <v>-9.8390365256932396E-3</v>
      </c>
      <c r="D1532" s="26">
        <f>('Raw Price Data'!D1532-'Raw Price Data'!D1531)/'Raw Price Data'!D1531</f>
        <v>-4.6552870760365314E-3</v>
      </c>
      <c r="E1532" s="26">
        <f>('Raw Price Data'!E1532-'Raw Price Data'!E1531)/'Raw Price Data'!E1531</f>
        <v>-1.9851283604185518E-2</v>
      </c>
      <c r="F1532" s="26">
        <f>('Raw Price Data'!F1532-'Raw Price Data'!F1531)/'Raw Price Data'!F1531</f>
        <v>-4.0298515764034164E-3</v>
      </c>
    </row>
    <row r="1533" spans="1:6" ht="15" customHeight="1" x14ac:dyDescent="0.3">
      <c r="A1533" s="21">
        <v>45609</v>
      </c>
      <c r="B1533" s="25">
        <f>('Raw Price Data'!B1533-'Raw Price Data'!B1532)/'Raw Price Data'!B1532</f>
        <v>-6.5766086029149925E-3</v>
      </c>
      <c r="C1533" s="25">
        <f>('Raw Price Data'!C1533-'Raw Price Data'!C1532)/'Raw Price Data'!C1532</f>
        <v>7.8402923137848718E-3</v>
      </c>
      <c r="D1533" s="25">
        <f>('Raw Price Data'!D1533-'Raw Price Data'!D1532)/'Raw Price Data'!D1532</f>
        <v>2.3608017817371992E-2</v>
      </c>
      <c r="E1533" s="25">
        <f>('Raw Price Data'!E1533-'Raw Price Data'!E1532)/'Raw Price Data'!E1532</f>
        <v>3.5357522913733574E-3</v>
      </c>
      <c r="F1533" s="25">
        <f>('Raw Price Data'!F1533-'Raw Price Data'!F1532)/'Raw Price Data'!F1532</f>
        <v>2.6725958406995327E-2</v>
      </c>
    </row>
    <row r="1534" spans="1:6" ht="15" customHeight="1" x14ac:dyDescent="0.3">
      <c r="A1534" s="19">
        <v>45610</v>
      </c>
      <c r="B1534" s="26">
        <f>('Raw Price Data'!B1534-'Raw Price Data'!B1533)/'Raw Price Data'!B1533</f>
        <v>3.0506351762390378E-2</v>
      </c>
      <c r="C1534" s="26">
        <f>('Raw Price Data'!C1534-'Raw Price Data'!C1533)/'Raw Price Data'!C1533</f>
        <v>-7.4292978488055337E-4</v>
      </c>
      <c r="D1534" s="26">
        <f>('Raw Price Data'!D1534-'Raw Price Data'!D1533)/'Raw Price Data'!D1533</f>
        <v>1.7914128227444148E-2</v>
      </c>
      <c r="E1534" s="26">
        <f>('Raw Price Data'!E1534-'Raw Price Data'!E1533)/'Raw Price Data'!E1533</f>
        <v>-1.5256208524320927E-2</v>
      </c>
      <c r="F1534" s="26">
        <f>('Raw Price Data'!F1534-'Raw Price Data'!F1533)/'Raw Price Data'!F1533</f>
        <v>7.1811859192057593E-4</v>
      </c>
    </row>
    <row r="1535" spans="1:6" ht="15" customHeight="1" x14ac:dyDescent="0.3">
      <c r="A1535" s="21">
        <v>45611</v>
      </c>
      <c r="B1535" s="25">
        <f>('Raw Price Data'!B1535-'Raw Price Data'!B1534)/'Raw Price Data'!B1534</f>
        <v>-6.7714211303064606E-3</v>
      </c>
      <c r="C1535" s="25">
        <f>('Raw Price Data'!C1535-'Raw Price Data'!C1534)/'Raw Price Data'!C1534</f>
        <v>-8.66404520371419E-3</v>
      </c>
      <c r="D1535" s="25">
        <f>('Raw Price Data'!D1535-'Raw Price Data'!D1534)/'Raw Price Data'!D1534</f>
        <v>4.4175276095475922E-3</v>
      </c>
      <c r="E1535" s="25">
        <f>('Raw Price Data'!E1535-'Raw Price Data'!E1534)/'Raw Price Data'!E1534</f>
        <v>1.7368347922745588E-2</v>
      </c>
      <c r="F1535" s="25">
        <f>('Raw Price Data'!F1535-'Raw Price Data'!F1534)/'Raw Price Data'!F1534</f>
        <v>1.0205711838724577E-2</v>
      </c>
    </row>
    <row r="1536" spans="1:6" ht="15" customHeight="1" x14ac:dyDescent="0.3">
      <c r="A1536" s="19">
        <v>45614</v>
      </c>
      <c r="B1536" s="26">
        <f>('Raw Price Data'!B1536-'Raw Price Data'!B1535)/'Raw Price Data'!B1535</f>
        <v>6.992395769600411E-4</v>
      </c>
      <c r="C1536" s="26">
        <f>('Raw Price Data'!C1536-'Raw Price Data'!C1535)/'Raw Price Data'!C1535</f>
        <v>-1.756619823471368E-3</v>
      </c>
      <c r="D1536" s="26">
        <f>('Raw Price Data'!D1536-'Raw Price Data'!D1535)/'Raw Price Data'!D1535</f>
        <v>-1.2981485422430394E-2</v>
      </c>
      <c r="E1536" s="26">
        <f>('Raw Price Data'!E1536-'Raw Price Data'!E1535)/'Raw Price Data'!E1535</f>
        <v>-1.8949740508057946E-2</v>
      </c>
      <c r="F1536" s="26">
        <f>('Raw Price Data'!F1536-'Raw Price Data'!F1535)/'Raw Price Data'!F1535</f>
        <v>1.3672472697362799E-2</v>
      </c>
    </row>
    <row r="1537" spans="1:6" ht="15" customHeight="1" x14ac:dyDescent="0.3">
      <c r="A1537" s="21">
        <v>45615</v>
      </c>
      <c r="B1537" s="25">
        <f>('Raw Price Data'!B1537-'Raw Price Data'!B1536)/'Raw Price Data'!B1536</f>
        <v>9.4331382653506709E-3</v>
      </c>
      <c r="C1537" s="25">
        <f>('Raw Price Data'!C1537-'Raw Price Data'!C1536)/'Raw Price Data'!C1536</f>
        <v>-2.2829495026395627E-2</v>
      </c>
      <c r="D1537" s="25">
        <f>('Raw Price Data'!D1537-'Raw Price Data'!D1536)/'Raw Price Data'!D1536</f>
        <v>-1.6098893201092288E-2</v>
      </c>
      <c r="E1537" s="25">
        <f>('Raw Price Data'!E1537-'Raw Price Data'!E1536)/'Raw Price Data'!E1536</f>
        <v>-1.1554658406710031E-2</v>
      </c>
      <c r="F1537" s="25">
        <f>('Raw Price Data'!F1537-'Raw Price Data'!F1536)/'Raw Price Data'!F1536</f>
        <v>-4.4643876742561902E-3</v>
      </c>
    </row>
    <row r="1538" spans="1:6" ht="15" customHeight="1" x14ac:dyDescent="0.3">
      <c r="A1538" s="19">
        <v>45616</v>
      </c>
      <c r="B1538" s="26">
        <f>('Raw Price Data'!B1538-'Raw Price Data'!B1537)/'Raw Price Data'!B1537</f>
        <v>-1.1767759799255859E-2</v>
      </c>
      <c r="C1538" s="26">
        <f>('Raw Price Data'!C1538-'Raw Price Data'!C1537)/'Raw Price Data'!C1537</f>
        <v>8.8093383086616309E-3</v>
      </c>
      <c r="D1538" s="26">
        <f>('Raw Price Data'!D1538-'Raw Price Data'!D1537)/'Raw Price Data'!D1537</f>
        <v>-2.2132943754565385E-2</v>
      </c>
      <c r="E1538" s="26">
        <f>('Raw Price Data'!E1538-'Raw Price Data'!E1537)/'Raw Price Data'!E1537</f>
        <v>-1.1196788845463213E-2</v>
      </c>
      <c r="F1538" s="26">
        <f>('Raw Price Data'!F1538-'Raw Price Data'!F1537)/'Raw Price Data'!F1537</f>
        <v>1.0560661644427162E-2</v>
      </c>
    </row>
    <row r="1539" spans="1:6" ht="15" customHeight="1" x14ac:dyDescent="0.3">
      <c r="A1539" s="21">
        <v>45617</v>
      </c>
      <c r="B1539" s="25">
        <f>('Raw Price Data'!B1539-'Raw Price Data'!B1538)/'Raw Price Data'!B1538</f>
        <v>1.2345679012345774E-2</v>
      </c>
      <c r="C1539" s="25">
        <f>('Raw Price Data'!C1539-'Raw Price Data'!C1538)/'Raw Price Data'!C1538</f>
        <v>1.5313899370643123E-2</v>
      </c>
      <c r="D1539" s="25">
        <f>('Raw Price Data'!D1539-'Raw Price Data'!D1538)/'Raw Price Data'!D1538</f>
        <v>-1.5238664375886994E-2</v>
      </c>
      <c r="E1539" s="25">
        <f>('Raw Price Data'!E1539-'Raw Price Data'!E1538)/'Raw Price Data'!E1538</f>
        <v>9.5431399779226118E-3</v>
      </c>
      <c r="F1539" s="25">
        <f>('Raw Price Data'!F1539-'Raw Price Data'!F1538)/'Raw Price Data'!F1538</f>
        <v>-3.2062165589455105E-3</v>
      </c>
    </row>
    <row r="1540" spans="1:6" ht="15" customHeight="1" x14ac:dyDescent="0.3">
      <c r="A1540" s="19">
        <v>45618</v>
      </c>
      <c r="B1540" s="26">
        <f>('Raw Price Data'!B1540-'Raw Price Data'!B1539)/'Raw Price Data'!B1539</f>
        <v>-8.5625324338350541E-3</v>
      </c>
      <c r="C1540" s="26">
        <f>('Raw Price Data'!C1540-'Raw Price Data'!C1539)/'Raw Price Data'!C1539</f>
        <v>-2.2519291526407622E-3</v>
      </c>
      <c r="D1540" s="26">
        <f>('Raw Price Data'!D1540-'Raw Price Data'!D1539)/'Raw Price Data'!D1539</f>
        <v>-2.8066449214898316E-3</v>
      </c>
      <c r="E1540" s="26">
        <f>('Raw Price Data'!E1540-'Raw Price Data'!E1539)/'Raw Price Data'!E1539</f>
        <v>-1.9364396317590241E-2</v>
      </c>
      <c r="F1540" s="26">
        <f>('Raw Price Data'!F1540-'Raw Price Data'!F1539)/'Raw Price Data'!F1539</f>
        <v>-1.9218663216455652E-2</v>
      </c>
    </row>
    <row r="1541" spans="1:6" ht="15" customHeight="1" x14ac:dyDescent="0.3">
      <c r="A1541" s="21">
        <v>45621</v>
      </c>
      <c r="B1541" s="25">
        <f>('Raw Price Data'!B1541-'Raw Price Data'!B1540)/'Raw Price Data'!B1540</f>
        <v>1.814533717177003E-2</v>
      </c>
      <c r="C1541" s="25">
        <f>('Raw Price Data'!C1541-'Raw Price Data'!C1540)/'Raw Price Data'!C1540</f>
        <v>-3.3504086027257955E-3</v>
      </c>
      <c r="D1541" s="25">
        <f>('Raw Price Data'!D1541-'Raw Price Data'!D1540)/'Raw Price Data'!D1540</f>
        <v>-1.8408641411836419E-2</v>
      </c>
      <c r="E1541" s="25">
        <f>('Raw Price Data'!E1541-'Raw Price Data'!E1540)/'Raw Price Data'!E1540</f>
        <v>6.4743543629957137E-4</v>
      </c>
      <c r="F1541" s="25">
        <f>('Raw Price Data'!F1541-'Raw Price Data'!F1540)/'Raw Price Data'!F1540</f>
        <v>-3.8371893556874447E-3</v>
      </c>
    </row>
    <row r="1542" spans="1:6" ht="15" customHeight="1" x14ac:dyDescent="0.3">
      <c r="A1542" s="19">
        <v>45622</v>
      </c>
      <c r="B1542" s="26">
        <f>('Raw Price Data'!B1542-'Raw Price Data'!B1541)/'Raw Price Data'!B1541</f>
        <v>1.1310084825636257E-2</v>
      </c>
      <c r="C1542" s="26">
        <f>('Raw Price Data'!C1542-'Raw Price Data'!C1541)/'Raw Price Data'!C1541</f>
        <v>1.0272892580837918E-2</v>
      </c>
      <c r="D1542" s="26">
        <f>('Raw Price Data'!D1542-'Raw Price Data'!D1541)/'Raw Price Data'!D1541</f>
        <v>1.1779293242405536E-2</v>
      </c>
      <c r="E1542" s="26">
        <f>('Raw Price Data'!E1542-'Raw Price Data'!E1541)/'Raw Price Data'!E1541</f>
        <v>-4.0186915887850491E-2</v>
      </c>
      <c r="F1542" s="26">
        <f>('Raw Price Data'!F1542-'Raw Price Data'!F1541)/'Raw Price Data'!F1541</f>
        <v>9.2897075490412163E-4</v>
      </c>
    </row>
    <row r="1543" spans="1:6" ht="15" customHeight="1" x14ac:dyDescent="0.3">
      <c r="A1543" s="21">
        <v>45623</v>
      </c>
      <c r="B1543" s="25">
        <f>('Raw Price Data'!B1543-'Raw Price Data'!B1542)/'Raw Price Data'!B1542</f>
        <v>7.2015589256968085E-3</v>
      </c>
      <c r="C1543" s="25">
        <f>('Raw Price Data'!C1543-'Raw Price Data'!C1542)/'Raw Price Data'!C1542</f>
        <v>-8.8965489758509389E-3</v>
      </c>
      <c r="D1543" s="25">
        <f>('Raw Price Data'!D1543-'Raw Price Data'!D1542)/'Raw Price Data'!D1542</f>
        <v>-4.0211397058823525E-2</v>
      </c>
      <c r="E1543" s="25">
        <f>('Raw Price Data'!E1543-'Raw Price Data'!E1542)/'Raw Price Data'!E1542</f>
        <v>1.655306718597864E-2</v>
      </c>
      <c r="F1543" s="25">
        <f>('Raw Price Data'!F1543-'Raw Price Data'!F1542)/'Raw Price Data'!F1542</f>
        <v>-2.4998905261583507E-2</v>
      </c>
    </row>
    <row r="1544" spans="1:6" ht="15" customHeight="1" x14ac:dyDescent="0.3">
      <c r="A1544" s="19">
        <v>45624</v>
      </c>
      <c r="B1544" s="26">
        <f>('Raw Price Data'!B1544-'Raw Price Data'!B1543)/'Raw Price Data'!B1543</f>
        <v>-9.7577388963660545E-3</v>
      </c>
      <c r="C1544" s="26">
        <f>('Raw Price Data'!C1544-'Raw Price Data'!C1543)/'Raw Price Data'!C1543</f>
        <v>-4.8416982466015362E-3</v>
      </c>
      <c r="D1544" s="26">
        <f>('Raw Price Data'!D1544-'Raw Price Data'!D1543)/'Raw Price Data'!D1543</f>
        <v>-1.2209719894661249E-2</v>
      </c>
      <c r="E1544" s="26">
        <f>('Raw Price Data'!E1544-'Raw Price Data'!E1543)/'Raw Price Data'!E1543</f>
        <v>-5.0287356321838998E-2</v>
      </c>
      <c r="F1544" s="26">
        <f>('Raw Price Data'!F1544-'Raw Price Data'!F1543)/'Raw Price Data'!F1543</f>
        <v>-1.3138276040720442E-2</v>
      </c>
    </row>
    <row r="1545" spans="1:6" ht="15" customHeight="1" x14ac:dyDescent="0.3">
      <c r="A1545" s="21">
        <v>45625</v>
      </c>
      <c r="B1545" s="25">
        <f>('Raw Price Data'!B1545-'Raw Price Data'!B1544)/'Raw Price Data'!B1544</f>
        <v>-2.548419979612616E-3</v>
      </c>
      <c r="C1545" s="25">
        <f>('Raw Price Data'!C1545-'Raw Price Data'!C1544)/'Raw Price Data'!C1544</f>
        <v>-6.0941940175888055E-4</v>
      </c>
      <c r="D1545" s="25">
        <f>('Raw Price Data'!D1545-'Raw Price Data'!D1544)/'Raw Price Data'!D1544</f>
        <v>-1.0340927451930854E-2</v>
      </c>
      <c r="E1545" s="25">
        <f>('Raw Price Data'!E1545-'Raw Price Data'!E1544)/'Raw Price Data'!E1544</f>
        <v>3.8403351565225656E-3</v>
      </c>
      <c r="F1545" s="25">
        <f>('Raw Price Data'!F1545-'Raw Price Data'!F1544)/'Raw Price Data'!F1544</f>
        <v>-5.2157781037541918E-4</v>
      </c>
    </row>
    <row r="1546" spans="1:6" ht="15" customHeight="1" x14ac:dyDescent="0.3">
      <c r="A1546" s="19">
        <v>45628</v>
      </c>
      <c r="B1546" s="26">
        <f>('Raw Price Data'!B1546-'Raw Price Data'!B1545)/'Raw Price Data'!B1545</f>
        <v>4.4285470958950433E-3</v>
      </c>
      <c r="C1546" s="26">
        <f>('Raw Price Data'!C1546-'Raw Price Data'!C1545)/'Raw Price Data'!C1545</f>
        <v>2.6557914986372326E-2</v>
      </c>
      <c r="D1546" s="26">
        <f>('Raw Price Data'!D1546-'Raw Price Data'!D1545)/'Raw Price Data'!D1545</f>
        <v>9.9591836734693791E-3</v>
      </c>
      <c r="E1546" s="26">
        <f>('Raw Price Data'!E1546-'Raw Price Data'!E1545)/'Raw Price Data'!E1545</f>
        <v>5.1781435968777803E-3</v>
      </c>
      <c r="F1546" s="26">
        <f>('Raw Price Data'!F1546-'Raw Price Data'!F1545)/'Raw Price Data'!F1545</f>
        <v>5.2157713301068994E-3</v>
      </c>
    </row>
    <row r="1547" spans="1:6" ht="15" customHeight="1" x14ac:dyDescent="0.3">
      <c r="A1547" s="21">
        <v>45629</v>
      </c>
      <c r="B1547" s="25">
        <f>('Raw Price Data'!B1547-'Raw Price Data'!B1546)/'Raw Price Data'!B1546</f>
        <v>-2.7810751229438709E-2</v>
      </c>
      <c r="C1547" s="25">
        <f>('Raw Price Data'!C1547-'Raw Price Data'!C1546)/'Raw Price Data'!C1546</f>
        <v>-2.7239371722247911E-4</v>
      </c>
      <c r="D1547" s="25">
        <f>('Raw Price Data'!D1547-'Raw Price Data'!D1546)/'Raw Price Data'!D1546</f>
        <v>8.6485612673780094E-3</v>
      </c>
      <c r="E1547" s="25">
        <f>('Raw Price Data'!E1547-'Raw Price Data'!E1546)/'Raw Price Data'!E1546</f>
        <v>-8.9574042749499625E-3</v>
      </c>
      <c r="F1547" s="25">
        <f>('Raw Price Data'!F1547-'Raw Price Data'!F1546)/'Raw Price Data'!F1546</f>
        <v>7.5377421518752902E-3</v>
      </c>
    </row>
    <row r="1548" spans="1:6" ht="15" customHeight="1" x14ac:dyDescent="0.3">
      <c r="A1548" s="19">
        <v>45630</v>
      </c>
      <c r="B1548" s="26">
        <f>('Raw Price Data'!B1548-'Raw Price Data'!B1547)/'Raw Price Data'!B1547</f>
        <v>-7.3260073260073564E-3</v>
      </c>
      <c r="C1548" s="26">
        <f>('Raw Price Data'!C1548-'Raw Price Data'!C1547)/'Raw Price Data'!C1547</f>
        <v>-1.411580872094419E-3</v>
      </c>
      <c r="D1548" s="26">
        <f>('Raw Price Data'!D1548-'Raw Price Data'!D1547)/'Raw Price Data'!D1547</f>
        <v>-1.8991906402756668E-2</v>
      </c>
      <c r="E1548" s="26">
        <f>('Raw Price Data'!E1548-'Raw Price Data'!E1547)/'Raw Price Data'!E1547</f>
        <v>2.1257612785600531E-2</v>
      </c>
      <c r="F1548" s="26">
        <f>('Raw Price Data'!F1548-'Raw Price Data'!F1547)/'Raw Price Data'!F1547</f>
        <v>1.2123726671924362E-4</v>
      </c>
    </row>
    <row r="1549" spans="1:6" ht="15" customHeight="1" x14ac:dyDescent="0.3">
      <c r="A1549" s="21">
        <v>45631</v>
      </c>
      <c r="B1549" s="25">
        <f>('Raw Price Data'!B1549-'Raw Price Data'!B1548)/'Raw Price Data'!B1548</f>
        <v>1.3266561237040987E-2</v>
      </c>
      <c r="C1549" s="25">
        <f>('Raw Price Data'!C1549-'Raw Price Data'!C1548)/'Raw Price Data'!C1548</f>
        <v>-2.2978832517512836E-3</v>
      </c>
      <c r="D1549" s="25">
        <f>('Raw Price Data'!D1549-'Raw Price Data'!D1548)/'Raw Price Data'!D1548</f>
        <v>4.0026139519685911E-3</v>
      </c>
      <c r="E1549" s="25">
        <f>('Raw Price Data'!E1549-'Raw Price Data'!E1548)/'Raw Price Data'!E1548</f>
        <v>2.1802712044669006E-2</v>
      </c>
      <c r="F1549" s="25">
        <f>('Raw Price Data'!F1549-'Raw Price Data'!F1548)/'Raw Price Data'!F1548</f>
        <v>-7.1038109682181414E-3</v>
      </c>
    </row>
    <row r="1550" spans="1:6" ht="15" customHeight="1" x14ac:dyDescent="0.3">
      <c r="A1550" s="19">
        <v>45632</v>
      </c>
      <c r="B1550" s="26">
        <f>('Raw Price Data'!B1550-'Raw Price Data'!B1549)/'Raw Price Data'!B1549</f>
        <v>-1.7254833954738532E-2</v>
      </c>
      <c r="C1550" s="26">
        <f>('Raw Price Data'!C1550-'Raw Price Data'!C1549)/'Raw Price Data'!C1549</f>
        <v>-6.1747513954148138E-3</v>
      </c>
      <c r="D1550" s="26">
        <f>('Raw Price Data'!D1550-'Raw Price Data'!D1549)/'Raw Price Data'!D1549</f>
        <v>-1.6027987958668936E-2</v>
      </c>
      <c r="E1550" s="26">
        <f>('Raw Price Data'!E1550-'Raw Price Data'!E1549)/'Raw Price Data'!E1549</f>
        <v>2.0779896658116918E-2</v>
      </c>
      <c r="F1550" s="26">
        <f>('Raw Price Data'!F1550-'Raw Price Data'!F1549)/'Raw Price Data'!F1549</f>
        <v>6.9333482554290518E-3</v>
      </c>
    </row>
    <row r="1551" spans="1:6" ht="15" customHeight="1" x14ac:dyDescent="0.3">
      <c r="A1551" s="21">
        <v>45635</v>
      </c>
      <c r="B1551" s="25">
        <f>('Raw Price Data'!B1551-'Raw Price Data'!B1550)/'Raw Price Data'!B1550</f>
        <v>1.8087171342862158E-2</v>
      </c>
      <c r="C1551" s="25">
        <f>('Raw Price Data'!C1551-'Raw Price Data'!C1550)/'Raw Price Data'!C1550</f>
        <v>-1.6424640275843765E-2</v>
      </c>
      <c r="D1551" s="25">
        <f>('Raw Price Data'!D1551-'Raw Price Data'!D1550)/'Raw Price Data'!D1550</f>
        <v>4.9611377542583806E-3</v>
      </c>
      <c r="E1551" s="25">
        <f>('Raw Price Data'!E1551-'Raw Price Data'!E1550)/'Raw Price Data'!E1550</f>
        <v>2.1886380189366315E-2</v>
      </c>
      <c r="F1551" s="25">
        <f>('Raw Price Data'!F1551-'Raw Price Data'!F1550)/'Raw Price Data'!F1550</f>
        <v>-1.5119944939386317E-2</v>
      </c>
    </row>
    <row r="1552" spans="1:6" ht="15" customHeight="1" x14ac:dyDescent="0.3">
      <c r="A1552" s="19">
        <v>45636</v>
      </c>
      <c r="B1552" s="26">
        <f>('Raw Price Data'!B1552-'Raw Price Data'!B1551)/'Raw Price Data'!B1551</f>
        <v>-8.4062743738625434E-3</v>
      </c>
      <c r="C1552" s="26">
        <f>('Raw Price Data'!C1552-'Raw Price Data'!C1551)/'Raw Price Data'!C1551</f>
        <v>-1.5616889026716891E-2</v>
      </c>
      <c r="D1552" s="26">
        <f>('Raw Price Data'!D1552-'Raw Price Data'!D1551)/'Raw Price Data'!D1551</f>
        <v>-1.8841533651472817E-2</v>
      </c>
      <c r="E1552" s="26">
        <f>('Raw Price Data'!E1552-'Raw Price Data'!E1551)/'Raw Price Data'!E1551</f>
        <v>6.6640533124265157E-3</v>
      </c>
      <c r="F1552" s="26">
        <f>('Raw Price Data'!F1552-'Raw Price Data'!F1551)/'Raw Price Data'!F1551</f>
        <v>8.3867411212437647E-3</v>
      </c>
    </row>
    <row r="1553" spans="1:6" ht="15" customHeight="1" x14ac:dyDescent="0.3">
      <c r="A1553" s="21">
        <v>45637</v>
      </c>
      <c r="B1553" s="25">
        <f>('Raw Price Data'!B1553-'Raw Price Data'!B1552)/'Raw Price Data'!B1552</f>
        <v>4.8068519489599471E-3</v>
      </c>
      <c r="C1553" s="25">
        <f>('Raw Price Data'!C1553-'Raw Price Data'!C1552)/'Raw Price Data'!C1552</f>
        <v>1.577219012919771E-2</v>
      </c>
      <c r="D1553" s="25">
        <f>('Raw Price Data'!D1553-'Raw Price Data'!D1552)/'Raw Price Data'!D1552</f>
        <v>2.4318658280922958E-3</v>
      </c>
      <c r="E1553" s="25">
        <f>('Raw Price Data'!E1553-'Raw Price Data'!E1552)/'Raw Price Data'!E1552</f>
        <v>-6.6907391673748338E-3</v>
      </c>
      <c r="F1553" s="25">
        <f>('Raw Price Data'!F1553-'Raw Price Data'!F1552)/'Raw Price Data'!F1552</f>
        <v>-1.6910029034597547E-2</v>
      </c>
    </row>
    <row r="1554" spans="1:6" ht="15" customHeight="1" x14ac:dyDescent="0.3">
      <c r="A1554" s="19">
        <v>45638</v>
      </c>
      <c r="B1554" s="26">
        <f>('Raw Price Data'!B1554-'Raw Price Data'!B1553)/'Raw Price Data'!B1553</f>
        <v>-1.5569278942332714E-2</v>
      </c>
      <c r="C1554" s="26">
        <f>('Raw Price Data'!C1554-'Raw Price Data'!C1553)/'Raw Price Data'!C1553</f>
        <v>-9.4424536220792839E-3</v>
      </c>
      <c r="D1554" s="26">
        <f>('Raw Price Data'!D1554-'Raw Price Data'!D1553)/'Raw Price Data'!D1553</f>
        <v>2.3506775974569082E-2</v>
      </c>
      <c r="E1554" s="26">
        <f>('Raw Price Data'!E1554-'Raw Price Data'!E1553)/'Raw Price Data'!E1553</f>
        <v>5.4527958943655502E-3</v>
      </c>
      <c r="F1554" s="26">
        <f>('Raw Price Data'!F1554-'Raw Price Data'!F1553)/'Raw Price Data'!F1553</f>
        <v>1.0724041394886025E-2</v>
      </c>
    </row>
    <row r="1555" spans="1:6" ht="15" customHeight="1" x14ac:dyDescent="0.3">
      <c r="A1555" s="21">
        <v>45639</v>
      </c>
      <c r="B1555" s="25">
        <f>('Raw Price Data'!B1555-'Raw Price Data'!B1554)/'Raw Price Data'!B1554</f>
        <v>6.9800318077398128E-3</v>
      </c>
      <c r="C1555" s="25">
        <f>('Raw Price Data'!C1555-'Raw Price Data'!C1554)/'Raw Price Data'!C1554</f>
        <v>2.2223129751767112E-3</v>
      </c>
      <c r="D1555" s="25">
        <f>('Raw Price Data'!D1555-'Raw Price Data'!D1554)/'Raw Price Data'!D1554</f>
        <v>3.2529628116060513E-2</v>
      </c>
      <c r="E1555" s="25">
        <f>('Raw Price Data'!E1555-'Raw Price Data'!E1554)/'Raw Price Data'!E1554</f>
        <v>2.1302991634765317E-2</v>
      </c>
      <c r="F1555" s="25">
        <f>('Raw Price Data'!F1555-'Raw Price Data'!F1554)/'Raw Price Data'!F1554</f>
        <v>-9.8631443288413508E-3</v>
      </c>
    </row>
    <row r="1556" spans="1:6" ht="15" customHeight="1" x14ac:dyDescent="0.3">
      <c r="A1556" s="19">
        <v>45642</v>
      </c>
      <c r="B1556" s="26">
        <f>('Raw Price Data'!B1556-'Raw Price Data'!B1555)/'Raw Price Data'!B1555</f>
        <v>6.756163902781399E-3</v>
      </c>
      <c r="C1556" s="26">
        <f>('Raw Price Data'!C1556-'Raw Price Data'!C1555)/'Raw Price Data'!C1555</f>
        <v>-7.803294497964291E-3</v>
      </c>
      <c r="D1556" s="26">
        <f>('Raw Price Data'!D1556-'Raw Price Data'!D1555)/'Raw Price Data'!D1555</f>
        <v>1.7573023034908677E-2</v>
      </c>
      <c r="E1556" s="26">
        <f>('Raw Price Data'!E1556-'Raw Price Data'!E1555)/'Raw Price Data'!E1555</f>
        <v>-5.2059834102654104E-4</v>
      </c>
      <c r="F1556" s="26">
        <f>('Raw Price Data'!F1556-'Raw Price Data'!F1555)/'Raw Price Data'!F1555</f>
        <v>1.8025545582727915E-2</v>
      </c>
    </row>
    <row r="1557" spans="1:6" ht="15" customHeight="1" x14ac:dyDescent="0.3">
      <c r="A1557" s="21">
        <v>45643</v>
      </c>
      <c r="B1557" s="25">
        <f>('Raw Price Data'!B1557-'Raw Price Data'!B1556)/'Raw Price Data'!B1556</f>
        <v>1.6036255882865641E-2</v>
      </c>
      <c r="C1557" s="25">
        <f>('Raw Price Data'!C1557-'Raw Price Data'!C1556)/'Raw Price Data'!C1556</f>
        <v>-2.2827377794813641E-2</v>
      </c>
      <c r="D1557" s="25">
        <f>('Raw Price Data'!D1557-'Raw Price Data'!D1556)/'Raw Price Data'!D1556</f>
        <v>-1.5869311551925367E-2</v>
      </c>
      <c r="E1557" s="25">
        <f>('Raw Price Data'!E1557-'Raw Price Data'!E1556)/'Raw Price Data'!E1556</f>
        <v>-4.4898951316063633E-2</v>
      </c>
      <c r="F1557" s="25">
        <f>('Raw Price Data'!F1557-'Raw Price Data'!F1556)/'Raw Price Data'!F1556</f>
        <v>-4.4776384723410161E-3</v>
      </c>
    </row>
    <row r="1558" spans="1:6" ht="15" customHeight="1" x14ac:dyDescent="0.3">
      <c r="A1558" s="19">
        <v>45644</v>
      </c>
      <c r="B1558" s="26">
        <f>('Raw Price Data'!B1558-'Raw Price Data'!B1557)/'Raw Price Data'!B1557</f>
        <v>1.9128495453765691E-2</v>
      </c>
      <c r="C1558" s="26">
        <f>('Raw Price Data'!C1558-'Raw Price Data'!C1557)/'Raw Price Data'!C1557</f>
        <v>-7.60359060390933E-3</v>
      </c>
      <c r="D1558" s="26">
        <f>('Raw Price Data'!D1558-'Raw Price Data'!D1557)/'Raw Price Data'!D1557</f>
        <v>-7.7464232076516005E-3</v>
      </c>
      <c r="E1558" s="26">
        <f>('Raw Price Data'!E1558-'Raw Price Data'!E1557)/'Raw Price Data'!E1557</f>
        <v>-3.1267042355935366E-2</v>
      </c>
      <c r="F1558" s="26">
        <f>('Raw Price Data'!F1558-'Raw Price Data'!F1557)/'Raw Price Data'!F1557</f>
        <v>-6.6572146666877387E-3</v>
      </c>
    </row>
    <row r="1559" spans="1:6" ht="15" customHeight="1" x14ac:dyDescent="0.3">
      <c r="A1559" s="21">
        <v>45645</v>
      </c>
      <c r="B1559" s="25">
        <f>('Raw Price Data'!B1559-'Raw Price Data'!B1558)/'Raw Price Data'!B1558</f>
        <v>1.7675279858597712E-2</v>
      </c>
      <c r="C1559" s="25">
        <f>('Raw Price Data'!C1559-'Raw Price Data'!C1558)/'Raw Price Data'!C1558</f>
        <v>2.523363166661961E-2</v>
      </c>
      <c r="D1559" s="25">
        <f>('Raw Price Data'!D1559-'Raw Price Data'!D1558)/'Raw Price Data'!D1558</f>
        <v>-1.4339201784433977E-2</v>
      </c>
      <c r="E1559" s="25">
        <f>('Raw Price Data'!E1559-'Raw Price Data'!E1558)/'Raw Price Data'!E1558</f>
        <v>3.4565584537436807E-2</v>
      </c>
      <c r="F1559" s="25">
        <f>('Raw Price Data'!F1559-'Raw Price Data'!F1558)/'Raw Price Data'!F1558</f>
        <v>-1.1238825075657974E-2</v>
      </c>
    </row>
    <row r="1560" spans="1:6" ht="15" customHeight="1" x14ac:dyDescent="0.3">
      <c r="A1560" s="19">
        <v>45646</v>
      </c>
      <c r="B1560" s="26">
        <f>('Raw Price Data'!B1560-'Raw Price Data'!B1559)/'Raw Price Data'!B1559</f>
        <v>3.2255396575965644E-3</v>
      </c>
      <c r="C1560" s="26">
        <f>('Raw Price Data'!C1560-'Raw Price Data'!C1559)/'Raw Price Data'!C1559</f>
        <v>-6.715960647430917E-3</v>
      </c>
      <c r="D1560" s="26">
        <f>('Raw Price Data'!D1560-'Raw Price Data'!D1559)/'Raw Price Data'!D1559</f>
        <v>-9.2136102804493691E-3</v>
      </c>
      <c r="E1560" s="26">
        <f>('Raw Price Data'!E1560-'Raw Price Data'!E1559)/'Raw Price Data'!E1559</f>
        <v>-1.5091054197199538E-2</v>
      </c>
      <c r="F1560" s="26">
        <f>('Raw Price Data'!F1560-'Raw Price Data'!F1559)/'Raw Price Data'!F1559</f>
        <v>6.8597323426562579E-3</v>
      </c>
    </row>
    <row r="1561" spans="1:6" ht="15" customHeight="1" x14ac:dyDescent="0.3">
      <c r="A1561" s="21">
        <v>45649</v>
      </c>
      <c r="B1561" s="25">
        <f>('Raw Price Data'!B1561-'Raw Price Data'!B1560)/'Raw Price Data'!B1560</f>
        <v>-1.6735366859027215E-2</v>
      </c>
      <c r="C1561" s="25">
        <f>('Raw Price Data'!C1561-'Raw Price Data'!C1560)/'Raw Price Data'!C1560</f>
        <v>-1.1335951010393322E-2</v>
      </c>
      <c r="D1561" s="25">
        <f>('Raw Price Data'!D1561-'Raw Price Data'!D1560)/'Raw Price Data'!D1560</f>
        <v>-2.716371645321803E-2</v>
      </c>
      <c r="E1561" s="25">
        <f>('Raw Price Data'!E1561-'Raw Price Data'!E1560)/'Raw Price Data'!E1560</f>
        <v>-1.1049723756906077E-2</v>
      </c>
      <c r="F1561" s="25">
        <f>('Raw Price Data'!F1561-'Raw Price Data'!F1560)/'Raw Price Data'!F1560</f>
        <v>-1.3311465982649878E-2</v>
      </c>
    </row>
    <row r="1562" spans="1:6" ht="15" customHeight="1" x14ac:dyDescent="0.3">
      <c r="A1562" s="19">
        <v>45650</v>
      </c>
      <c r="B1562" s="26">
        <f>('Raw Price Data'!B1562-'Raw Price Data'!B1561)/'Raw Price Data'!B1561</f>
        <v>1.8697073866018311E-2</v>
      </c>
      <c r="C1562" s="26">
        <f>('Raw Price Data'!C1562-'Raw Price Data'!C1561)/'Raw Price Data'!C1561</f>
        <v>-6.9510656197421415E-3</v>
      </c>
      <c r="D1562" s="26">
        <f>('Raw Price Data'!D1562-'Raw Price Data'!D1561)/'Raw Price Data'!D1561</f>
        <v>-9.4750964279725781E-3</v>
      </c>
      <c r="E1562" s="26">
        <f>('Raw Price Data'!E1562-'Raw Price Data'!E1561)/'Raw Price Data'!E1561</f>
        <v>1.8324022346368773E-2</v>
      </c>
      <c r="F1562" s="26">
        <f>('Raw Price Data'!F1562-'Raw Price Data'!F1561)/'Raw Price Data'!F1561</f>
        <v>-2.5876425124898789E-3</v>
      </c>
    </row>
    <row r="1563" spans="1:6" ht="15" customHeight="1" x14ac:dyDescent="0.3">
      <c r="A1563" s="21">
        <v>45651</v>
      </c>
      <c r="B1563" s="25">
        <f>('Raw Price Data'!B1563-'Raw Price Data'!B1562)/'Raw Price Data'!B1562</f>
        <v>-1.777777777777775E-2</v>
      </c>
      <c r="C1563" s="25">
        <f>('Raw Price Data'!C1563-'Raw Price Data'!C1562)/'Raw Price Data'!C1562</f>
        <v>-5.3053862201151956E-3</v>
      </c>
      <c r="D1563" s="25">
        <f>('Raw Price Data'!D1563-'Raw Price Data'!D1562)/'Raw Price Data'!D1562</f>
        <v>1.7946330314060819E-2</v>
      </c>
      <c r="E1563" s="25">
        <f>('Raw Price Data'!E1563-'Raw Price Data'!E1562)/'Raw Price Data'!E1562</f>
        <v>1.7409114183307699E-2</v>
      </c>
      <c r="F1563" s="25">
        <f>('Raw Price Data'!F1563-'Raw Price Data'!F1562)/'Raw Price Data'!F1562</f>
        <v>5.2037391434413948E-3</v>
      </c>
    </row>
    <row r="1564" spans="1:6" ht="15" customHeight="1" x14ac:dyDescent="0.3">
      <c r="A1564" s="19">
        <v>45652</v>
      </c>
      <c r="B1564" s="26">
        <f>('Raw Price Data'!B1564-'Raw Price Data'!B1563)/'Raw Price Data'!B1563</f>
        <v>-5.7817998994469395E-3</v>
      </c>
      <c r="C1564" s="26">
        <f>('Raw Price Data'!C1564-'Raw Price Data'!C1563)/'Raw Price Data'!C1563</f>
        <v>4.6239451514225802E-3</v>
      </c>
      <c r="D1564" s="26">
        <f>('Raw Price Data'!D1564-'Raw Price Data'!D1563)/'Raw Price Data'!D1563</f>
        <v>3.5592515592515604E-2</v>
      </c>
      <c r="E1564" s="26">
        <f>('Raw Price Data'!E1564-'Raw Price Data'!E1563)/'Raw Price Data'!E1563</f>
        <v>1.1036019843266924E-2</v>
      </c>
      <c r="F1564" s="26">
        <f>('Raw Price Data'!F1564-'Raw Price Data'!F1563)/'Raw Price Data'!F1563</f>
        <v>-9.710759748481821E-3</v>
      </c>
    </row>
    <row r="1565" spans="1:6" ht="15" customHeight="1" x14ac:dyDescent="0.3">
      <c r="A1565" s="21">
        <v>45653</v>
      </c>
      <c r="B1565" s="25">
        <f>('Raw Price Data'!B1565-'Raw Price Data'!B1564)/'Raw Price Data'!B1564</f>
        <v>1.0535187526337968E-2</v>
      </c>
      <c r="C1565" s="25">
        <f>('Raw Price Data'!C1565-'Raw Price Data'!C1564)/'Raw Price Data'!C1564</f>
        <v>-6.6655598611076389E-3</v>
      </c>
      <c r="D1565" s="25">
        <f>('Raw Price Data'!D1565-'Raw Price Data'!D1564)/'Raw Price Data'!D1564</f>
        <v>7.3074761101742276E-3</v>
      </c>
      <c r="E1565" s="25">
        <f>('Raw Price Data'!E1565-'Raw Price Data'!E1564)/'Raw Price Data'!E1564</f>
        <v>3.1999999999999191E-3</v>
      </c>
      <c r="F1565" s="25">
        <f>('Raw Price Data'!F1565-'Raw Price Data'!F1564)/'Raw Price Data'!F1564</f>
        <v>-1.0009433488638897E-2</v>
      </c>
    </row>
    <row r="1566" spans="1:6" ht="15" customHeight="1" x14ac:dyDescent="0.3">
      <c r="A1566" s="19">
        <v>45656</v>
      </c>
      <c r="B1566" s="26">
        <f>('Raw Price Data'!B1566-'Raw Price Data'!B1565)/'Raw Price Data'!B1565</f>
        <v>6.505421184320276E-3</v>
      </c>
      <c r="C1566" s="26">
        <f>('Raw Price Data'!C1566-'Raw Price Data'!C1565)/'Raw Price Data'!C1565</f>
        <v>-1.1272714341595508E-3</v>
      </c>
      <c r="D1566" s="26">
        <f>('Raw Price Data'!D1566-'Raw Price Data'!D1565)/'Raw Price Data'!D1565</f>
        <v>3.5873724489796145E-3</v>
      </c>
      <c r="E1566" s="26">
        <f>('Raw Price Data'!E1566-'Raw Price Data'!E1565)/'Raw Price Data'!E1565</f>
        <v>-3.9624313308523659E-2</v>
      </c>
      <c r="F1566" s="26">
        <f>('Raw Price Data'!F1566-'Raw Price Data'!F1565)/'Raw Price Data'!F1565</f>
        <v>-5.4240425696025132E-3</v>
      </c>
    </row>
    <row r="1567" spans="1:6" ht="15" customHeight="1" x14ac:dyDescent="0.3">
      <c r="A1567" s="21">
        <v>45657</v>
      </c>
      <c r="B1567" s="25">
        <f>('Raw Price Data'!B1567-'Raw Price Data'!B1566)/'Raw Price Data'!B1566</f>
        <v>2.2373218428902789E-2</v>
      </c>
      <c r="C1567" s="25">
        <f>('Raw Price Data'!C1567-'Raw Price Data'!C1566)/'Raw Price Data'!C1566</f>
        <v>-8.0635686898568627E-3</v>
      </c>
      <c r="D1567" s="25">
        <f>('Raw Price Data'!D1567-'Raw Price Data'!D1566)/'Raw Price Data'!D1566</f>
        <v>1.0961950909524152E-2</v>
      </c>
      <c r="E1567" s="25">
        <f>('Raw Price Data'!E1567-'Raw Price Data'!E1566)/'Raw Price Data'!E1566</f>
        <v>4.2403218068420678E-2</v>
      </c>
      <c r="F1567" s="25">
        <f>('Raw Price Data'!F1567-'Raw Price Data'!F1566)/'Raw Price Data'!F1566</f>
        <v>-1.5034635588680298E-2</v>
      </c>
    </row>
    <row r="1568" spans="1:6" ht="15" customHeight="1" x14ac:dyDescent="0.3">
      <c r="A1568" s="19">
        <v>45658</v>
      </c>
      <c r="B1568" s="26">
        <f>('Raw Price Data'!B1568-'Raw Price Data'!B1567)/'Raw Price Data'!B1567</f>
        <v>2.431512400713336E-4</v>
      </c>
      <c r="C1568" s="26">
        <f>('Raw Price Data'!C1568-'Raw Price Data'!C1567)/'Raw Price Data'!C1567</f>
        <v>6.9016753520823523E-3</v>
      </c>
      <c r="D1568" s="26">
        <f>('Raw Price Data'!D1568-'Raw Price Data'!D1567)/'Raw Price Data'!D1567</f>
        <v>-2.451481103166489E-2</v>
      </c>
      <c r="E1568" s="26">
        <f>('Raw Price Data'!E1568-'Raw Price Data'!E1567)/'Raw Price Data'!E1567</f>
        <v>-6.6912129151029754E-3</v>
      </c>
      <c r="F1568" s="26">
        <f>('Raw Price Data'!F1568-'Raw Price Data'!F1567)/'Raw Price Data'!F1567</f>
        <v>-7.8388584965492676E-3</v>
      </c>
    </row>
    <row r="1569" spans="1:6" ht="15" customHeight="1" x14ac:dyDescent="0.3">
      <c r="A1569" s="21">
        <v>45659</v>
      </c>
      <c r="B1569" s="25">
        <f>('Raw Price Data'!B1569-'Raw Price Data'!B1568)/'Raw Price Data'!B1568</f>
        <v>-2.309375253220966E-2</v>
      </c>
      <c r="C1569" s="25">
        <f>('Raw Price Data'!C1569-'Raw Price Data'!C1568)/'Raw Price Data'!C1568</f>
        <v>6.0844552327383285E-3</v>
      </c>
      <c r="D1569" s="25">
        <f>('Raw Price Data'!D1569-'Raw Price Data'!D1568)/'Raw Price Data'!D1568</f>
        <v>-1.2887635924285207E-2</v>
      </c>
      <c r="E1569" s="25">
        <f>('Raw Price Data'!E1569-'Raw Price Data'!E1568)/'Raw Price Data'!E1568</f>
        <v>2.1064262037994174E-2</v>
      </c>
      <c r="F1569" s="25">
        <f>('Raw Price Data'!F1569-'Raw Price Data'!F1568)/'Raw Price Data'!F1568</f>
        <v>1.665609773717404E-4</v>
      </c>
    </row>
    <row r="1570" spans="1:6" ht="15" customHeight="1" x14ac:dyDescent="0.3">
      <c r="A1570" s="19">
        <v>45660</v>
      </c>
      <c r="B1570" s="26">
        <f>('Raw Price Data'!B1570-'Raw Price Data'!B1569)/'Raw Price Data'!B1569</f>
        <v>-3.4837425348374393E-3</v>
      </c>
      <c r="C1570" s="26">
        <f>('Raw Price Data'!C1570-'Raw Price Data'!C1569)/'Raw Price Data'!C1569</f>
        <v>4.3293724181423573E-3</v>
      </c>
      <c r="D1570" s="26">
        <f>('Raw Price Data'!D1570-'Raw Price Data'!D1569)/'Raw Price Data'!D1569</f>
        <v>1.3055895552835647E-2</v>
      </c>
      <c r="E1570" s="26">
        <f>('Raw Price Data'!E1570-'Raw Price Data'!E1569)/'Raw Price Data'!E1569</f>
        <v>3.176487014800224E-3</v>
      </c>
      <c r="F1570" s="26">
        <f>('Raw Price Data'!F1570-'Raw Price Data'!F1569)/'Raw Price Data'!F1569</f>
        <v>-1.7312708018347504E-2</v>
      </c>
    </row>
    <row r="1571" spans="1:6" ht="15" customHeight="1" x14ac:dyDescent="0.3">
      <c r="A1571" s="21">
        <v>45663</v>
      </c>
      <c r="B1571" s="25">
        <f>('Raw Price Data'!B1571-'Raw Price Data'!B1570)/'Raw Price Data'!B1570</f>
        <v>2.7467954053603987E-3</v>
      </c>
      <c r="C1571" s="25">
        <f>('Raw Price Data'!C1571-'Raw Price Data'!C1570)/'Raw Price Data'!C1570</f>
        <v>1.1764498377310535E-2</v>
      </c>
      <c r="D1571" s="25">
        <f>('Raw Price Data'!D1571-'Raw Price Data'!D1570)/'Raw Price Data'!D1570</f>
        <v>-3.2219089810713304E-3</v>
      </c>
      <c r="E1571" s="25">
        <f>('Raw Price Data'!E1571-'Raw Price Data'!E1570)/'Raw Price Data'!E1570</f>
        <v>-9.6384703712724239E-3</v>
      </c>
      <c r="F1571" s="25">
        <f>('Raw Price Data'!F1571-'Raw Price Data'!F1570)/'Raw Price Data'!F1570</f>
        <v>4.369394636521842E-4</v>
      </c>
    </row>
    <row r="1572" spans="1:6" ht="15" customHeight="1" x14ac:dyDescent="0.3">
      <c r="A1572" s="19">
        <v>45664</v>
      </c>
      <c r="B1572" s="26">
        <f>('Raw Price Data'!B1572-'Raw Price Data'!B1571)/'Raw Price Data'!B1571</f>
        <v>-4.5654519797459717E-3</v>
      </c>
      <c r="C1572" s="26">
        <f>('Raw Price Data'!C1572-'Raw Price Data'!C1571)/'Raw Price Data'!C1571</f>
        <v>-1.1575405749351198E-3</v>
      </c>
      <c r="D1572" s="26">
        <f>('Raw Price Data'!D1572-'Raw Price Data'!D1571)/'Raw Price Data'!D1571</f>
        <v>-5.4141414141414277E-3</v>
      </c>
      <c r="E1572" s="26">
        <f>('Raw Price Data'!E1572-'Raw Price Data'!E1571)/'Raw Price Data'!E1571</f>
        <v>-4.5674935001054438E-3</v>
      </c>
      <c r="F1572" s="26">
        <f>('Raw Price Data'!F1572-'Raw Price Data'!F1571)/'Raw Price Data'!F1571</f>
        <v>1.2124691177528958E-3</v>
      </c>
    </row>
    <row r="1573" spans="1:6" ht="15" customHeight="1" x14ac:dyDescent="0.3">
      <c r="A1573" s="21">
        <v>45665</v>
      </c>
      <c r="B1573" s="25">
        <f>('Raw Price Data'!B1573-'Raw Price Data'!B1572)/'Raw Price Data'!B1572</f>
        <v>1.9929953302201472E-2</v>
      </c>
      <c r="C1573" s="25">
        <f>('Raw Price Data'!C1573-'Raw Price Data'!C1572)/'Raw Price Data'!C1572</f>
        <v>2.1990833662032302E-2</v>
      </c>
      <c r="D1573" s="25">
        <f>('Raw Price Data'!D1573-'Raw Price Data'!D1572)/'Raw Price Data'!D1572</f>
        <v>1.381215469613262E-2</v>
      </c>
      <c r="E1573" s="25">
        <f>('Raw Price Data'!E1573-'Raw Price Data'!E1572)/'Raw Price Data'!E1572</f>
        <v>-2.7177749541154234E-3</v>
      </c>
      <c r="F1573" s="25">
        <f>('Raw Price Data'!F1573-'Raw Price Data'!F1572)/'Raw Price Data'!F1572</f>
        <v>2.464993552138803E-3</v>
      </c>
    </row>
    <row r="1574" spans="1:6" ht="15" customHeight="1" x14ac:dyDescent="0.3">
      <c r="A1574" s="19">
        <v>45666</v>
      </c>
      <c r="B1574" s="26">
        <f>('Raw Price Data'!B1574-'Raw Price Data'!B1573)/'Raw Price Data'!B1573</f>
        <v>-3.1068596190008623E-3</v>
      </c>
      <c r="C1574" s="26">
        <f>('Raw Price Data'!C1574-'Raw Price Data'!C1573)/'Raw Price Data'!C1573</f>
        <v>8.818818032467788E-3</v>
      </c>
      <c r="D1574" s="26">
        <f>('Raw Price Data'!D1574-'Raw Price Data'!D1573)/'Raw Price Data'!D1573</f>
        <v>-2.9652187850617108E-2</v>
      </c>
      <c r="E1574" s="26">
        <f>('Raw Price Data'!E1574-'Raw Price Data'!E1573)/'Raw Price Data'!E1573</f>
        <v>3.1675809591222751E-2</v>
      </c>
      <c r="F1574" s="26">
        <f>('Raw Price Data'!F1574-'Raw Price Data'!F1573)/'Raw Price Data'!F1573</f>
        <v>2.7635722359881971E-4</v>
      </c>
    </row>
    <row r="1575" spans="1:6" ht="15" customHeight="1" x14ac:dyDescent="0.3">
      <c r="A1575" s="21">
        <v>45667</v>
      </c>
      <c r="B1575" s="25">
        <f>('Raw Price Data'!B1575-'Raw Price Data'!B1574)/'Raw Price Data'!B1574</f>
        <v>-1.9601410645452313E-2</v>
      </c>
      <c r="C1575" s="25">
        <f>('Raw Price Data'!C1575-'Raw Price Data'!C1574)/'Raw Price Data'!C1574</f>
        <v>2.6837980126284421E-2</v>
      </c>
      <c r="D1575" s="25">
        <f>('Raw Price Data'!D1575-'Raw Price Data'!D1574)/'Raw Price Data'!D1574</f>
        <v>1.8830525272547086E-2</v>
      </c>
      <c r="E1575" s="25">
        <f>('Raw Price Data'!E1575-'Raw Price Data'!E1574)/'Raw Price Data'!E1574</f>
        <v>-2.3979416809605521E-2</v>
      </c>
      <c r="F1575" s="25">
        <f>('Raw Price Data'!F1575-'Raw Price Data'!F1574)/'Raw Price Data'!F1574</f>
        <v>-2.6256662157467178E-2</v>
      </c>
    </row>
    <row r="1576" spans="1:6" ht="15" customHeight="1" x14ac:dyDescent="0.3">
      <c r="A1576" s="19">
        <v>45670</v>
      </c>
      <c r="B1576" s="26">
        <f>('Raw Price Data'!B1576-'Raw Price Data'!B1575)/'Raw Price Data'!B1575</f>
        <v>6.7759745691817639E-3</v>
      </c>
      <c r="C1576" s="26">
        <f>('Raw Price Data'!C1576-'Raw Price Data'!C1575)/'Raw Price Data'!C1575</f>
        <v>-8.1109953444206777E-4</v>
      </c>
      <c r="D1576" s="26">
        <f>('Raw Price Data'!D1576-'Raw Price Data'!D1575)/'Raw Price Data'!D1575</f>
        <v>-1.240272373540857E-2</v>
      </c>
      <c r="E1576" s="26">
        <f>('Raw Price Data'!E1576-'Raw Price Data'!E1575)/'Raw Price Data'!E1575</f>
        <v>7.9786299251343781E-3</v>
      </c>
      <c r="F1576" s="26">
        <f>('Raw Price Data'!F1576-'Raw Price Data'!F1575)/'Raw Price Data'!F1575</f>
        <v>-9.8668059952010494E-3</v>
      </c>
    </row>
    <row r="1577" spans="1:6" ht="15" customHeight="1" x14ac:dyDescent="0.3">
      <c r="A1577" s="21">
        <v>45671</v>
      </c>
      <c r="B1577" s="25">
        <f>('Raw Price Data'!B1577-'Raw Price Data'!B1576)/'Raw Price Data'!B1576</f>
        <v>-1.5621105110095517E-2</v>
      </c>
      <c r="C1577" s="25">
        <f>('Raw Price Data'!C1577-'Raw Price Data'!C1576)/'Raw Price Data'!C1576</f>
        <v>5.3952205275766413E-3</v>
      </c>
      <c r="D1577" s="25">
        <f>('Raw Price Data'!D1577-'Raw Price Data'!D1576)/'Raw Price Data'!D1576</f>
        <v>9.2752195682508035E-3</v>
      </c>
      <c r="E1577" s="25">
        <f>('Raw Price Data'!E1577-'Raw Price Data'!E1576)/'Raw Price Data'!E1576</f>
        <v>3.462584559592722E-2</v>
      </c>
      <c r="F1577" s="25">
        <f>('Raw Price Data'!F1577-'Raw Price Data'!F1576)/'Raw Price Data'!F1576</f>
        <v>3.8508042411366612E-3</v>
      </c>
    </row>
    <row r="1578" spans="1:6" ht="15" customHeight="1" x14ac:dyDescent="0.3">
      <c r="A1578" s="19">
        <v>45672</v>
      </c>
      <c r="B1578" s="26">
        <f>('Raw Price Data'!B1578-'Raw Price Data'!B1577)/'Raw Price Data'!B1577</f>
        <v>2.3887904110745321E-2</v>
      </c>
      <c r="C1578" s="26">
        <f>('Raw Price Data'!C1578-'Raw Price Data'!C1577)/'Raw Price Data'!C1577</f>
        <v>-1.1438192732726987E-2</v>
      </c>
      <c r="D1578" s="26">
        <f>('Raw Price Data'!D1578-'Raw Price Data'!D1577)/'Raw Price Data'!D1577</f>
        <v>4.0663630448935727E-4</v>
      </c>
      <c r="E1578" s="26">
        <f>('Raw Price Data'!E1578-'Raw Price Data'!E1577)/'Raw Price Data'!E1577</f>
        <v>-9.1672002965857927E-3</v>
      </c>
      <c r="F1578" s="26">
        <f>('Raw Price Data'!F1578-'Raw Price Data'!F1577)/'Raw Price Data'!F1577</f>
        <v>-1.5376589929469481E-3</v>
      </c>
    </row>
    <row r="1579" spans="1:6" ht="15" customHeight="1" x14ac:dyDescent="0.3">
      <c r="A1579" s="21">
        <v>45673</v>
      </c>
      <c r="B1579" s="25">
        <f>('Raw Price Data'!B1579-'Raw Price Data'!B1578)/'Raw Price Data'!B1578</f>
        <v>4.1220115416323163E-3</v>
      </c>
      <c r="C1579" s="25">
        <f>('Raw Price Data'!C1579-'Raw Price Data'!C1578)/'Raw Price Data'!C1578</f>
        <v>8.7318556687343432E-4</v>
      </c>
      <c r="D1579" s="25">
        <f>('Raw Price Data'!D1579-'Raw Price Data'!D1578)/'Raw Price Data'!D1578</f>
        <v>1.186895374359803E-2</v>
      </c>
      <c r="E1579" s="25">
        <f>('Raw Price Data'!E1579-'Raw Price Data'!E1578)/'Raw Price Data'!E1578</f>
        <v>1.156501921833991E-3</v>
      </c>
      <c r="F1579" s="25">
        <f>('Raw Price Data'!F1579-'Raw Price Data'!F1578)/'Raw Price Data'!F1578</f>
        <v>-1.2523691804122586E-2</v>
      </c>
    </row>
    <row r="1580" spans="1:6" ht="15" customHeight="1" x14ac:dyDescent="0.3">
      <c r="A1580" s="19">
        <v>45674</v>
      </c>
      <c r="B1580" s="26">
        <f>('Raw Price Data'!B1580-'Raw Price Data'!B1579)/'Raw Price Data'!B1579</f>
        <v>-1.9129720853858771E-2</v>
      </c>
      <c r="C1580" s="26">
        <f>('Raw Price Data'!C1580-'Raw Price Data'!C1579)/'Raw Price Data'!C1579</f>
        <v>1.5023601882843093E-2</v>
      </c>
      <c r="D1580" s="26">
        <f>('Raw Price Data'!D1580-'Raw Price Data'!D1579)/'Raw Price Data'!D1579</f>
        <v>1.59877882220615E-2</v>
      </c>
      <c r="E1580" s="26">
        <f>('Raw Price Data'!E1580-'Raw Price Data'!E1579)/'Raw Price Data'!E1579</f>
        <v>-2.1710325145245089E-2</v>
      </c>
      <c r="F1580" s="26">
        <f>('Raw Price Data'!F1580-'Raw Price Data'!F1579)/'Raw Price Data'!F1579</f>
        <v>1.8239649115807905E-2</v>
      </c>
    </row>
    <row r="1581" spans="1:6" ht="15" customHeight="1" x14ac:dyDescent="0.3">
      <c r="A1581" s="21">
        <v>45677</v>
      </c>
      <c r="B1581" s="25">
        <f>('Raw Price Data'!B1581-'Raw Price Data'!B1580)/'Raw Price Data'!B1580</f>
        <v>1.5233949945593099E-2</v>
      </c>
      <c r="C1581" s="25">
        <f>('Raw Price Data'!C1581-'Raw Price Data'!C1580)/'Raw Price Data'!C1580</f>
        <v>-5.8531707125770646E-3</v>
      </c>
      <c r="D1581" s="25">
        <f>('Raw Price Data'!D1581-'Raw Price Data'!D1580)/'Raw Price Data'!D1580</f>
        <v>-1.5498972006958673E-2</v>
      </c>
      <c r="E1581" s="25">
        <f>('Raw Price Data'!E1581-'Raw Price Data'!E1580)/'Raw Price Data'!E1580</f>
        <v>3.1569076891018878E-2</v>
      </c>
      <c r="F1581" s="25">
        <f>('Raw Price Data'!F1581-'Raw Price Data'!F1580)/'Raw Price Data'!F1580</f>
        <v>1.4395879359978644E-2</v>
      </c>
    </row>
    <row r="1582" spans="1:6" ht="15" customHeight="1" x14ac:dyDescent="0.3">
      <c r="A1582" s="19">
        <v>45678</v>
      </c>
      <c r="B1582" s="26">
        <f>('Raw Price Data'!B1582-'Raw Price Data'!B1581)/'Raw Price Data'!B1581</f>
        <v>3.3143705169428606E-2</v>
      </c>
      <c r="C1582" s="26">
        <f>('Raw Price Data'!C1582-'Raw Price Data'!C1581)/'Raw Price Data'!C1581</f>
        <v>2.6916767752476228E-2</v>
      </c>
      <c r="D1582" s="26">
        <f>('Raw Price Data'!D1582-'Raw Price Data'!D1581)/'Raw Price Data'!D1581</f>
        <v>1.3574297188755002E-2</v>
      </c>
      <c r="E1582" s="26">
        <f>('Raw Price Data'!E1582-'Raw Price Data'!E1581)/'Raw Price Data'!E1581</f>
        <v>-2.0940645726020841E-2</v>
      </c>
      <c r="F1582" s="26">
        <f>('Raw Price Data'!F1582-'Raw Price Data'!F1581)/'Raw Price Data'!F1581</f>
        <v>-1.5213606786518801E-2</v>
      </c>
    </row>
    <row r="1583" spans="1:6" ht="15" customHeight="1" x14ac:dyDescent="0.3">
      <c r="A1583" s="21">
        <v>45679</v>
      </c>
      <c r="B1583" s="25">
        <f>('Raw Price Data'!B1583-'Raw Price Data'!B1582)/'Raw Price Data'!B1582</f>
        <v>-2.7451919240284076E-2</v>
      </c>
      <c r="C1583" s="25">
        <f>('Raw Price Data'!C1583-'Raw Price Data'!C1582)/'Raw Price Data'!C1582</f>
        <v>1.0467852169598355E-3</v>
      </c>
      <c r="D1583" s="25">
        <f>('Raw Price Data'!D1583-'Raw Price Data'!D1582)/'Raw Price Data'!D1582</f>
        <v>8.4000316982328418E-3</v>
      </c>
      <c r="E1583" s="25">
        <f>('Raw Price Data'!E1583-'Raw Price Data'!E1582)/'Raw Price Data'!E1582</f>
        <v>1.2688697087445404E-2</v>
      </c>
      <c r="F1583" s="25">
        <f>('Raw Price Data'!F1583-'Raw Price Data'!F1582)/'Raw Price Data'!F1582</f>
        <v>-1.3963212437502778E-3</v>
      </c>
    </row>
    <row r="1584" spans="1:6" ht="15" customHeight="1" x14ac:dyDescent="0.3">
      <c r="A1584" s="19">
        <v>45680</v>
      </c>
      <c r="B1584" s="26">
        <f>('Raw Price Data'!B1584-'Raw Price Data'!B1583)/'Raw Price Data'!B1583</f>
        <v>1.2800525149749751E-2</v>
      </c>
      <c r="C1584" s="26">
        <f>('Raw Price Data'!C1584-'Raw Price Data'!C1583)/'Raw Price Data'!C1583</f>
        <v>2.8518253217017668E-2</v>
      </c>
      <c r="D1584" s="26">
        <f>('Raw Price Data'!D1584-'Raw Price Data'!D1583)/'Raw Price Data'!D1583</f>
        <v>2.2789783889980399E-2</v>
      </c>
      <c r="E1584" s="26">
        <f>('Raw Price Data'!E1584-'Raw Price Data'!E1583)/'Raw Price Data'!E1583</f>
        <v>-3.6706281833616308E-2</v>
      </c>
      <c r="F1584" s="26">
        <f>('Raw Price Data'!F1584-'Raw Price Data'!F1583)/'Raw Price Data'!F1583</f>
        <v>6.4357958062847137E-3</v>
      </c>
    </row>
    <row r="1585" spans="1:6" ht="15" customHeight="1" x14ac:dyDescent="0.3">
      <c r="A1585" s="21">
        <v>45681</v>
      </c>
      <c r="B1585" s="25">
        <f>('Raw Price Data'!B1585-'Raw Price Data'!B1584)/'Raw Price Data'!B1584</f>
        <v>7.0485295309081286E-3</v>
      </c>
      <c r="C1585" s="25">
        <f>('Raw Price Data'!C1585-'Raw Price Data'!C1584)/'Raw Price Data'!C1584</f>
        <v>-1.7902558840904262E-2</v>
      </c>
      <c r="D1585" s="25">
        <f>('Raw Price Data'!D1585-'Raw Price Data'!D1584)/'Raw Price Data'!D1584</f>
        <v>-7.913945447560515E-3</v>
      </c>
      <c r="E1585" s="25">
        <f>('Raw Price Data'!E1585-'Raw Price Data'!E1584)/'Raw Price Data'!E1584</f>
        <v>-1.5827135253269446E-2</v>
      </c>
      <c r="F1585" s="25">
        <f>('Raw Price Data'!F1585-'Raw Price Data'!F1584)/'Raw Price Data'!F1584</f>
        <v>1.8670169991447005E-2</v>
      </c>
    </row>
    <row r="1586" spans="1:6" ht="15" customHeight="1" x14ac:dyDescent="0.3">
      <c r="A1586" s="19">
        <v>45684</v>
      </c>
      <c r="B1586" s="26">
        <f>('Raw Price Data'!B1586-'Raw Price Data'!B1585)/'Raw Price Data'!B1585</f>
        <v>2.7353177795655945E-3</v>
      </c>
      <c r="C1586" s="26">
        <f>('Raw Price Data'!C1586-'Raw Price Data'!C1585)/'Raw Price Data'!C1585</f>
        <v>-4.2897122885218473E-3</v>
      </c>
      <c r="D1586" s="26">
        <f>('Raw Price Data'!D1586-'Raw Price Data'!D1585)/'Raw Price Data'!D1585</f>
        <v>1.9129491945477067E-2</v>
      </c>
      <c r="E1586" s="26">
        <f>('Raw Price Data'!E1586-'Raw Price Data'!E1585)/'Raw Price Data'!E1585</f>
        <v>4.6919770773639052E-3</v>
      </c>
      <c r="F1586" s="26">
        <f>('Raw Price Data'!F1586-'Raw Price Data'!F1585)/'Raw Price Data'!F1585</f>
        <v>-2.3776019084489817E-2</v>
      </c>
    </row>
    <row r="1587" spans="1:6" ht="15" customHeight="1" x14ac:dyDescent="0.3">
      <c r="A1587" s="21">
        <v>45685</v>
      </c>
      <c r="B1587" s="25">
        <f>('Raw Price Data'!B1587-'Raw Price Data'!B1586)/'Raw Price Data'!B1586</f>
        <v>5.1347881899871679E-3</v>
      </c>
      <c r="C1587" s="25">
        <f>('Raw Price Data'!C1587-'Raw Price Data'!C1586)/'Raw Price Data'!C1586</f>
        <v>-8.1585415096798748E-3</v>
      </c>
      <c r="D1587" s="25">
        <f>('Raw Price Data'!D1587-'Raw Price Data'!D1586)/'Raw Price Data'!D1586</f>
        <v>1.1855004179648927E-2</v>
      </c>
      <c r="E1587" s="25">
        <f>('Raw Price Data'!E1587-'Raw Price Data'!E1586)/'Raw Price Data'!E1586</f>
        <v>-2.056967666036855E-2</v>
      </c>
      <c r="F1587" s="25">
        <f>('Raw Price Data'!F1587-'Raw Price Data'!F1586)/'Raw Price Data'!F1586</f>
        <v>7.5751990809028351E-3</v>
      </c>
    </row>
    <row r="1588" spans="1:6" ht="15" customHeight="1" x14ac:dyDescent="0.3">
      <c r="A1588" s="19">
        <v>45686</v>
      </c>
      <c r="B1588" s="26">
        <f>('Raw Price Data'!B1588-'Raw Price Data'!B1587)/'Raw Price Data'!B1587</f>
        <v>7.1040868454661605E-3</v>
      </c>
      <c r="C1588" s="26">
        <f>('Raw Price Data'!C1588-'Raw Price Data'!C1587)/'Raw Price Data'!C1587</f>
        <v>1.8422765113751773E-2</v>
      </c>
      <c r="D1588" s="26">
        <f>('Raw Price Data'!D1588-'Raw Price Data'!D1587)/'Raw Price Data'!D1587</f>
        <v>-6.5339842283139654E-3</v>
      </c>
      <c r="E1588" s="26">
        <f>('Raw Price Data'!E1588-'Raw Price Data'!E1587)/'Raw Price Data'!E1587</f>
        <v>-4.3313678386838386E-3</v>
      </c>
      <c r="F1588" s="26">
        <f>('Raw Price Data'!F1588-'Raw Price Data'!F1587)/'Raw Price Data'!F1587</f>
        <v>-4.0378010933466123E-3</v>
      </c>
    </row>
    <row r="1589" spans="1:6" ht="15" customHeight="1" x14ac:dyDescent="0.3">
      <c r="A1589" s="21">
        <v>45687</v>
      </c>
      <c r="B1589" s="25">
        <f>('Raw Price Data'!B1589-'Raw Price Data'!B1588)/'Raw Price Data'!B1588</f>
        <v>-9.273202821589931E-3</v>
      </c>
      <c r="C1589" s="25">
        <f>('Raw Price Data'!C1589-'Raw Price Data'!C1588)/'Raw Price Data'!C1588</f>
        <v>1.1920125402111405E-2</v>
      </c>
      <c r="D1589" s="25">
        <f>('Raw Price Data'!D1589-'Raw Price Data'!D1588)/'Raw Price Data'!D1588</f>
        <v>1.6102207438766218E-2</v>
      </c>
      <c r="E1589" s="25">
        <f>('Raw Price Data'!E1589-'Raw Price Data'!E1588)/'Raw Price Data'!E1588</f>
        <v>-2.4858343995613274E-2</v>
      </c>
      <c r="F1589" s="25">
        <f>('Raw Price Data'!F1589-'Raw Price Data'!F1588)/'Raw Price Data'!F1588</f>
        <v>2.1630977610086789E-3</v>
      </c>
    </row>
    <row r="1590" spans="1:6" ht="15" customHeight="1" x14ac:dyDescent="0.3">
      <c r="A1590" s="19">
        <v>45688</v>
      </c>
      <c r="B1590" s="26">
        <f>('Raw Price Data'!B1590-'Raw Price Data'!B1589)/'Raw Price Data'!B1589</f>
        <v>1.9840000000000031E-2</v>
      </c>
      <c r="C1590" s="26">
        <f>('Raw Price Data'!C1590-'Raw Price Data'!C1589)/'Raw Price Data'!C1589</f>
        <v>-7.5275673826152791E-4</v>
      </c>
      <c r="D1590" s="26">
        <f>('Raw Price Data'!D1590-'Raw Price Data'!D1589)/'Raw Price Data'!D1589</f>
        <v>-5.4311435161073568E-3</v>
      </c>
      <c r="E1590" s="26">
        <f>('Raw Price Data'!E1590-'Raw Price Data'!E1589)/'Raw Price Data'!E1589</f>
        <v>2.1368322399249978E-3</v>
      </c>
      <c r="F1590" s="26">
        <f>('Raw Price Data'!F1590-'Raw Price Data'!F1589)/'Raw Price Data'!F1589</f>
        <v>-3.0371433501732428E-3</v>
      </c>
    </row>
    <row r="1591" spans="1:6" ht="15" customHeight="1" x14ac:dyDescent="0.3">
      <c r="A1591" s="21">
        <v>45691</v>
      </c>
      <c r="B1591" s="25">
        <f>('Raw Price Data'!B1591-'Raw Price Data'!B1590)/'Raw Price Data'!B1590</f>
        <v>-1.8355820520866043E-2</v>
      </c>
      <c r="C1591" s="25">
        <f>('Raw Price Data'!C1591-'Raw Price Data'!C1590)/'Raw Price Data'!C1590</f>
        <v>-7.4460766460279658E-3</v>
      </c>
      <c r="D1591" s="25">
        <f>('Raw Price Data'!D1591-'Raw Price Data'!D1590)/'Raw Price Data'!D1590</f>
        <v>1.4736684619988023E-2</v>
      </c>
      <c r="E1591" s="25">
        <f>('Raw Price Data'!E1591-'Raw Price Data'!E1590)/'Raw Price Data'!E1590</f>
        <v>-2.1846476133472899E-2</v>
      </c>
      <c r="F1591" s="25">
        <f>('Raw Price Data'!F1591-'Raw Price Data'!F1590)/'Raw Price Data'!F1590</f>
        <v>1.9152165697782098E-2</v>
      </c>
    </row>
    <row r="1592" spans="1:6" ht="15" customHeight="1" x14ac:dyDescent="0.3">
      <c r="A1592" s="19">
        <v>45692</v>
      </c>
      <c r="B1592" s="26">
        <f>('Raw Price Data'!B1592-'Raw Price Data'!B1591)/'Raw Price Data'!B1591</f>
        <v>2.7489212082467733E-2</v>
      </c>
      <c r="C1592" s="26">
        <f>('Raw Price Data'!C1592-'Raw Price Data'!C1591)/'Raw Price Data'!C1591</f>
        <v>1.223141843682073E-4</v>
      </c>
      <c r="D1592" s="26">
        <f>('Raw Price Data'!D1592-'Raw Price Data'!D1591)/'Raw Price Data'!D1591</f>
        <v>-1.1795060818282092E-3</v>
      </c>
      <c r="E1592" s="26">
        <f>('Raw Price Data'!E1592-'Raw Price Data'!E1591)/'Raw Price Data'!E1591</f>
        <v>-1.9580847483555163E-2</v>
      </c>
      <c r="F1592" s="26">
        <f>('Raw Price Data'!F1592-'Raw Price Data'!F1591)/'Raw Price Data'!F1591</f>
        <v>2.2447871691505916E-2</v>
      </c>
    </row>
    <row r="1593" spans="1:6" ht="15" customHeight="1" x14ac:dyDescent="0.3">
      <c r="A1593" s="21">
        <v>45693</v>
      </c>
      <c r="B1593" s="25">
        <f>('Raw Price Data'!B1593-'Raw Price Data'!B1592)/'Raw Price Data'!B1592</f>
        <v>2.1465235650956531E-2</v>
      </c>
      <c r="C1593" s="25">
        <f>('Raw Price Data'!C1593-'Raw Price Data'!C1592)/'Raw Price Data'!C1592</f>
        <v>1.3377653736398085E-2</v>
      </c>
      <c r="D1593" s="25">
        <f>('Raw Price Data'!D1593-'Raw Price Data'!D1592)/'Raw Price Data'!D1592</f>
        <v>2.1403793637906269E-3</v>
      </c>
      <c r="E1593" s="25">
        <f>('Raw Price Data'!E1593-'Raw Price Data'!E1592)/'Raw Price Data'!E1592</f>
        <v>5.500078015290873E-3</v>
      </c>
      <c r="F1593" s="25">
        <f>('Raw Price Data'!F1593-'Raw Price Data'!F1592)/'Raw Price Data'!F1592</f>
        <v>-2.7918761363875865E-3</v>
      </c>
    </row>
    <row r="1594" spans="1:6" ht="15" customHeight="1" x14ac:dyDescent="0.3">
      <c r="A1594" s="19">
        <v>45694</v>
      </c>
      <c r="B1594" s="26">
        <f>('Raw Price Data'!B1594-'Raw Price Data'!B1593)/'Raw Price Data'!B1593</f>
        <v>-1.6141312623724719E-2</v>
      </c>
      <c r="C1594" s="26">
        <f>('Raw Price Data'!C1594-'Raw Price Data'!C1593)/'Raw Price Data'!C1593</f>
        <v>1.5336246271150759E-2</v>
      </c>
      <c r="D1594" s="26">
        <f>('Raw Price Data'!D1594-'Raw Price Data'!D1593)/'Raw Price Data'!D1593</f>
        <v>1.4729709824715617E-3</v>
      </c>
      <c r="E1594" s="26">
        <f>('Raw Price Data'!E1594-'Raw Price Data'!E1593)/'Raw Price Data'!E1593</f>
        <v>-3.5496760678123823E-2</v>
      </c>
      <c r="F1594" s="26">
        <f>('Raw Price Data'!F1594-'Raw Price Data'!F1593)/'Raw Price Data'!F1593</f>
        <v>-1.0223851069229555E-2</v>
      </c>
    </row>
    <row r="1595" spans="1:6" ht="15" customHeight="1" x14ac:dyDescent="0.3">
      <c r="A1595" s="21">
        <v>45695</v>
      </c>
      <c r="B1595" s="25">
        <f>('Raw Price Data'!B1595-'Raw Price Data'!B1594)/'Raw Price Data'!B1594</f>
        <v>2.3216220399319872E-4</v>
      </c>
      <c r="C1595" s="25">
        <f>('Raw Price Data'!C1595-'Raw Price Data'!C1594)/'Raw Price Data'!C1594</f>
        <v>-4.5716096942507436E-4</v>
      </c>
      <c r="D1595" s="25">
        <f>('Raw Price Data'!D1595-'Raw Price Data'!D1594)/'Raw Price Data'!D1594</f>
        <v>1.6325930283865267E-2</v>
      </c>
      <c r="E1595" s="25">
        <f>('Raw Price Data'!E1595-'Raw Price Data'!E1594)/'Raw Price Data'!E1594</f>
        <v>1.2388383879012083E-2</v>
      </c>
      <c r="F1595" s="25">
        <f>('Raw Price Data'!F1595-'Raw Price Data'!F1594)/'Raw Price Data'!F1594</f>
        <v>2.9305837374031481E-2</v>
      </c>
    </row>
    <row r="1596" spans="1:6" ht="15" customHeight="1" x14ac:dyDescent="0.3">
      <c r="A1596" s="19">
        <v>45698</v>
      </c>
      <c r="B1596" s="26">
        <f>('Raw Price Data'!B1596-'Raw Price Data'!B1595)/'Raw Price Data'!B1595</f>
        <v>2.003868471953581E-2</v>
      </c>
      <c r="C1596" s="26">
        <f>('Raw Price Data'!C1596-'Raw Price Data'!C1595)/'Raw Price Data'!C1595</f>
        <v>-7.2904787749799842E-3</v>
      </c>
      <c r="D1596" s="26">
        <f>('Raw Price Data'!D1596-'Raw Price Data'!D1595)/'Raw Price Data'!D1595</f>
        <v>-9.4066570188129856E-4</v>
      </c>
      <c r="E1596" s="26">
        <f>('Raw Price Data'!E1596-'Raw Price Data'!E1595)/'Raw Price Data'!E1595</f>
        <v>-1.493841875248308E-2</v>
      </c>
      <c r="F1596" s="26">
        <f>('Raw Price Data'!F1596-'Raw Price Data'!F1595)/'Raw Price Data'!F1595</f>
        <v>5.1935642732742569E-3</v>
      </c>
    </row>
    <row r="1597" spans="1:6" ht="15" customHeight="1" x14ac:dyDescent="0.3">
      <c r="A1597" s="21">
        <v>45699</v>
      </c>
      <c r="B1597" s="25">
        <f>('Raw Price Data'!B1597-'Raw Price Data'!B1596)/'Raw Price Data'!B1596</f>
        <v>-6.5230582524272874E-3</v>
      </c>
      <c r="C1597" s="25">
        <f>('Raw Price Data'!C1597-'Raw Price Data'!C1596)/'Raw Price Data'!C1596</f>
        <v>2.3957907798913851E-3</v>
      </c>
      <c r="D1597" s="25">
        <f>('Raw Price Data'!D1597-'Raw Price Data'!D1596)/'Raw Price Data'!D1596</f>
        <v>9.5603679293111699E-3</v>
      </c>
      <c r="E1597" s="25">
        <f>('Raw Price Data'!E1597-'Raw Price Data'!E1596)/'Raw Price Data'!E1596</f>
        <v>3.0652577236428145E-2</v>
      </c>
      <c r="F1597" s="25">
        <f>('Raw Price Data'!F1597-'Raw Price Data'!F1596)/'Raw Price Data'!F1596</f>
        <v>-1.1846450010837672E-2</v>
      </c>
    </row>
    <row r="1598" spans="1:6" ht="15" customHeight="1" x14ac:dyDescent="0.3">
      <c r="A1598" s="19">
        <v>45700</v>
      </c>
      <c r="B1598" s="26">
        <f>('Raw Price Data'!B1598-'Raw Price Data'!B1597)/'Raw Price Data'!B1597</f>
        <v>-1.9086883493663156E-3</v>
      </c>
      <c r="C1598" s="26">
        <f>('Raw Price Data'!C1598-'Raw Price Data'!C1597)/'Raw Price Data'!C1597</f>
        <v>2.8742059929338822E-3</v>
      </c>
      <c r="D1598" s="26">
        <f>('Raw Price Data'!D1598-'Raw Price Data'!D1597)/'Raw Price Data'!D1597</f>
        <v>9.8285386326135635E-3</v>
      </c>
      <c r="E1598" s="26">
        <f>('Raw Price Data'!E1598-'Raw Price Data'!E1597)/'Raw Price Data'!E1597</f>
        <v>-9.4701416607966948E-3</v>
      </c>
      <c r="F1598" s="26">
        <f>('Raw Price Data'!F1598-'Raw Price Data'!F1597)/'Raw Price Data'!F1597</f>
        <v>1.3080171520958514E-2</v>
      </c>
    </row>
    <row r="1599" spans="1:6" ht="15" customHeight="1" x14ac:dyDescent="0.3">
      <c r="A1599" s="21">
        <v>45701</v>
      </c>
      <c r="B1599" s="25">
        <f>('Raw Price Data'!B1599-'Raw Price Data'!B1598)/'Raw Price Data'!B1598</f>
        <v>-5.2780540044366081E-3</v>
      </c>
      <c r="C1599" s="25">
        <f>('Raw Price Data'!C1599-'Raw Price Data'!C1598)/'Raw Price Data'!C1598</f>
        <v>5.0505822071625385E-3</v>
      </c>
      <c r="D1599" s="25">
        <f>('Raw Price Data'!D1599-'Raw Price Data'!D1598)/'Raw Price Data'!D1598</f>
        <v>-1.3142938334754151E-2</v>
      </c>
      <c r="E1599" s="25">
        <f>('Raw Price Data'!E1599-'Raw Price Data'!E1598)/'Raw Price Data'!E1598</f>
        <v>-1.6197850821744603E-2</v>
      </c>
      <c r="F1599" s="25">
        <f>('Raw Price Data'!F1599-'Raw Price Data'!F1598)/'Raw Price Data'!F1598</f>
        <v>-1.956526236713713E-3</v>
      </c>
    </row>
    <row r="1600" spans="1:6" ht="15" customHeight="1" x14ac:dyDescent="0.3">
      <c r="A1600" s="19">
        <v>45702</v>
      </c>
      <c r="B1600" s="26">
        <f>('Raw Price Data'!B1600-'Raw Price Data'!B1599)/'Raw Price Data'!B1599</f>
        <v>1.6533374346355014E-2</v>
      </c>
      <c r="C1600" s="26">
        <f>('Raw Price Data'!C1600-'Raw Price Data'!C1599)/'Raw Price Data'!C1599</f>
        <v>-7.4025208091395775E-3</v>
      </c>
      <c r="D1600" s="26">
        <f>('Raw Price Data'!D1600-'Raw Price Data'!D1599)/'Raw Price Data'!D1599</f>
        <v>1.497372399395301E-2</v>
      </c>
      <c r="E1600" s="26">
        <f>('Raw Price Data'!E1600-'Raw Price Data'!E1599)/'Raw Price Data'!E1599</f>
        <v>2.5299172757208073E-3</v>
      </c>
      <c r="F1600" s="26">
        <f>('Raw Price Data'!F1600-'Raw Price Data'!F1599)/'Raw Price Data'!F1599</f>
        <v>-3.4314371971222676E-3</v>
      </c>
    </row>
    <row r="1601" spans="1:6" ht="15" customHeight="1" x14ac:dyDescent="0.3">
      <c r="A1601" s="21">
        <v>45705</v>
      </c>
      <c r="B1601" s="25">
        <f>('Raw Price Data'!B1601-'Raw Price Data'!B1600)/'Raw Price Data'!B1600</f>
        <v>-8.1700582494892513E-3</v>
      </c>
      <c r="C1601" s="25">
        <f>('Raw Price Data'!C1601-'Raw Price Data'!C1600)/'Raw Price Data'!C1600</f>
        <v>3.1291825290116176E-2</v>
      </c>
      <c r="D1601" s="25">
        <f>('Raw Price Data'!D1601-'Raw Price Data'!D1600)/'Raw Price Data'!D1600</f>
        <v>2.354776934534359E-2</v>
      </c>
      <c r="E1601" s="25">
        <f>('Raw Price Data'!E1601-'Raw Price Data'!E1600)/'Raw Price Data'!E1600</f>
        <v>1.9307029841778463E-2</v>
      </c>
      <c r="F1601" s="25">
        <f>('Raw Price Data'!F1601-'Raw Price Data'!F1600)/'Raw Price Data'!F1600</f>
        <v>1.2328070487513771E-2</v>
      </c>
    </row>
    <row r="1602" spans="1:6" ht="15" customHeight="1" x14ac:dyDescent="0.3">
      <c r="A1602" s="19">
        <v>45706</v>
      </c>
      <c r="B1602" s="26">
        <f>('Raw Price Data'!B1602-'Raw Price Data'!B1601)/'Raw Price Data'!B1601</f>
        <v>2.288154984362193E-4</v>
      </c>
      <c r="C1602" s="26">
        <f>('Raw Price Data'!C1602-'Raw Price Data'!C1601)/'Raw Price Data'!C1601</f>
        <v>-1.0495242394364434E-2</v>
      </c>
      <c r="D1602" s="26">
        <f>('Raw Price Data'!D1602-'Raw Price Data'!D1601)/'Raw Price Data'!D1601</f>
        <v>8.4540225902570779E-3</v>
      </c>
      <c r="E1602" s="26">
        <f>('Raw Price Data'!E1602-'Raw Price Data'!E1601)/'Raw Price Data'!E1601</f>
        <v>-4.5545643887295179E-2</v>
      </c>
      <c r="F1602" s="26">
        <f>('Raw Price Data'!F1602-'Raw Price Data'!F1601)/'Raw Price Data'!F1601</f>
        <v>-1.9194736154080742E-2</v>
      </c>
    </row>
    <row r="1603" spans="1:6" ht="15" customHeight="1" x14ac:dyDescent="0.3">
      <c r="A1603" s="21">
        <v>45707</v>
      </c>
      <c r="B1603" s="25">
        <f>('Raw Price Data'!B1603-'Raw Price Data'!B1602)/'Raw Price Data'!B1602</f>
        <v>7.7779472319659173E-3</v>
      </c>
      <c r="C1603" s="25">
        <f>('Raw Price Data'!C1603-'Raw Price Data'!C1602)/'Raw Price Data'!C1602</f>
        <v>2.727272727272724E-2</v>
      </c>
      <c r="D1603" s="25">
        <f>('Raw Price Data'!D1603-'Raw Price Data'!D1602)/'Raw Price Data'!D1602</f>
        <v>6.8027210884354363E-3</v>
      </c>
      <c r="E1603" s="25">
        <f>('Raw Price Data'!E1603-'Raw Price Data'!E1602)/'Raw Price Data'!E1602</f>
        <v>-1.165184453227925E-2</v>
      </c>
      <c r="F1603" s="25">
        <f>('Raw Price Data'!F1603-'Raw Price Data'!F1602)/'Raw Price Data'!F1602</f>
        <v>1.0974173984137052E-2</v>
      </c>
    </row>
    <row r="1604" spans="1:6" ht="15" customHeight="1" x14ac:dyDescent="0.3">
      <c r="A1604" s="19">
        <v>45708</v>
      </c>
      <c r="B1604" s="26">
        <f>('Raw Price Data'!B1604-'Raw Price Data'!B1603)/'Raw Price Data'!B1603</f>
        <v>-2.572639225181624E-3</v>
      </c>
      <c r="C1604" s="26">
        <f>('Raw Price Data'!C1604-'Raw Price Data'!C1603)/'Raw Price Data'!C1603</f>
        <v>2.5178437347528417E-2</v>
      </c>
      <c r="D1604" s="26">
        <f>('Raw Price Data'!D1604-'Raw Price Data'!D1603)/'Raw Price Data'!D1603</f>
        <v>-1.3035763035763011E-2</v>
      </c>
      <c r="E1604" s="26">
        <f>('Raw Price Data'!E1604-'Raw Price Data'!E1603)/'Raw Price Data'!E1603</f>
        <v>2.4244948968964768E-2</v>
      </c>
      <c r="F1604" s="26">
        <f>('Raw Price Data'!F1604-'Raw Price Data'!F1603)/'Raw Price Data'!F1603</f>
        <v>2.3952027347613398E-3</v>
      </c>
    </row>
    <row r="1605" spans="1:6" ht="15" customHeight="1" x14ac:dyDescent="0.3">
      <c r="A1605" s="21">
        <v>45709</v>
      </c>
      <c r="B1605" s="25">
        <f>('Raw Price Data'!B1605-'Raw Price Data'!B1604)/'Raw Price Data'!B1604</f>
        <v>-1.168259748141399E-2</v>
      </c>
      <c r="C1605" s="25">
        <f>('Raw Price Data'!C1605-'Raw Price Data'!C1604)/'Raw Price Data'!C1604</f>
        <v>1.7301471950298533E-2</v>
      </c>
      <c r="D1605" s="25">
        <f>('Raw Price Data'!D1605-'Raw Price Data'!D1604)/'Raw Price Data'!D1604</f>
        <v>2.0676301777193696E-2</v>
      </c>
      <c r="E1605" s="25">
        <f>('Raw Price Data'!E1605-'Raw Price Data'!E1604)/'Raw Price Data'!E1604</f>
        <v>-1.915646479847077E-2</v>
      </c>
      <c r="F1605" s="25">
        <f>('Raw Price Data'!F1605-'Raw Price Data'!F1604)/'Raw Price Data'!F1604</f>
        <v>4.3503567110725954E-3</v>
      </c>
    </row>
    <row r="1606" spans="1:6" ht="15" customHeight="1" x14ac:dyDescent="0.3">
      <c r="A1606" s="19">
        <v>45712</v>
      </c>
      <c r="B1606" s="26">
        <f>('Raw Price Data'!B1606-'Raw Price Data'!B1605)/'Raw Price Data'!B1605</f>
        <v>-1.8268345102855355E-2</v>
      </c>
      <c r="C1606" s="26">
        <f>('Raw Price Data'!C1606-'Raw Price Data'!C1605)/'Raw Price Data'!C1605</f>
        <v>3.3650263610540035E-2</v>
      </c>
      <c r="D1606" s="26">
        <f>('Raw Price Data'!D1606-'Raw Price Data'!D1605)/'Raw Price Data'!D1605</f>
        <v>-2.3712737127371274E-2</v>
      </c>
      <c r="E1606" s="26">
        <f>('Raw Price Data'!E1606-'Raw Price Data'!E1605)/'Raw Price Data'!E1605</f>
        <v>-2.2599104329076084E-2</v>
      </c>
      <c r="F1606" s="26">
        <f>('Raw Price Data'!F1606-'Raw Price Data'!F1605)/'Raw Price Data'!F1605</f>
        <v>2.5196626845941259E-3</v>
      </c>
    </row>
    <row r="1607" spans="1:6" ht="15" customHeight="1" x14ac:dyDescent="0.3">
      <c r="A1607" s="21">
        <v>45713</v>
      </c>
      <c r="B1607" s="25">
        <f>('Raw Price Data'!B1607-'Raw Price Data'!B1606)/'Raw Price Data'!B1606</f>
        <v>-2.0719311962470725E-2</v>
      </c>
      <c r="C1607" s="25">
        <f>('Raw Price Data'!C1607-'Raw Price Data'!C1606)/'Raw Price Data'!C1606</f>
        <v>1.0398993977960715E-2</v>
      </c>
      <c r="D1607" s="25">
        <f>('Raw Price Data'!D1607-'Raw Price Data'!D1606)/'Raw Price Data'!D1606</f>
        <v>2.6370575988896284E-3</v>
      </c>
      <c r="E1607" s="25">
        <f>('Raw Price Data'!E1607-'Raw Price Data'!E1606)/'Raw Price Data'!E1606</f>
        <v>-2.9570234610326242E-2</v>
      </c>
      <c r="F1607" s="25">
        <f>('Raw Price Data'!F1607-'Raw Price Data'!F1606)/'Raw Price Data'!F1606</f>
        <v>-1.8497046394831702E-2</v>
      </c>
    </row>
    <row r="1608" spans="1:6" ht="15" customHeight="1" x14ac:dyDescent="0.3">
      <c r="A1608" s="19">
        <v>45714</v>
      </c>
      <c r="B1608" s="26">
        <f>('Raw Price Data'!B1608-'Raw Price Data'!B1607)/'Raw Price Data'!B1607</f>
        <v>-1.6047904191616807E-2</v>
      </c>
      <c r="C1608" s="26">
        <f>('Raw Price Data'!C1608-'Raw Price Data'!C1607)/'Raw Price Data'!C1607</f>
        <v>-4.9917519413114082E-3</v>
      </c>
      <c r="D1608" s="26">
        <f>('Raw Price Data'!D1608-'Raw Price Data'!D1607)/'Raw Price Data'!D1607</f>
        <v>2.4847729789590281E-2</v>
      </c>
      <c r="E1608" s="26">
        <f>('Raw Price Data'!E1608-'Raw Price Data'!E1607)/'Raw Price Data'!E1607</f>
        <v>-6.0767683833173681E-3</v>
      </c>
      <c r="F1608" s="26">
        <f>('Raw Price Data'!F1608-'Raw Price Data'!F1607)/'Raw Price Data'!F1607</f>
        <v>-8.3970967486564265E-3</v>
      </c>
    </row>
    <row r="1609" spans="1:6" ht="15" customHeight="1" x14ac:dyDescent="0.3">
      <c r="A1609" s="21">
        <v>45715</v>
      </c>
      <c r="B1609" s="25">
        <f>('Raw Price Data'!B1609-'Raw Price Data'!B1608)/'Raw Price Data'!B1608</f>
        <v>-2.3531320999675361E-2</v>
      </c>
      <c r="C1609" s="25">
        <f>('Raw Price Data'!C1609-'Raw Price Data'!C1608)/'Raw Price Data'!C1608</f>
        <v>-8.6291022606575923E-3</v>
      </c>
      <c r="D1609" s="25">
        <f>('Raw Price Data'!D1609-'Raw Price Data'!D1608)/'Raw Price Data'!D1608</f>
        <v>-1.0468021881542399E-2</v>
      </c>
      <c r="E1609" s="25">
        <f>('Raw Price Data'!E1609-'Raw Price Data'!E1608)/'Raw Price Data'!E1608</f>
        <v>-2.3268088849791035E-2</v>
      </c>
      <c r="F1609" s="25">
        <f>('Raw Price Data'!F1609-'Raw Price Data'!F1608)/'Raw Price Data'!F1608</f>
        <v>4.5975452116496177E-3</v>
      </c>
    </row>
    <row r="1610" spans="1:6" ht="15" customHeight="1" x14ac:dyDescent="0.3">
      <c r="A1610" s="19">
        <v>45716</v>
      </c>
      <c r="B1610" s="26">
        <f>('Raw Price Data'!B1610-'Raw Price Data'!B1609)/'Raw Price Data'!B1609</f>
        <v>-9.7224530496925511E-3</v>
      </c>
      <c r="C1610" s="26">
        <f>('Raw Price Data'!C1610-'Raw Price Data'!C1609)/'Raw Price Data'!C1609</f>
        <v>-1.1243959940503643E-2</v>
      </c>
      <c r="D1610" s="26">
        <f>('Raw Price Data'!D1610-'Raw Price Data'!D1609)/'Raw Price Data'!D1609</f>
        <v>8.8725088725087557E-3</v>
      </c>
      <c r="E1610" s="26">
        <f>('Raw Price Data'!E1610-'Raw Price Data'!E1609)/'Raw Price Data'!E1609</f>
        <v>8.9615419256057326E-3</v>
      </c>
      <c r="F1610" s="26">
        <f>('Raw Price Data'!F1610-'Raw Price Data'!F1609)/'Raw Price Data'!F1609</f>
        <v>6.171881859167669E-3</v>
      </c>
    </row>
    <row r="1611" spans="1:6" ht="15" customHeight="1" x14ac:dyDescent="0.3">
      <c r="A1611" s="21">
        <v>45719</v>
      </c>
      <c r="B1611" s="25">
        <f>('Raw Price Data'!B1611-'Raw Price Data'!B1610)/'Raw Price Data'!B1610</f>
        <v>4.4474280439708077E-3</v>
      </c>
      <c r="C1611" s="25">
        <f>('Raw Price Data'!C1611-'Raw Price Data'!C1610)/'Raw Price Data'!C1610</f>
        <v>1.5365025933809753E-2</v>
      </c>
      <c r="D1611" s="25">
        <f>('Raw Price Data'!D1611-'Raw Price Data'!D1610)/'Raw Price Data'!D1610</f>
        <v>-1.1026924638073303E-2</v>
      </c>
      <c r="E1611" s="25">
        <f>('Raw Price Data'!E1611-'Raw Price Data'!E1610)/'Raw Price Data'!E1610</f>
        <v>-2.78955590270029E-2</v>
      </c>
      <c r="F1611" s="25">
        <f>('Raw Price Data'!F1611-'Raw Price Data'!F1610)/'Raw Price Data'!F1610</f>
        <v>-4.0480884116902315E-4</v>
      </c>
    </row>
    <row r="1612" spans="1:6" ht="15" customHeight="1" x14ac:dyDescent="0.3">
      <c r="A1612" s="19">
        <v>45720</v>
      </c>
      <c r="B1612" s="26">
        <f>('Raw Price Data'!B1612-'Raw Price Data'!B1611)/'Raw Price Data'!B1611</f>
        <v>1.0860484544694691E-3</v>
      </c>
      <c r="C1612" s="26">
        <f>('Raw Price Data'!C1612-'Raw Price Data'!C1611)/'Raw Price Data'!C1611</f>
        <v>-2.5519697728904063E-2</v>
      </c>
      <c r="D1612" s="26">
        <f>('Raw Price Data'!D1612-'Raw Price Data'!D1611)/'Raw Price Data'!D1611</f>
        <v>1.0739448662699181E-2</v>
      </c>
      <c r="E1612" s="26">
        <f>('Raw Price Data'!E1612-'Raw Price Data'!E1611)/'Raw Price Data'!E1611</f>
        <v>-8.5399449035813303E-3</v>
      </c>
      <c r="F1612" s="26">
        <f>('Raw Price Data'!F1612-'Raw Price Data'!F1611)/'Raw Price Data'!F1611</f>
        <v>-1.845649935411342E-2</v>
      </c>
    </row>
    <row r="1613" spans="1:6" ht="15" customHeight="1" x14ac:dyDescent="0.3">
      <c r="A1613" s="21">
        <v>45721</v>
      </c>
      <c r="B1613" s="25">
        <f>('Raw Price Data'!B1613-'Raw Price Data'!B1612)/'Raw Price Data'!B1612</f>
        <v>-1.1099056997412989E-2</v>
      </c>
      <c r="C1613" s="25">
        <f>('Raw Price Data'!C1613-'Raw Price Data'!C1612)/'Raw Price Data'!C1612</f>
        <v>-2.4492541337417247E-2</v>
      </c>
      <c r="D1613" s="25">
        <f>('Raw Price Data'!D1613-'Raw Price Data'!D1612)/'Raw Price Data'!D1612</f>
        <v>-2.1859772604222998E-2</v>
      </c>
      <c r="E1613" s="25">
        <f>('Raw Price Data'!E1613-'Raw Price Data'!E1612)/'Raw Price Data'!E1612</f>
        <v>-3.1490228767250476E-3</v>
      </c>
      <c r="F1613" s="25">
        <f>('Raw Price Data'!F1613-'Raw Price Data'!F1612)/'Raw Price Data'!F1612</f>
        <v>-2.6814533209276437E-3</v>
      </c>
    </row>
    <row r="1614" spans="1:6" ht="15" customHeight="1" x14ac:dyDescent="0.3">
      <c r="A1614" s="19">
        <v>45722</v>
      </c>
      <c r="B1614" s="26">
        <f>('Raw Price Data'!B1614-'Raw Price Data'!B1613)/'Raw Price Data'!B1613</f>
        <v>-1.3839662447257388E-2</v>
      </c>
      <c r="C1614" s="26">
        <f>('Raw Price Data'!C1614-'Raw Price Data'!C1613)/'Raw Price Data'!C1613</f>
        <v>2.7626214131651911E-2</v>
      </c>
      <c r="D1614" s="26">
        <f>('Raw Price Data'!D1614-'Raw Price Data'!D1613)/'Raw Price Data'!D1613</f>
        <v>-6.0887013076869542E-3</v>
      </c>
      <c r="E1614" s="26">
        <f>('Raw Price Data'!E1614-'Raw Price Data'!E1613)/'Raw Price Data'!E1613</f>
        <v>-1.1056396915358152E-2</v>
      </c>
      <c r="F1614" s="26">
        <f>('Raw Price Data'!F1614-'Raw Price Data'!F1613)/'Raw Price Data'!F1613</f>
        <v>-8.7148493140810877E-3</v>
      </c>
    </row>
    <row r="1615" spans="1:6" ht="15" customHeight="1" x14ac:dyDescent="0.3">
      <c r="A1615" s="21">
        <v>45723</v>
      </c>
      <c r="B1615" s="25">
        <f>('Raw Price Data'!B1615-'Raw Price Data'!B1614)/'Raw Price Data'!B1614</f>
        <v>-1.3434879342803296E-2</v>
      </c>
      <c r="C1615" s="25">
        <f>('Raw Price Data'!C1615-'Raw Price Data'!C1614)/'Raw Price Data'!C1614</f>
        <v>1.8460241718815395E-2</v>
      </c>
      <c r="D1615" s="25">
        <f>('Raw Price Data'!D1615-'Raw Price Data'!D1614)/'Raw Price Data'!D1614</f>
        <v>-9.6762965541247106E-3</v>
      </c>
      <c r="E1615" s="25">
        <f>('Raw Price Data'!E1615-'Raw Price Data'!E1614)/'Raw Price Data'!E1614</f>
        <v>-4.0398346486282656E-3</v>
      </c>
      <c r="F1615" s="25">
        <f>('Raw Price Data'!F1615-'Raw Price Data'!F1614)/'Raw Price Data'!F1614</f>
        <v>-8.3804379781372562E-3</v>
      </c>
    </row>
    <row r="1616" spans="1:6" ht="15" customHeight="1" x14ac:dyDescent="0.3">
      <c r="A1616" s="19">
        <v>45726</v>
      </c>
      <c r="B1616" s="26">
        <f>('Raw Price Data'!B1616-'Raw Price Data'!B1615)/'Raw Price Data'!B1615</f>
        <v>-1.8908838580969787E-2</v>
      </c>
      <c r="C1616" s="26">
        <f>('Raw Price Data'!C1616-'Raw Price Data'!C1615)/'Raw Price Data'!C1615</f>
        <v>7.9030831007963522E-3</v>
      </c>
      <c r="D1616" s="26">
        <f>('Raw Price Data'!D1616-'Raw Price Data'!D1615)/'Raw Price Data'!D1615</f>
        <v>2.0385210178547764E-3</v>
      </c>
      <c r="E1616" s="26">
        <f>('Raw Price Data'!E1616-'Raw Price Data'!E1615)/'Raw Price Data'!E1615</f>
        <v>-1.7687010659371758E-2</v>
      </c>
      <c r="F1616" s="26">
        <f>('Raw Price Data'!F1616-'Raw Price Data'!F1615)/'Raw Price Data'!F1615</f>
        <v>5.7856231258824782E-3</v>
      </c>
    </row>
    <row r="1617" spans="1:6" ht="15" customHeight="1" x14ac:dyDescent="0.3">
      <c r="A1617" s="21">
        <v>45727</v>
      </c>
      <c r="B1617" s="25">
        <f>('Raw Price Data'!B1617-'Raw Price Data'!B1616)/'Raw Price Data'!B1616</f>
        <v>-1.6797807444081034E-2</v>
      </c>
      <c r="C1617" s="25">
        <f>('Raw Price Data'!C1617-'Raw Price Data'!C1616)/'Raw Price Data'!C1616</f>
        <v>1.6881489244465572E-2</v>
      </c>
      <c r="D1617" s="25">
        <f>('Raw Price Data'!D1617-'Raw Price Data'!D1616)/'Raw Price Data'!D1616</f>
        <v>-2.644686075061389E-2</v>
      </c>
      <c r="E1617" s="25">
        <f>('Raw Price Data'!E1617-'Raw Price Data'!E1616)/'Raw Price Data'!E1616</f>
        <v>-1.6372977385125061E-2</v>
      </c>
      <c r="F1617" s="25">
        <f>('Raw Price Data'!F1617-'Raw Price Data'!F1616)/'Raw Price Data'!F1616</f>
        <v>3.7830702492080001E-3</v>
      </c>
    </row>
    <row r="1618" spans="1:6" ht="15" customHeight="1" x14ac:dyDescent="0.3">
      <c r="A1618" s="19">
        <v>45728</v>
      </c>
      <c r="B1618" s="26">
        <f>('Raw Price Data'!B1618-'Raw Price Data'!B1617)/'Raw Price Data'!B1617</f>
        <v>1.0160956748493929E-2</v>
      </c>
      <c r="C1618" s="26">
        <f>('Raw Price Data'!C1618-'Raw Price Data'!C1617)/'Raw Price Data'!C1617</f>
        <v>1.4253156890973669E-2</v>
      </c>
      <c r="D1618" s="26">
        <f>('Raw Price Data'!D1618-'Raw Price Data'!D1617)/'Raw Price Data'!D1617</f>
        <v>2.4138924917134992E-2</v>
      </c>
      <c r="E1618" s="26">
        <f>('Raw Price Data'!E1618-'Raw Price Data'!E1617)/'Raw Price Data'!E1617</f>
        <v>2.3723518500439252E-2</v>
      </c>
      <c r="F1618" s="26">
        <f>('Raw Price Data'!F1618-'Raw Price Data'!F1617)/'Raw Price Data'!F1617</f>
        <v>-1.6783832976127906E-2</v>
      </c>
    </row>
    <row r="1619" spans="1:6" ht="15" customHeight="1" x14ac:dyDescent="0.3">
      <c r="A1619" s="21">
        <v>45729</v>
      </c>
      <c r="B1619" s="25">
        <f>('Raw Price Data'!B1619-'Raw Price Data'!B1618)/'Raw Price Data'!B1618</f>
        <v>-1.9138330069432132E-2</v>
      </c>
      <c r="C1619" s="25">
        <f>('Raw Price Data'!C1619-'Raw Price Data'!C1618)/'Raw Price Data'!C1618</f>
        <v>-2.7000555200552964E-3</v>
      </c>
      <c r="D1619" s="25">
        <f>('Raw Price Data'!D1619-'Raw Price Data'!D1618)/'Raw Price Data'!D1618</f>
        <v>5.2768592133961871E-3</v>
      </c>
      <c r="E1619" s="25">
        <f>('Raw Price Data'!E1619-'Raw Price Data'!E1618)/'Raw Price Data'!E1618</f>
        <v>8.4875071523936724E-3</v>
      </c>
      <c r="F1619" s="25">
        <f>('Raw Price Data'!F1619-'Raw Price Data'!F1618)/'Raw Price Data'!F1618</f>
        <v>-1.1543536241541059E-3</v>
      </c>
    </row>
    <row r="1620" spans="1:6" ht="15" customHeight="1" x14ac:dyDescent="0.3">
      <c r="A1620" s="19">
        <v>45730</v>
      </c>
      <c r="B1620" s="26">
        <f>('Raw Price Data'!B1620-'Raw Price Data'!B1619)/'Raw Price Data'!B1619</f>
        <v>5.4451402123606744E-4</v>
      </c>
      <c r="C1620" s="26">
        <f>('Raw Price Data'!C1620-'Raw Price Data'!C1619)/'Raw Price Data'!C1619</f>
        <v>-2.5309009934009634E-2</v>
      </c>
      <c r="D1620" s="26">
        <f>('Raw Price Data'!D1620-'Raw Price Data'!D1619)/'Raw Price Data'!D1619</f>
        <v>-7.2788353863381308E-3</v>
      </c>
      <c r="E1620" s="26">
        <f>('Raw Price Data'!E1620-'Raw Price Data'!E1619)/'Raw Price Data'!E1619</f>
        <v>8.4160756501182078E-3</v>
      </c>
      <c r="F1620" s="26">
        <f>('Raw Price Data'!F1620-'Raw Price Data'!F1619)/'Raw Price Data'!F1619</f>
        <v>6.7830152016510074E-3</v>
      </c>
    </row>
    <row r="1621" spans="1:6" ht="15" customHeight="1" x14ac:dyDescent="0.3">
      <c r="A1621" s="21">
        <v>45733</v>
      </c>
      <c r="B1621" s="25">
        <f>('Raw Price Data'!B1621-'Raw Price Data'!B1620)/'Raw Price Data'!B1620</f>
        <v>-8.2539682539682236E-3</v>
      </c>
      <c r="C1621" s="25">
        <f>('Raw Price Data'!C1621-'Raw Price Data'!C1620)/'Raw Price Data'!C1620</f>
        <v>2.3226240991446094E-2</v>
      </c>
      <c r="D1621" s="25">
        <f>('Raw Price Data'!D1621-'Raw Price Data'!D1620)/'Raw Price Data'!D1620</f>
        <v>2.3829667230682427E-2</v>
      </c>
      <c r="E1621" s="25">
        <f>('Raw Price Data'!E1621-'Raw Price Data'!E1620)/'Raw Price Data'!E1620</f>
        <v>2.0442610652663097E-2</v>
      </c>
      <c r="F1621" s="25">
        <f>('Raw Price Data'!F1621-'Raw Price Data'!F1620)/'Raw Price Data'!F1620</f>
        <v>2.4837469632422861E-3</v>
      </c>
    </row>
    <row r="1622" spans="1:6" ht="15" customHeight="1" x14ac:dyDescent="0.3">
      <c r="A1622" s="19">
        <v>45734</v>
      </c>
      <c r="B1622" s="26">
        <f>('Raw Price Data'!B1622-'Raw Price Data'!B1621)/'Raw Price Data'!B1621</f>
        <v>3.402231571245655E-2</v>
      </c>
      <c r="C1622" s="26">
        <f>('Raw Price Data'!C1622-'Raw Price Data'!C1621)/'Raw Price Data'!C1621</f>
        <v>8.4650707221771929E-3</v>
      </c>
      <c r="D1622" s="26">
        <f>('Raw Price Data'!D1622-'Raw Price Data'!D1621)/'Raw Price Data'!D1621</f>
        <v>6.8861038424396806E-5</v>
      </c>
      <c r="E1622" s="26">
        <f>('Raw Price Data'!E1622-'Raw Price Data'!E1621)/'Raw Price Data'!E1621</f>
        <v>8.0867487594193134E-3</v>
      </c>
      <c r="F1622" s="26">
        <f>('Raw Price Data'!F1622-'Raw Price Data'!F1621)/'Raw Price Data'!F1621</f>
        <v>-1.6108561762259515E-3</v>
      </c>
    </row>
    <row r="1623" spans="1:6" ht="15" customHeight="1" x14ac:dyDescent="0.3">
      <c r="A1623" s="21">
        <v>45735</v>
      </c>
      <c r="B1623" s="25">
        <f>('Raw Price Data'!B1623-'Raw Price Data'!B1622)/'Raw Price Data'!B1622</f>
        <v>-2.458871395719088E-2</v>
      </c>
      <c r="C1623" s="25">
        <f>('Raw Price Data'!C1623-'Raw Price Data'!C1622)/'Raw Price Data'!C1622</f>
        <v>-2.367817112302259E-2</v>
      </c>
      <c r="D1623" s="25">
        <f>('Raw Price Data'!D1623-'Raw Price Data'!D1622)/'Raw Price Data'!D1622</f>
        <v>4.4068030021346474E-3</v>
      </c>
      <c r="E1623" s="25">
        <f>('Raw Price Data'!E1623-'Raw Price Data'!E1622)/'Raw Price Data'!E1622</f>
        <v>-5.2871467639015344E-3</v>
      </c>
      <c r="F1623" s="25">
        <f>('Raw Price Data'!F1623-'Raw Price Data'!F1622)/'Raw Price Data'!F1622</f>
        <v>4.5250884985240114E-4</v>
      </c>
    </row>
    <row r="1624" spans="1:6" ht="15" customHeight="1" x14ac:dyDescent="0.3">
      <c r="A1624" s="19">
        <v>45736</v>
      </c>
      <c r="B1624" s="26">
        <f>('Raw Price Data'!B1624-'Raw Price Data'!B1623)/'Raw Price Data'!B1623</f>
        <v>2.9923830250271882E-3</v>
      </c>
      <c r="C1624" s="26">
        <f>('Raw Price Data'!C1624-'Raw Price Data'!C1623)/'Raw Price Data'!C1623</f>
        <v>3.1047595616432834E-3</v>
      </c>
      <c r="D1624" s="26">
        <f>('Raw Price Data'!D1624-'Raw Price Data'!D1623)/'Raw Price Data'!D1623</f>
        <v>4.9359018303969208E-3</v>
      </c>
      <c r="E1624" s="26">
        <f>('Raw Price Data'!E1624-'Raw Price Data'!E1623)/'Raw Price Data'!E1623</f>
        <v>1.1455278592375367E-2</v>
      </c>
      <c r="F1624" s="26">
        <f>('Raw Price Data'!F1624-'Raw Price Data'!F1623)/'Raw Price Data'!F1623</f>
        <v>-1.3056563846842341E-2</v>
      </c>
    </row>
    <row r="1625" spans="1:6" ht="15" customHeight="1" x14ac:dyDescent="0.3">
      <c r="A1625" s="21">
        <v>45737</v>
      </c>
      <c r="B1625" s="25">
        <f>('Raw Price Data'!B1625-'Raw Price Data'!B1624)/'Raw Price Data'!B1624</f>
        <v>-4.3395714673176381E-3</v>
      </c>
      <c r="C1625" s="25">
        <f>('Raw Price Data'!C1625-'Raw Price Data'!C1624)/'Raw Price Data'!C1624</f>
        <v>-7.6725592703871196E-3</v>
      </c>
      <c r="D1625" s="25">
        <f>('Raw Price Data'!D1625-'Raw Price Data'!D1624)/'Raw Price Data'!D1624</f>
        <v>2.5445119039497848E-2</v>
      </c>
      <c r="E1625" s="25">
        <f>('Raw Price Data'!E1625-'Raw Price Data'!E1624)/'Raw Price Data'!E1624</f>
        <v>-4.1677992208028264E-3</v>
      </c>
      <c r="F1625" s="25">
        <f>('Raw Price Data'!F1625-'Raw Price Data'!F1624)/'Raw Price Data'!F1624</f>
        <v>2.1748479041816291E-2</v>
      </c>
    </row>
    <row r="1626" spans="1:6" ht="15" customHeight="1" x14ac:dyDescent="0.3">
      <c r="A1626" s="19">
        <v>45740</v>
      </c>
      <c r="B1626" s="26">
        <f>('Raw Price Data'!B1626-'Raw Price Data'!B1625)/'Raw Price Data'!B1625</f>
        <v>-1.0351402887496601E-2</v>
      </c>
      <c r="C1626" s="26">
        <f>('Raw Price Data'!C1626-'Raw Price Data'!C1625)/'Raw Price Data'!C1625</f>
        <v>-1.4399892538115729E-3</v>
      </c>
      <c r="D1626" s="26">
        <f>('Raw Price Data'!D1626-'Raw Price Data'!D1625)/'Raw Price Data'!D1625</f>
        <v>2.8605641298563521E-3</v>
      </c>
      <c r="E1626" s="26">
        <f>('Raw Price Data'!E1626-'Raw Price Data'!E1625)/'Raw Price Data'!E1625</f>
        <v>3.3436448002911449E-2</v>
      </c>
      <c r="F1626" s="26">
        <f>('Raw Price Data'!F1626-'Raw Price Data'!F1625)/'Raw Price Data'!F1625</f>
        <v>1.8201121276662006E-3</v>
      </c>
    </row>
    <row r="1627" spans="1:6" ht="15" customHeight="1" x14ac:dyDescent="0.3">
      <c r="A1627" s="21">
        <v>45741</v>
      </c>
      <c r="B1627" s="25">
        <f>('Raw Price Data'!B1627-'Raw Price Data'!B1626)/'Raw Price Data'!B1626</f>
        <v>4.6793283787503913E-3</v>
      </c>
      <c r="C1627" s="25">
        <f>('Raw Price Data'!C1627-'Raw Price Data'!C1626)/'Raw Price Data'!C1626</f>
        <v>-5.1898226743325639E-3</v>
      </c>
      <c r="D1627" s="25">
        <f>('Raw Price Data'!D1627-'Raw Price Data'!D1626)/'Raw Price Data'!D1626</f>
        <v>-1.6384742951907123E-2</v>
      </c>
      <c r="E1627" s="25">
        <f>('Raw Price Data'!E1627-'Raw Price Data'!E1626)/'Raw Price Data'!E1626</f>
        <v>4.4460095963376302E-3</v>
      </c>
      <c r="F1627" s="25">
        <f>('Raw Price Data'!F1627-'Raw Price Data'!F1626)/'Raw Price Data'!F1626</f>
        <v>-9.5197043171541488E-3</v>
      </c>
    </row>
    <row r="1628" spans="1:6" ht="15" customHeight="1" x14ac:dyDescent="0.3">
      <c r="A1628" s="19">
        <v>45742</v>
      </c>
      <c r="B1628" s="26">
        <f>('Raw Price Data'!B1628-'Raw Price Data'!B1627)/'Raw Price Data'!B1627</f>
        <v>2.4657534246574977E-3</v>
      </c>
      <c r="C1628" s="26">
        <f>('Raw Price Data'!C1628-'Raw Price Data'!C1627)/'Raw Price Data'!C1627</f>
        <v>1.0317503245348358E-2</v>
      </c>
      <c r="D1628" s="26">
        <f>('Raw Price Data'!D1628-'Raw Price Data'!D1627)/'Raw Price Data'!D1627</f>
        <v>1.8208794173186554E-3</v>
      </c>
      <c r="E1628" s="26">
        <f>('Raw Price Data'!E1628-'Raw Price Data'!E1627)/'Raw Price Data'!E1627</f>
        <v>1.3585765623630567E-3</v>
      </c>
      <c r="F1628" s="26">
        <f>('Raw Price Data'!F1628-'Raw Price Data'!F1627)/'Raw Price Data'!F1627</f>
        <v>-2.0599409585952633E-2</v>
      </c>
    </row>
    <row r="1629" spans="1:6" ht="15" customHeight="1" x14ac:dyDescent="0.3">
      <c r="A1629" s="21">
        <v>45743</v>
      </c>
      <c r="B1629" s="25">
        <f>('Raw Price Data'!B1629-'Raw Price Data'!B1628)/'Raw Price Data'!B1628</f>
        <v>-1.4484831921289873E-2</v>
      </c>
      <c r="C1629" s="25">
        <f>('Raw Price Data'!C1629-'Raw Price Data'!C1628)/'Raw Price Data'!C1628</f>
        <v>-3.0810412902362895E-3</v>
      </c>
      <c r="D1629" s="25">
        <f>('Raw Price Data'!D1629-'Raw Price Data'!D1628)/'Raw Price Data'!D1628</f>
        <v>7.0010097610231706E-3</v>
      </c>
      <c r="E1629" s="25">
        <f>('Raw Price Data'!E1629-'Raw Price Data'!E1628)/'Raw Price Data'!E1628</f>
        <v>2.997943017199875E-2</v>
      </c>
      <c r="F1629" s="25">
        <f>('Raw Price Data'!F1629-'Raw Price Data'!F1628)/'Raw Price Data'!F1628</f>
        <v>-1.9748716237014442E-2</v>
      </c>
    </row>
    <row r="1630" spans="1:6" ht="15" customHeight="1" x14ac:dyDescent="0.3">
      <c r="A1630" s="19">
        <v>45744</v>
      </c>
      <c r="B1630" s="26">
        <f>('Raw Price Data'!B1630-'Raw Price Data'!B1629)/'Raw Price Data'!B1629</f>
        <v>6.193381401367974E-3</v>
      </c>
      <c r="C1630" s="26">
        <f>('Raw Price Data'!C1630-'Raw Price Data'!C1629)/'Raw Price Data'!C1629</f>
        <v>-1.977584688419641E-2</v>
      </c>
      <c r="D1630" s="26">
        <f>('Raw Price Data'!D1630-'Raw Price Data'!D1629)/'Raw Price Data'!D1629</f>
        <v>0</v>
      </c>
      <c r="E1630" s="26">
        <f>('Raw Price Data'!E1630-'Raw Price Data'!E1629)/'Raw Price Data'!E1629</f>
        <v>1.6061867935752532E-2</v>
      </c>
      <c r="F1630" s="26">
        <f>('Raw Price Data'!F1630-'Raw Price Data'!F1629)/'Raw Price Data'!F1629</f>
        <v>-6.7612410575578477E-3</v>
      </c>
    </row>
    <row r="1631" spans="1:6" ht="15" customHeight="1" x14ac:dyDescent="0.3">
      <c r="A1631" s="21">
        <v>45747</v>
      </c>
      <c r="B1631" s="25">
        <f>('Raw Price Data'!B1631-'Raw Price Data'!B1630)/'Raw Price Data'!B1630</f>
        <v>5.787781350482404E-3</v>
      </c>
      <c r="C1631" s="25">
        <f>('Raw Price Data'!C1631-'Raw Price Data'!C1630)/'Raw Price Data'!C1630</f>
        <v>1.2466478021360866E-2</v>
      </c>
      <c r="D1631" s="25">
        <f>('Raw Price Data'!D1631-'Raw Price Data'!D1630)/'Raw Price Data'!D1630</f>
        <v>-9.8937094725582569E-3</v>
      </c>
      <c r="E1631" s="25">
        <f>('Raw Price Data'!E1631-'Raw Price Data'!E1630)/'Raw Price Data'!E1630</f>
        <v>-1.2796922047507537E-2</v>
      </c>
      <c r="F1631" s="25">
        <f>('Raw Price Data'!F1631-'Raw Price Data'!F1630)/'Raw Price Data'!F1630</f>
        <v>1.2053386511692016E-2</v>
      </c>
    </row>
    <row r="1632" spans="1:6" ht="15" customHeight="1" x14ac:dyDescent="0.3">
      <c r="A1632" s="19">
        <v>45748</v>
      </c>
      <c r="B1632" s="26">
        <f>('Raw Price Data'!B1632-'Raw Price Data'!B1631)/'Raw Price Data'!B1631</f>
        <v>1.8450858604311254E-2</v>
      </c>
      <c r="C1632" s="26">
        <f>('Raw Price Data'!C1632-'Raw Price Data'!C1631)/'Raw Price Data'!C1631</f>
        <v>9.1637131030004298E-3</v>
      </c>
      <c r="D1632" s="26">
        <f>('Raw Price Data'!D1632-'Raw Price Data'!D1631)/'Raw Price Data'!D1631</f>
        <v>-1.2288164202282232E-2</v>
      </c>
      <c r="E1632" s="26">
        <f>('Raw Price Data'!E1632-'Raw Price Data'!E1631)/'Raw Price Data'!E1631</f>
        <v>9.5314750487164278E-3</v>
      </c>
      <c r="F1632" s="26">
        <f>('Raw Price Data'!F1632-'Raw Price Data'!F1631)/'Raw Price Data'!F1631</f>
        <v>-6.1545181515554508E-3</v>
      </c>
    </row>
    <row r="1633" spans="1:6" ht="15" customHeight="1" x14ac:dyDescent="0.3">
      <c r="A1633" s="21">
        <v>45749</v>
      </c>
      <c r="B1633" s="25">
        <f>('Raw Price Data'!B1633-'Raw Price Data'!B1632)/'Raw Price Data'!B1632</f>
        <v>-8.1614349775784439E-3</v>
      </c>
      <c r="C1633" s="25">
        <f>('Raw Price Data'!C1633-'Raw Price Data'!C1632)/'Raw Price Data'!C1632</f>
        <v>-2.4552476293374995E-2</v>
      </c>
      <c r="D1633" s="25">
        <f>('Raw Price Data'!D1633-'Raw Price Data'!D1632)/'Raw Price Data'!D1632</f>
        <v>-2.6317588351903714E-2</v>
      </c>
      <c r="E1633" s="25">
        <f>('Raw Price Data'!E1633-'Raw Price Data'!E1632)/'Raw Price Data'!E1632</f>
        <v>-2.3708614829423883E-2</v>
      </c>
      <c r="F1633" s="25">
        <f>('Raw Price Data'!F1633-'Raw Price Data'!F1632)/'Raw Price Data'!F1632</f>
        <v>-2.6500848686218815E-3</v>
      </c>
    </row>
    <row r="1634" spans="1:6" ht="15" customHeight="1" x14ac:dyDescent="0.3">
      <c r="A1634" s="19">
        <v>45750</v>
      </c>
      <c r="B1634" s="26">
        <f>('Raw Price Data'!B1634-'Raw Price Data'!B1633)/'Raw Price Data'!B1633</f>
        <v>2.0707116375802442E-2</v>
      </c>
      <c r="C1634" s="26">
        <f>('Raw Price Data'!C1634-'Raw Price Data'!C1633)/'Raw Price Data'!C1633</f>
        <v>7.8111472382015323E-3</v>
      </c>
      <c r="D1634" s="26">
        <f>('Raw Price Data'!D1634-'Raw Price Data'!D1633)/'Raw Price Data'!D1633</f>
        <v>7.9331648413366717E-3</v>
      </c>
      <c r="E1634" s="26">
        <f>('Raw Price Data'!E1634-'Raw Price Data'!E1633)/'Raw Price Data'!E1633</f>
        <v>-4.2121550760766341E-3</v>
      </c>
      <c r="F1634" s="26">
        <f>('Raw Price Data'!F1634-'Raw Price Data'!F1633)/'Raw Price Data'!F1633</f>
        <v>-1.1160869643419832E-2</v>
      </c>
    </row>
    <row r="1635" spans="1:6" ht="15" customHeight="1" x14ac:dyDescent="0.3">
      <c r="A1635" s="21">
        <v>45751</v>
      </c>
      <c r="B1635" s="25">
        <f>('Raw Price Data'!B1635-'Raw Price Data'!B1634)/'Raw Price Data'!B1634</f>
        <v>-2.39192062367112E-3</v>
      </c>
      <c r="C1635" s="25">
        <f>('Raw Price Data'!C1635-'Raw Price Data'!C1634)/'Raw Price Data'!C1634</f>
        <v>1.6251182908304535E-2</v>
      </c>
      <c r="D1635" s="25">
        <f>('Raw Price Data'!D1635-'Raw Price Data'!D1634)/'Raw Price Data'!D1634</f>
        <v>-1.2746395486522144E-2</v>
      </c>
      <c r="E1635" s="25">
        <f>('Raw Price Data'!E1635-'Raw Price Data'!E1634)/'Raw Price Data'!E1634</f>
        <v>3.7983425414364444E-3</v>
      </c>
      <c r="F1635" s="25">
        <f>('Raw Price Data'!F1635-'Raw Price Data'!F1634)/'Raw Price Data'!F1634</f>
        <v>1.721150760690783E-2</v>
      </c>
    </row>
    <row r="1636" spans="1:6" ht="15" customHeight="1" x14ac:dyDescent="0.3">
      <c r="A1636" s="19">
        <v>45754</v>
      </c>
      <c r="B1636" s="26">
        <f>('Raw Price Data'!B1636-'Raw Price Data'!B1635)/'Raw Price Data'!B1635</f>
        <v>-2.7084628363378004E-2</v>
      </c>
      <c r="C1636" s="26">
        <f>('Raw Price Data'!C1636-'Raw Price Data'!C1635)/'Raw Price Data'!C1635</f>
        <v>-2.0931730356376615E-3</v>
      </c>
      <c r="D1636" s="26">
        <f>('Raw Price Data'!D1636-'Raw Price Data'!D1635)/'Raw Price Data'!D1635</f>
        <v>-9.7361365881190581E-3</v>
      </c>
      <c r="E1636" s="26">
        <f>('Raw Price Data'!E1636-'Raw Price Data'!E1635)/'Raw Price Data'!E1635</f>
        <v>3.1389748882008502E-3</v>
      </c>
      <c r="F1636" s="26">
        <f>('Raw Price Data'!F1636-'Raw Price Data'!F1635)/'Raw Price Data'!F1635</f>
        <v>2.5771396473005179E-2</v>
      </c>
    </row>
    <row r="1637" spans="1:6" ht="15" customHeight="1" x14ac:dyDescent="0.3">
      <c r="A1637" s="21">
        <v>45755</v>
      </c>
      <c r="B1637" s="25">
        <f>('Raw Price Data'!B1637-'Raw Price Data'!B1636)/'Raw Price Data'!B1636</f>
        <v>7.5757575757575604E-3</v>
      </c>
      <c r="C1637" s="25">
        <f>('Raw Price Data'!C1637-'Raw Price Data'!C1636)/'Raw Price Data'!C1636</f>
        <v>3.9046953154412904E-3</v>
      </c>
      <c r="D1637" s="25">
        <f>('Raw Price Data'!D1637-'Raw Price Data'!D1636)/'Raw Price Data'!D1636</f>
        <v>8.4781989170703738E-3</v>
      </c>
      <c r="E1637" s="25">
        <f>('Raw Price Data'!E1637-'Raw Price Data'!E1636)/'Raw Price Data'!E1636</f>
        <v>-2.6576364181919694E-3</v>
      </c>
      <c r="F1637" s="25">
        <f>('Raw Price Data'!F1637-'Raw Price Data'!F1636)/'Raw Price Data'!F1636</f>
        <v>-3.0671829988587303E-2</v>
      </c>
    </row>
    <row r="1638" spans="1:6" ht="15" customHeight="1" x14ac:dyDescent="0.3">
      <c r="A1638" s="19">
        <v>45756</v>
      </c>
      <c r="B1638" s="26">
        <f>('Raw Price Data'!B1638-'Raw Price Data'!B1637)/'Raw Price Data'!B1637</f>
        <v>-8.1529124014859513E-4</v>
      </c>
      <c r="C1638" s="26">
        <f>('Raw Price Data'!C1638-'Raw Price Data'!C1637)/'Raw Price Data'!C1637</f>
        <v>-1.2887343562489198E-2</v>
      </c>
      <c r="D1638" s="26">
        <f>('Raw Price Data'!D1638-'Raw Price Data'!D1637)/'Raw Price Data'!D1637</f>
        <v>1.7379018014835601E-2</v>
      </c>
      <c r="E1638" s="26">
        <f>('Raw Price Data'!E1638-'Raw Price Data'!E1637)/'Raw Price Data'!E1637</f>
        <v>-1.757854471998958E-2</v>
      </c>
      <c r="F1638" s="26">
        <f>('Raw Price Data'!F1638-'Raw Price Data'!F1637)/'Raw Price Data'!F1637</f>
        <v>-3.8603404363624053E-3</v>
      </c>
    </row>
    <row r="1639" spans="1:6" ht="15" customHeight="1" x14ac:dyDescent="0.3">
      <c r="A1639" s="21">
        <v>45757</v>
      </c>
      <c r="B1639" s="25">
        <f>('Raw Price Data'!B1639-'Raw Price Data'!B1638)/'Raw Price Data'!B1638</f>
        <v>-1.1876699909338189E-2</v>
      </c>
      <c r="C1639" s="25">
        <f>('Raw Price Data'!C1639-'Raw Price Data'!C1638)/'Raw Price Data'!C1638</f>
        <v>-3.0271288273301885E-2</v>
      </c>
      <c r="D1639" s="25">
        <f>('Raw Price Data'!D1639-'Raw Price Data'!D1638)/'Raw Price Data'!D1638</f>
        <v>-1.5901673494896133E-2</v>
      </c>
      <c r="E1639" s="25">
        <f>('Raw Price Data'!E1639-'Raw Price Data'!E1638)/'Raw Price Data'!E1638</f>
        <v>8.0059497768832973E-3</v>
      </c>
      <c r="F1639" s="25">
        <f>('Raw Price Data'!F1639-'Raw Price Data'!F1638)/'Raw Price Data'!F1638</f>
        <v>5.8851660651002878E-3</v>
      </c>
    </row>
    <row r="1640" spans="1:6" ht="15" customHeight="1" x14ac:dyDescent="0.3">
      <c r="A1640" s="19">
        <v>45758</v>
      </c>
      <c r="B1640" s="26">
        <f>('Raw Price Data'!B1640-'Raw Price Data'!B1639)/'Raw Price Data'!B1639</f>
        <v>1.3212221304706964E-2</v>
      </c>
      <c r="C1640" s="26">
        <f>('Raw Price Data'!C1640-'Raw Price Data'!C1639)/'Raw Price Data'!C1639</f>
        <v>9.7972273370905971E-3</v>
      </c>
      <c r="D1640" s="26">
        <f>('Raw Price Data'!D1640-'Raw Price Data'!D1639)/'Raw Price Data'!D1639</f>
        <v>-5.1510019757267126E-3</v>
      </c>
      <c r="E1640" s="26">
        <f>('Raw Price Data'!E1640-'Raw Price Data'!E1639)/'Raw Price Data'!E1639</f>
        <v>1.0980426196779658E-2</v>
      </c>
      <c r="F1640" s="26">
        <f>('Raw Price Data'!F1640-'Raw Price Data'!F1639)/'Raw Price Data'!F1639</f>
        <v>5.8944335703735445E-3</v>
      </c>
    </row>
    <row r="1641" spans="1:6" ht="15" customHeight="1" x14ac:dyDescent="0.3">
      <c r="A1641" s="21">
        <v>45761</v>
      </c>
      <c r="B1641" s="25">
        <f>('Raw Price Data'!B1641-'Raw Price Data'!B1640)/'Raw Price Data'!B1640</f>
        <v>-6.2483020918229822E-3</v>
      </c>
      <c r="C1641" s="25">
        <f>('Raw Price Data'!C1641-'Raw Price Data'!C1640)/'Raw Price Data'!C1640</f>
        <v>-9.5331262280124265E-4</v>
      </c>
      <c r="D1641" s="25">
        <f>('Raw Price Data'!D1641-'Raw Price Data'!D1640)/'Raw Price Data'!D1640</f>
        <v>-5.8160153202356304E-3</v>
      </c>
      <c r="E1641" s="25">
        <f>('Raw Price Data'!E1641-'Raw Price Data'!E1640)/'Raw Price Data'!E1640</f>
        <v>-1.2277839787069568E-2</v>
      </c>
      <c r="F1641" s="25">
        <f>('Raw Price Data'!F1641-'Raw Price Data'!F1640)/'Raw Price Data'!F1640</f>
        <v>-5.4857704525561549E-3</v>
      </c>
    </row>
    <row r="1642" spans="1:6" ht="15" customHeight="1" x14ac:dyDescent="0.3">
      <c r="A1642" s="19">
        <v>45762</v>
      </c>
      <c r="B1642" s="26">
        <f>('Raw Price Data'!B1642-'Raw Price Data'!B1641)/'Raw Price Data'!B1641</f>
        <v>1.4397667213413508E-2</v>
      </c>
      <c r="C1642" s="26">
        <f>('Raw Price Data'!C1642-'Raw Price Data'!C1641)/'Raw Price Data'!C1641</f>
        <v>8.1719153516058348E-3</v>
      </c>
      <c r="D1642" s="26">
        <f>('Raw Price Data'!D1642-'Raw Price Data'!D1641)/'Raw Price Data'!D1641</f>
        <v>8.3470072055362495E-3</v>
      </c>
      <c r="E1642" s="26">
        <f>('Raw Price Data'!E1642-'Raw Price Data'!E1641)/'Raw Price Data'!E1641</f>
        <v>4.3463143254480632E-5</v>
      </c>
      <c r="F1642" s="26">
        <f>('Raw Price Data'!F1642-'Raw Price Data'!F1641)/'Raw Price Data'!F1641</f>
        <v>-5.0639828292232056E-3</v>
      </c>
    </row>
    <row r="1643" spans="1:6" ht="15" customHeight="1" x14ac:dyDescent="0.3">
      <c r="A1643" s="21">
        <v>45763</v>
      </c>
      <c r="B1643" s="25">
        <f>('Raw Price Data'!B1643-'Raw Price Data'!B1642)/'Raw Price Data'!B1642</f>
        <v>-8.0848005749181826E-4</v>
      </c>
      <c r="C1643" s="25">
        <f>('Raw Price Data'!C1643-'Raw Price Data'!C1642)/'Raw Price Data'!C1642</f>
        <v>-3.5465773739919147E-3</v>
      </c>
      <c r="D1643" s="25">
        <f>('Raw Price Data'!D1643-'Raw Price Data'!D1642)/'Raw Price Data'!D1642</f>
        <v>-1.5989811801330061E-2</v>
      </c>
      <c r="E1643" s="25">
        <f>('Raw Price Data'!E1643-'Raw Price Data'!E1642)/'Raw Price Data'!E1642</f>
        <v>9.8222434699465032E-3</v>
      </c>
      <c r="F1643" s="25">
        <f>('Raw Price Data'!F1643-'Raw Price Data'!F1642)/'Raw Price Data'!F1642</f>
        <v>7.9534440194322376E-3</v>
      </c>
    </row>
    <row r="1644" spans="1:6" ht="15" customHeight="1" x14ac:dyDescent="0.3">
      <c r="A1644" s="19">
        <v>45764</v>
      </c>
      <c r="B1644" s="26">
        <f>('Raw Price Data'!B1644-'Raw Price Data'!B1643)/'Raw Price Data'!B1643</f>
        <v>1.0698552548772793E-2</v>
      </c>
      <c r="C1644" s="26">
        <f>('Raw Price Data'!C1644-'Raw Price Data'!C1643)/'Raw Price Data'!C1643</f>
        <v>-3.9954716147558534E-3</v>
      </c>
      <c r="D1644" s="26">
        <f>('Raw Price Data'!D1644-'Raw Price Data'!D1643)/'Raw Price Data'!D1643</f>
        <v>-1.2223180903077486E-2</v>
      </c>
      <c r="E1644" s="26">
        <f>('Raw Price Data'!E1644-'Raw Price Data'!E1643)/'Raw Price Data'!E1643</f>
        <v>9.7697439208091676E-3</v>
      </c>
      <c r="F1644" s="26">
        <f>('Raw Price Data'!F1644-'Raw Price Data'!F1643)/'Raw Price Data'!F1643</f>
        <v>1.7523557130611683E-2</v>
      </c>
    </row>
    <row r="1645" spans="1:6" ht="15" customHeight="1" x14ac:dyDescent="0.3">
      <c r="A1645" s="21">
        <v>45765</v>
      </c>
      <c r="B1645" s="25">
        <f>('Raw Price Data'!B1645-'Raw Price Data'!B1644)/'Raw Price Data'!B1644</f>
        <v>9.7847358121330216E-3</v>
      </c>
      <c r="C1645" s="25">
        <f>('Raw Price Data'!C1645-'Raw Price Data'!C1644)/'Raw Price Data'!C1644</f>
        <v>3.4570420251002318E-3</v>
      </c>
      <c r="D1645" s="25">
        <f>('Raw Price Data'!D1645-'Raw Price Data'!D1644)/'Raw Price Data'!D1644</f>
        <v>7.0607075265686336E-3</v>
      </c>
      <c r="E1645" s="25">
        <f>('Raw Price Data'!E1645-'Raw Price Data'!E1644)/'Raw Price Data'!E1644</f>
        <v>7.1605148751172397E-3</v>
      </c>
      <c r="F1645" s="25">
        <f>('Raw Price Data'!F1645-'Raw Price Data'!F1644)/'Raw Price Data'!F1644</f>
        <v>-1.9920860085179098E-2</v>
      </c>
    </row>
    <row r="1646" spans="1:6" ht="15" customHeight="1" x14ac:dyDescent="0.3">
      <c r="A1646" s="19">
        <v>45768</v>
      </c>
      <c r="B1646" s="26">
        <f>('Raw Price Data'!B1646-'Raw Price Data'!B1645)/'Raw Price Data'!B1645</f>
        <v>6.8710359408033928E-3</v>
      </c>
      <c r="C1646" s="26">
        <f>('Raw Price Data'!C1646-'Raw Price Data'!C1645)/'Raw Price Data'!C1645</f>
        <v>-5.2215714443581409E-4</v>
      </c>
      <c r="D1646" s="26">
        <f>('Raw Price Data'!D1646-'Raw Price Data'!D1645)/'Raw Price Data'!D1645</f>
        <v>-9.1073364654860201E-3</v>
      </c>
      <c r="E1646" s="26">
        <f>('Raw Price Data'!E1646-'Raw Price Data'!E1645)/'Raw Price Data'!E1645</f>
        <v>9.4794752433346625E-3</v>
      </c>
      <c r="F1646" s="26">
        <f>('Raw Price Data'!F1646-'Raw Price Data'!F1645)/'Raw Price Data'!F1645</f>
        <v>-7.5678557423568419E-3</v>
      </c>
    </row>
    <row r="1647" spans="1:6" ht="15" customHeight="1" x14ac:dyDescent="0.3">
      <c r="A1647" s="21">
        <v>45769</v>
      </c>
      <c r="B1647" s="25">
        <f>('Raw Price Data'!B1647-'Raw Price Data'!B1646)/'Raw Price Data'!B1646</f>
        <v>-1.399825021872261E-2</v>
      </c>
      <c r="C1647" s="25">
        <f>('Raw Price Data'!C1647-'Raw Price Data'!C1646)/'Raw Price Data'!C1646</f>
        <v>1.5874683155919032E-2</v>
      </c>
      <c r="D1647" s="25">
        <f>('Raw Price Data'!D1647-'Raw Price Data'!D1646)/'Raw Price Data'!D1646</f>
        <v>-1.5829017433802727E-2</v>
      </c>
      <c r="E1647" s="25">
        <f>('Raw Price Data'!E1647-'Raw Price Data'!E1646)/'Raw Price Data'!E1646</f>
        <v>1.1863838349962323E-2</v>
      </c>
      <c r="F1647" s="25">
        <f>('Raw Price Data'!F1647-'Raw Price Data'!F1646)/'Raw Price Data'!F1646</f>
        <v>5.5341834957311478E-3</v>
      </c>
    </row>
    <row r="1648" spans="1:6" ht="15" customHeight="1" x14ac:dyDescent="0.3">
      <c r="A1648" s="19">
        <v>45770</v>
      </c>
      <c r="B1648" s="26">
        <f>('Raw Price Data'!B1648-'Raw Price Data'!B1647)/'Raw Price Data'!B1647</f>
        <v>1.3043478260869554E-2</v>
      </c>
      <c r="C1648" s="26">
        <f>('Raw Price Data'!C1648-'Raw Price Data'!C1647)/'Raw Price Data'!C1647</f>
        <v>-6.8813705056133823E-3</v>
      </c>
      <c r="D1648" s="26">
        <f>('Raw Price Data'!D1648-'Raw Price Data'!D1647)/'Raw Price Data'!D1647</f>
        <v>2.2235398754818513E-4</v>
      </c>
      <c r="E1648" s="26">
        <f>('Raw Price Data'!E1648-'Raw Price Data'!E1647)/'Raw Price Data'!E1647</f>
        <v>1.4169117951692371E-2</v>
      </c>
      <c r="F1648" s="26">
        <f>('Raw Price Data'!F1648-'Raw Price Data'!F1647)/'Raw Price Data'!F1647</f>
        <v>-1.1291761315063192E-2</v>
      </c>
    </row>
    <row r="1649" spans="1:6" ht="15" customHeight="1" x14ac:dyDescent="0.3">
      <c r="A1649" s="21">
        <v>45771</v>
      </c>
      <c r="B1649" s="25">
        <f>('Raw Price Data'!B1649-'Raw Price Data'!B1648)/'Raw Price Data'!B1648</f>
        <v>6.1312078479454476E-4</v>
      </c>
      <c r="C1649" s="25">
        <f>('Raw Price Data'!C1649-'Raw Price Data'!C1648)/'Raw Price Data'!C1648</f>
        <v>-2.4880474540049578E-2</v>
      </c>
      <c r="D1649" s="25">
        <f>('Raw Price Data'!D1649-'Raw Price Data'!D1648)/'Raw Price Data'!D1648</f>
        <v>-1.400518710633558E-2</v>
      </c>
      <c r="E1649" s="25">
        <f>('Raw Price Data'!E1649-'Raw Price Data'!E1648)/'Raw Price Data'!E1648</f>
        <v>9.1098492585482173E-3</v>
      </c>
      <c r="F1649" s="25">
        <f>('Raw Price Data'!F1649-'Raw Price Data'!F1648)/'Raw Price Data'!F1648</f>
        <v>-5.9264743258577715E-3</v>
      </c>
    </row>
    <row r="1650" spans="1:6" ht="15" customHeight="1" x14ac:dyDescent="0.3">
      <c r="A1650" s="19">
        <v>45772</v>
      </c>
      <c r="B1650" s="26">
        <f>('Raw Price Data'!B1650-'Raw Price Data'!B1649)/'Raw Price Data'!B1649</f>
        <v>2.809873949579839E-2</v>
      </c>
      <c r="C1650" s="26">
        <f>('Raw Price Data'!C1650-'Raw Price Data'!C1649)/'Raw Price Data'!C1649</f>
        <v>3.135677036504185E-3</v>
      </c>
      <c r="D1650" s="26">
        <f>('Raw Price Data'!D1650-'Raw Price Data'!D1649)/'Raw Price Data'!D1649</f>
        <v>-3.9080114234180839E-3</v>
      </c>
      <c r="E1650" s="26">
        <f>('Raw Price Data'!E1650-'Raw Price Data'!E1649)/'Raw Price Data'!E1649</f>
        <v>-9.1490567565380102E-3</v>
      </c>
      <c r="F1650" s="26">
        <f>('Raw Price Data'!F1650-'Raw Price Data'!F1649)/'Raw Price Data'!F1649</f>
        <v>1.534319803906712E-2</v>
      </c>
    </row>
    <row r="1651" spans="1:6" ht="15" customHeight="1" x14ac:dyDescent="0.3">
      <c r="A1651" s="21">
        <v>45775</v>
      </c>
      <c r="B1651" s="25">
        <f>('Raw Price Data'!B1651-'Raw Price Data'!B1650)/'Raw Price Data'!B1650</f>
        <v>6.9816943380161187E-3</v>
      </c>
      <c r="C1651" s="25">
        <f>('Raw Price Data'!C1651-'Raw Price Data'!C1650)/'Raw Price Data'!C1650</f>
        <v>-2.2390902470449725E-2</v>
      </c>
      <c r="D1651" s="25">
        <f>('Raw Price Data'!D1651-'Raw Price Data'!D1650)/'Raw Price Data'!D1650</f>
        <v>2.0597555454957131E-2</v>
      </c>
      <c r="E1651" s="25">
        <f>('Raw Price Data'!E1651-'Raw Price Data'!E1650)/'Raw Price Data'!E1650</f>
        <v>6.8230102958000329E-3</v>
      </c>
      <c r="F1651" s="25">
        <f>('Raw Price Data'!F1651-'Raw Price Data'!F1650)/'Raw Price Data'!F1650</f>
        <v>3.5323892089817741E-3</v>
      </c>
    </row>
    <row r="1652" spans="1:6" ht="15" customHeight="1" x14ac:dyDescent="0.3">
      <c r="A1652" s="19">
        <v>45776</v>
      </c>
      <c r="B1652" s="26">
        <f>('Raw Price Data'!B1652-'Raw Price Data'!B1651)/'Raw Price Data'!B1651</f>
        <v>1.0653589244948044E-2</v>
      </c>
      <c r="C1652" s="26">
        <f>('Raw Price Data'!C1652-'Raw Price Data'!C1651)/'Raw Price Data'!C1651</f>
        <v>-4.4099866485591346E-2</v>
      </c>
      <c r="D1652" s="26">
        <f>('Raw Price Data'!D1652-'Raw Price Data'!D1651)/'Raw Price Data'!D1651</f>
        <v>-2.4395653138169029E-3</v>
      </c>
      <c r="E1652" s="26">
        <f>('Raw Price Data'!E1652-'Raw Price Data'!E1651)/'Raw Price Data'!E1651</f>
        <v>-1.2133262995576873E-2</v>
      </c>
      <c r="F1652" s="26">
        <f>('Raw Price Data'!F1652-'Raw Price Data'!F1651)/'Raw Price Data'!F1651</f>
        <v>-5.6623672090013368E-3</v>
      </c>
    </row>
    <row r="1653" spans="1:6" ht="15" customHeight="1" x14ac:dyDescent="0.3">
      <c r="A1653" s="21">
        <v>45777</v>
      </c>
      <c r="B1653" s="25">
        <f>('Raw Price Data'!B1653-'Raw Price Data'!B1652)/'Raw Price Data'!B1652</f>
        <v>-1.020664268384505E-2</v>
      </c>
      <c r="C1653" s="25">
        <f>('Raw Price Data'!C1653-'Raw Price Data'!C1652)/'Raw Price Data'!C1652</f>
        <v>-1.8748089223520437E-2</v>
      </c>
      <c r="D1653" s="25">
        <f>('Raw Price Data'!D1653-'Raw Price Data'!D1652)/'Raw Price Data'!D1652</f>
        <v>-1.7044612420334206E-3</v>
      </c>
      <c r="E1653" s="25">
        <f>('Raw Price Data'!E1653-'Raw Price Data'!E1652)/'Raw Price Data'!E1652</f>
        <v>-1.055701610253037E-2</v>
      </c>
      <c r="F1653" s="25">
        <f>('Raw Price Data'!F1653-'Raw Price Data'!F1652)/'Raw Price Data'!F1652</f>
        <v>5.7366055441033939E-3</v>
      </c>
    </row>
    <row r="1654" spans="1:6" ht="15" customHeight="1" x14ac:dyDescent="0.3">
      <c r="A1654" s="19">
        <v>45778</v>
      </c>
      <c r="B1654" s="26">
        <f>('Raw Price Data'!B1654-'Raw Price Data'!B1653)/'Raw Price Data'!B1653</f>
        <v>-5.3249936607217942E-3</v>
      </c>
      <c r="C1654" s="26">
        <f>('Raw Price Data'!C1654-'Raw Price Data'!C1653)/'Raw Price Data'!C1653</f>
        <v>-7.1415698624530313E-3</v>
      </c>
      <c r="D1654" s="26">
        <f>('Raw Price Data'!D1654-'Raw Price Data'!D1653)/'Raw Price Data'!D1653</f>
        <v>-7.0521861777152178E-3</v>
      </c>
      <c r="E1654" s="26">
        <f>('Raw Price Data'!E1654-'Raw Price Data'!E1653)/'Raw Price Data'!E1653</f>
        <v>6.9332004815875264E-3</v>
      </c>
      <c r="F1654" s="26">
        <f>('Raw Price Data'!F1654-'Raw Price Data'!F1653)/'Raw Price Data'!F1653</f>
        <v>-1.5088544448019351E-2</v>
      </c>
    </row>
    <row r="1655" spans="1:6" ht="15" customHeight="1" x14ac:dyDescent="0.3">
      <c r="A1655" s="21">
        <v>45779</v>
      </c>
      <c r="B1655" s="25">
        <f>('Raw Price Data'!B1655-'Raw Price Data'!B1654)/'Raw Price Data'!B1654</f>
        <v>1.614547926580538E-3</v>
      </c>
      <c r="C1655" s="25">
        <f>('Raw Price Data'!C1655-'Raw Price Data'!C1654)/'Raw Price Data'!C1654</f>
        <v>-1.3444457776095884E-2</v>
      </c>
      <c r="D1655" s="25">
        <f>('Raw Price Data'!D1655-'Raw Price Data'!D1654)/'Raw Price Data'!D1654</f>
        <v>-2.3549641148325192E-2</v>
      </c>
      <c r="E1655" s="25">
        <f>('Raw Price Data'!E1655-'Raw Price Data'!E1654)/'Raw Price Data'!E1654</f>
        <v>1.6079821885050499E-3</v>
      </c>
      <c r="F1655" s="25">
        <f>('Raw Price Data'!F1655-'Raw Price Data'!F1654)/'Raw Price Data'!F1654</f>
        <v>2.2058476853753692E-3</v>
      </c>
    </row>
    <row r="1656" spans="1:6" ht="15" customHeight="1" x14ac:dyDescent="0.3">
      <c r="A1656" s="19">
        <v>45782</v>
      </c>
      <c r="B1656" s="26">
        <f>('Raw Price Data'!B1656-'Raw Price Data'!B1655)/'Raw Price Data'!B1655</f>
        <v>-1.5864935946381643E-2</v>
      </c>
      <c r="C1656" s="26">
        <f>('Raw Price Data'!C1656-'Raw Price Data'!C1655)/'Raw Price Data'!C1655</f>
        <v>-2.6510036766654987E-2</v>
      </c>
      <c r="D1656" s="26">
        <f>('Raw Price Data'!D1656-'Raw Price Data'!D1655)/'Raw Price Data'!D1655</f>
        <v>3.2156802695045361E-3</v>
      </c>
      <c r="E1656" s="26">
        <f>('Raw Price Data'!E1656-'Raw Price Data'!E1655)/'Raw Price Data'!E1655</f>
        <v>-1.2349236405548924E-2</v>
      </c>
      <c r="F1656" s="26">
        <f>('Raw Price Data'!F1656-'Raw Price Data'!F1655)/'Raw Price Data'!F1655</f>
        <v>5.4646288525524523E-3</v>
      </c>
    </row>
    <row r="1657" spans="1:6" ht="15" customHeight="1" x14ac:dyDescent="0.3">
      <c r="A1657" s="21">
        <v>45783</v>
      </c>
      <c r="B1657" s="25">
        <f>('Raw Price Data'!B1657-'Raw Price Data'!B1656)/'Raw Price Data'!B1656</f>
        <v>-1.5948275862068918E-2</v>
      </c>
      <c r="C1657" s="25">
        <f>('Raw Price Data'!C1657-'Raw Price Data'!C1656)/'Raw Price Data'!C1656</f>
        <v>-3.3667552935899557E-3</v>
      </c>
      <c r="D1657" s="25">
        <f>('Raw Price Data'!D1657-'Raw Price Data'!D1656)/'Raw Price Data'!D1656</f>
        <v>1.6408456078760632E-2</v>
      </c>
      <c r="E1657" s="25">
        <f>('Raw Price Data'!E1657-'Raw Price Data'!E1656)/'Raw Price Data'!E1656</f>
        <v>1.1086566915350296E-2</v>
      </c>
      <c r="F1657" s="25">
        <f>('Raw Price Data'!F1657-'Raw Price Data'!F1656)/'Raw Price Data'!F1656</f>
        <v>1.3967920826102955E-2</v>
      </c>
    </row>
    <row r="1658" spans="1:6" ht="15" customHeight="1" x14ac:dyDescent="0.3">
      <c r="A1658" s="19">
        <v>45784</v>
      </c>
      <c r="B1658" s="26">
        <f>('Raw Price Data'!B1658-'Raw Price Data'!B1657)/'Raw Price Data'!B1657</f>
        <v>-1.1388523872098962E-3</v>
      </c>
      <c r="C1658" s="26">
        <f>('Raw Price Data'!C1658-'Raw Price Data'!C1657)/'Raw Price Data'!C1657</f>
        <v>2.2052655093388746E-2</v>
      </c>
      <c r="D1658" s="26">
        <f>('Raw Price Data'!D1658-'Raw Price Data'!D1657)/'Raw Price Data'!D1657</f>
        <v>2.0273314311458089E-2</v>
      </c>
      <c r="E1658" s="26">
        <f>('Raw Price Data'!E1658-'Raw Price Data'!E1657)/'Raw Price Data'!E1657</f>
        <v>-1.3809307885733106E-2</v>
      </c>
      <c r="F1658" s="26">
        <f>('Raw Price Data'!F1658-'Raw Price Data'!F1657)/'Raw Price Data'!F1657</f>
        <v>7.5976515468483257E-3</v>
      </c>
    </row>
    <row r="1659" spans="1:6" ht="15" customHeight="1" x14ac:dyDescent="0.3">
      <c r="A1659" s="21">
        <v>45785</v>
      </c>
      <c r="B1659" s="25">
        <f>('Raw Price Data'!B1659-'Raw Price Data'!B1658)/'Raw Price Data'!B1658</f>
        <v>-7.8933520435001928E-4</v>
      </c>
      <c r="C1659" s="25">
        <f>('Raw Price Data'!C1659-'Raw Price Data'!C1658)/'Raw Price Data'!C1658</f>
        <v>1.5224227938864033E-2</v>
      </c>
      <c r="D1659" s="25">
        <f>('Raw Price Data'!D1659-'Raw Price Data'!D1658)/'Raw Price Data'!D1658</f>
        <v>4.5334118339711488E-2</v>
      </c>
      <c r="E1659" s="25">
        <f>('Raw Price Data'!E1659-'Raw Price Data'!E1658)/'Raw Price Data'!E1658</f>
        <v>9.195786657749493E-3</v>
      </c>
      <c r="F1659" s="25">
        <f>('Raw Price Data'!F1659-'Raw Price Data'!F1658)/'Raw Price Data'!F1658</f>
        <v>1.8999550699301988E-3</v>
      </c>
    </row>
    <row r="1660" spans="1:6" ht="15" customHeight="1" x14ac:dyDescent="0.3">
      <c r="A1660" s="19">
        <v>45786</v>
      </c>
      <c r="B1660" s="26">
        <f>('Raw Price Data'!B1660-'Raw Price Data'!B1659)/'Raw Price Data'!B1659</f>
        <v>3.1598349863951498E-3</v>
      </c>
      <c r="C1660" s="26">
        <f>('Raw Price Data'!C1660-'Raw Price Data'!C1659)/'Raw Price Data'!C1659</f>
        <v>7.4034836643213197E-4</v>
      </c>
      <c r="D1660" s="26">
        <f>('Raw Price Data'!D1660-'Raw Price Data'!D1659)/'Raw Price Data'!D1659</f>
        <v>-4.2945649112924901E-3</v>
      </c>
      <c r="E1660" s="26">
        <f>('Raw Price Data'!E1660-'Raw Price Data'!E1659)/'Raw Price Data'!E1659</f>
        <v>-2.4685222001325415E-2</v>
      </c>
      <c r="F1660" s="26">
        <f>('Raw Price Data'!F1660-'Raw Price Data'!F1659)/'Raw Price Data'!F1659</f>
        <v>-1.8644709390861086E-3</v>
      </c>
    </row>
    <row r="1661" spans="1:6" ht="15" customHeight="1" x14ac:dyDescent="0.3">
      <c r="A1661" s="21">
        <v>45789</v>
      </c>
      <c r="B1661" s="25">
        <f>('Raw Price Data'!B1661-'Raw Price Data'!B1660)/'Raw Price Data'!B1660</f>
        <v>1.5749409397147581E-2</v>
      </c>
      <c r="C1661" s="25">
        <f>('Raw Price Data'!C1661-'Raw Price Data'!C1660)/'Raw Price Data'!C1660</f>
        <v>1.684207267999762E-2</v>
      </c>
      <c r="D1661" s="25">
        <f>('Raw Price Data'!D1661-'Raw Price Data'!D1660)/'Raw Price Data'!D1660</f>
        <v>3.606024181573859E-3</v>
      </c>
      <c r="E1661" s="25">
        <f>('Raw Price Data'!E1661-'Raw Price Data'!E1660)/'Raw Price Data'!E1660</f>
        <v>2.5479870901987431E-2</v>
      </c>
      <c r="F1661" s="25">
        <f>('Raw Price Data'!F1661-'Raw Price Data'!F1660)/'Raw Price Data'!F1660</f>
        <v>-2.4892580156243003E-3</v>
      </c>
    </row>
    <row r="1662" spans="1:6" ht="15" customHeight="1" x14ac:dyDescent="0.3">
      <c r="A1662" s="19">
        <v>45790</v>
      </c>
      <c r="B1662" s="26">
        <f>('Raw Price Data'!B1662-'Raw Price Data'!B1661)/'Raw Price Data'!B1661</f>
        <v>-5.2545438883624725E-3</v>
      </c>
      <c r="C1662" s="26">
        <f>('Raw Price Data'!C1662-'Raw Price Data'!C1661)/'Raw Price Data'!C1661</f>
        <v>-7.1719720792327571E-3</v>
      </c>
      <c r="D1662" s="26">
        <f>('Raw Price Data'!D1662-'Raw Price Data'!D1661)/'Raw Price Data'!D1661</f>
        <v>-1.6908552909680186E-2</v>
      </c>
      <c r="E1662" s="26">
        <f>('Raw Price Data'!E1662-'Raw Price Data'!E1661)/'Raw Price Data'!E1661</f>
        <v>9.6902434984263847E-3</v>
      </c>
      <c r="F1662" s="26">
        <f>('Raw Price Data'!F1662-'Raw Price Data'!F1661)/'Raw Price Data'!F1661</f>
        <v>1.4229984448884419E-2</v>
      </c>
    </row>
    <row r="1663" spans="1:6" ht="15" customHeight="1" x14ac:dyDescent="0.3">
      <c r="A1663" s="21">
        <v>45791</v>
      </c>
      <c r="B1663" s="25">
        <f>('Raw Price Data'!B1663-'Raw Price Data'!B1662)/'Raw Price Data'!B1662</f>
        <v>9.7852441981295061E-3</v>
      </c>
      <c r="C1663" s="25">
        <f>('Raw Price Data'!C1663-'Raw Price Data'!C1662)/'Raw Price Data'!C1662</f>
        <v>-1.4962669978077154E-2</v>
      </c>
      <c r="D1663" s="25">
        <f>('Raw Price Data'!D1663-'Raw Price Data'!D1662)/'Raw Price Data'!D1662</f>
        <v>2.9525584061917763E-2</v>
      </c>
      <c r="E1663" s="25">
        <f>('Raw Price Data'!E1663-'Raw Price Data'!E1662)/'Raw Price Data'!E1662</f>
        <v>9.2281191042572399E-3</v>
      </c>
      <c r="F1663" s="25">
        <f>('Raw Price Data'!F1663-'Raw Price Data'!F1662)/'Raw Price Data'!F1662</f>
        <v>1.4377045111559225E-2</v>
      </c>
    </row>
    <row r="1664" spans="1:6" ht="15" customHeight="1" x14ac:dyDescent="0.3">
      <c r="A1664" s="19">
        <v>45792</v>
      </c>
      <c r="B1664" s="26">
        <f>('Raw Price Data'!B1664-'Raw Price Data'!B1663)/'Raw Price Data'!B1663</f>
        <v>-1.7151187719749836E-3</v>
      </c>
      <c r="C1664" s="26">
        <f>('Raw Price Data'!C1664-'Raw Price Data'!C1663)/'Raw Price Data'!C1663</f>
        <v>1.2562837532877881E-2</v>
      </c>
      <c r="D1664" s="26">
        <f>('Raw Price Data'!D1664-'Raw Price Data'!D1663)/'Raw Price Data'!D1663</f>
        <v>1.6010023666991589E-2</v>
      </c>
      <c r="E1664" s="26">
        <f>('Raw Price Data'!E1664-'Raw Price Data'!E1663)/'Raw Price Data'!E1663</f>
        <v>8.1277685211532109E-4</v>
      </c>
      <c r="F1664" s="26">
        <f>('Raw Price Data'!F1664-'Raw Price Data'!F1663)/'Raw Price Data'!F1663</f>
        <v>6.4574142706587383E-3</v>
      </c>
    </row>
    <row r="1665" spans="1:6" ht="15" customHeight="1" x14ac:dyDescent="0.3">
      <c r="A1665" s="21">
        <v>45793</v>
      </c>
      <c r="B1665" s="25">
        <f>('Raw Price Data'!B1665-'Raw Price Data'!B1664)/'Raw Price Data'!B1664</f>
        <v>-2.3193883686968134E-3</v>
      </c>
      <c r="C1665" s="25">
        <f>('Raw Price Data'!C1665-'Raw Price Data'!C1664)/'Raw Price Data'!C1664</f>
        <v>-1.8515159805841362E-2</v>
      </c>
      <c r="D1665" s="25">
        <f>('Raw Price Data'!D1665-'Raw Price Data'!D1664)/'Raw Price Data'!D1664</f>
        <v>1.5552206083858466E-2</v>
      </c>
      <c r="E1665" s="25">
        <f>('Raw Price Data'!E1665-'Raw Price Data'!E1664)/'Raw Price Data'!E1664</f>
        <v>-2.4607138506517245E-2</v>
      </c>
      <c r="F1665" s="25">
        <f>('Raw Price Data'!F1665-'Raw Price Data'!F1664)/'Raw Price Data'!F1664</f>
        <v>7.5652011922504813E-4</v>
      </c>
    </row>
    <row r="1666" spans="1:6" ht="15" customHeight="1" x14ac:dyDescent="0.3">
      <c r="A1666" s="19">
        <v>45796</v>
      </c>
      <c r="B1666" s="26">
        <f>('Raw Price Data'!B1666-'Raw Price Data'!B1665)/'Raw Price Data'!B1665</f>
        <v>3.8746340623385814E-3</v>
      </c>
      <c r="C1666" s="26">
        <f>('Raw Price Data'!C1666-'Raw Price Data'!C1665)/'Raw Price Data'!C1665</f>
        <v>6.4865101886129265E-3</v>
      </c>
      <c r="D1666" s="26">
        <f>('Raw Price Data'!D1666-'Raw Price Data'!D1665)/'Raw Price Data'!D1665</f>
        <v>9.7820953922958722E-3</v>
      </c>
      <c r="E1666" s="26">
        <f>('Raw Price Data'!E1666-'Raw Price Data'!E1665)/'Raw Price Data'!E1665</f>
        <v>-3.109778943424503E-2</v>
      </c>
      <c r="F1666" s="26">
        <f>('Raw Price Data'!F1666-'Raw Price Data'!F1665)/'Raw Price Data'!F1665</f>
        <v>-9.3859693700425427E-3</v>
      </c>
    </row>
    <row r="1667" spans="1:6" ht="15" customHeight="1" x14ac:dyDescent="0.3">
      <c r="A1667" s="21">
        <v>45797</v>
      </c>
      <c r="B1667" s="25">
        <f>('Raw Price Data'!B1667-'Raw Price Data'!B1666)/'Raw Price Data'!B1666</f>
        <v>-2.8390084912942811E-2</v>
      </c>
      <c r="C1667" s="25">
        <f>('Raw Price Data'!C1667-'Raw Price Data'!C1666)/'Raw Price Data'!C1666</f>
        <v>1.4003466635971262E-4</v>
      </c>
      <c r="D1667" s="25">
        <f>('Raw Price Data'!D1667-'Raw Price Data'!D1666)/'Raw Price Data'!D1666</f>
        <v>-1.6702298236237305E-3</v>
      </c>
      <c r="E1667" s="25">
        <f>('Raw Price Data'!E1667-'Raw Price Data'!E1666)/'Raw Price Data'!E1666</f>
        <v>1.8905216120993285E-3</v>
      </c>
      <c r="F1667" s="25">
        <f>('Raw Price Data'!F1667-'Raw Price Data'!F1666)/'Raw Price Data'!F1666</f>
        <v>-1.497019997034741E-2</v>
      </c>
    </row>
    <row r="1668" spans="1:6" ht="15" customHeight="1" x14ac:dyDescent="0.3">
      <c r="A1668" s="19">
        <v>45798</v>
      </c>
      <c r="B1668" s="26">
        <f>('Raw Price Data'!B1668-'Raw Price Data'!B1667)/'Raw Price Data'!B1667</f>
        <v>1.2358757062146944E-3</v>
      </c>
      <c r="C1668" s="26">
        <f>('Raw Price Data'!C1668-'Raw Price Data'!C1667)/'Raw Price Data'!C1667</f>
        <v>-5.8028463505852912E-3</v>
      </c>
      <c r="D1668" s="26">
        <f>('Raw Price Data'!D1668-'Raw Price Data'!D1667)/'Raw Price Data'!D1667</f>
        <v>-3.9617212072542429E-2</v>
      </c>
      <c r="E1668" s="26">
        <f>('Raw Price Data'!E1668-'Raw Price Data'!E1667)/'Raw Price Data'!E1667</f>
        <v>-6.5614546702118578E-3</v>
      </c>
      <c r="F1668" s="26">
        <f>('Raw Price Data'!F1668-'Raw Price Data'!F1667)/'Raw Price Data'!F1667</f>
        <v>-4.8037256201053482E-3</v>
      </c>
    </row>
    <row r="1669" spans="1:6" ht="15" customHeight="1" x14ac:dyDescent="0.3">
      <c r="A1669" s="21">
        <v>45799</v>
      </c>
      <c r="B1669" s="25">
        <f>('Raw Price Data'!B1669-'Raw Price Data'!B1668)/'Raw Price Data'!B1668</f>
        <v>-8.4641156762476459E-3</v>
      </c>
      <c r="C1669" s="25">
        <f>('Raw Price Data'!C1669-'Raw Price Data'!C1668)/'Raw Price Data'!C1668</f>
        <v>-7.4828888770658861E-3</v>
      </c>
      <c r="D1669" s="25">
        <f>('Raw Price Data'!D1669-'Raw Price Data'!D1668)/'Raw Price Data'!D1668</f>
        <v>2.0137969479478886E-2</v>
      </c>
      <c r="E1669" s="25">
        <f>('Raw Price Data'!E1669-'Raw Price Data'!E1668)/'Raw Price Data'!E1668</f>
        <v>6.6911288581911633E-3</v>
      </c>
      <c r="F1669" s="25">
        <f>('Raw Price Data'!F1669-'Raw Price Data'!F1668)/'Raw Price Data'!F1668</f>
        <v>9.1516012139260736E-3</v>
      </c>
    </row>
    <row r="1670" spans="1:6" ht="15" customHeight="1" x14ac:dyDescent="0.3">
      <c r="A1670" s="19">
        <v>45800</v>
      </c>
      <c r="B1670" s="26">
        <f>('Raw Price Data'!B1670-'Raw Price Data'!B1669)/'Raw Price Data'!B1669</f>
        <v>-1.2626711719722458E-2</v>
      </c>
      <c r="C1670" s="26">
        <f>('Raw Price Data'!C1670-'Raw Price Data'!C1669)/'Raw Price Data'!C1669</f>
        <v>2.0653469467550402E-2</v>
      </c>
      <c r="D1670" s="26">
        <f>('Raw Price Data'!D1670-'Raw Price Data'!D1669)/'Raw Price Data'!D1669</f>
        <v>1.0860655737704941E-2</v>
      </c>
      <c r="E1670" s="26">
        <f>('Raw Price Data'!E1670-'Raw Price Data'!E1669)/'Raw Price Data'!E1669</f>
        <v>2.00686106346484E-2</v>
      </c>
      <c r="F1670" s="26">
        <f>('Raw Price Data'!F1670-'Raw Price Data'!F1669)/'Raw Price Data'!F1669</f>
        <v>2.1707524350684433E-3</v>
      </c>
    </row>
    <row r="1671" spans="1:6" ht="15" customHeight="1" x14ac:dyDescent="0.3">
      <c r="A1671" s="21">
        <v>45803</v>
      </c>
      <c r="B1671" s="25">
        <f>('Raw Price Data'!B1671-'Raw Price Data'!B1670)/'Raw Price Data'!B1670</f>
        <v>-2.5756484149855902E-2</v>
      </c>
      <c r="C1671" s="25">
        <f>('Raw Price Data'!C1671-'Raw Price Data'!C1670)/'Raw Price Data'!C1670</f>
        <v>-2.74400039544253E-2</v>
      </c>
      <c r="D1671" s="25">
        <f>('Raw Price Data'!D1671-'Raw Price Data'!D1670)/'Raw Price Data'!D1670</f>
        <v>4.459760794648264E-3</v>
      </c>
      <c r="E1671" s="25">
        <f>('Raw Price Data'!E1671-'Raw Price Data'!E1670)/'Raw Price Data'!E1670</f>
        <v>8.3235244661174473E-3</v>
      </c>
      <c r="F1671" s="25">
        <f>('Raw Price Data'!F1671-'Raw Price Data'!F1670)/'Raw Price Data'!F1670</f>
        <v>1.4826490410658718E-2</v>
      </c>
    </row>
    <row r="1672" spans="1:6" ht="15" customHeight="1" x14ac:dyDescent="0.3">
      <c r="A1672" s="19">
        <v>45804</v>
      </c>
      <c r="B1672" s="26">
        <f>('Raw Price Data'!B1672-'Raw Price Data'!B1671)/'Raw Price Data'!B1671</f>
        <v>-5.8236272878536667E-3</v>
      </c>
      <c r="C1672" s="26">
        <f>('Raw Price Data'!C1672-'Raw Price Data'!C1671)/'Raw Price Data'!C1671</f>
        <v>5.3397965731275601E-3</v>
      </c>
      <c r="D1672" s="26">
        <f>('Raw Price Data'!D1672-'Raw Price Data'!D1671)/'Raw Price Data'!D1671</f>
        <v>-1.2579885637403327E-2</v>
      </c>
      <c r="E1672" s="26">
        <f>('Raw Price Data'!E1672-'Raw Price Data'!E1671)/'Raw Price Data'!E1671</f>
        <v>-1.7635287250896432E-2</v>
      </c>
      <c r="F1672" s="26">
        <f>('Raw Price Data'!F1672-'Raw Price Data'!F1671)/'Raw Price Data'!F1671</f>
        <v>-1.7799157518995962E-3</v>
      </c>
    </row>
    <row r="1673" spans="1:6" ht="15" customHeight="1" x14ac:dyDescent="0.3">
      <c r="A1673" s="21">
        <v>45805</v>
      </c>
      <c r="B1673" s="25">
        <f>('Raw Price Data'!B1673-'Raw Price Data'!B1672)/'Raw Price Data'!B1672</f>
        <v>-2.5755462575546222E-2</v>
      </c>
      <c r="C1673" s="25">
        <f>('Raw Price Data'!C1673-'Raw Price Data'!C1672)/'Raw Price Data'!C1672</f>
        <v>-4.493075544967029E-3</v>
      </c>
      <c r="D1673" s="25">
        <f>('Raw Price Data'!D1673-'Raw Price Data'!D1672)/'Raw Price Data'!D1672</f>
        <v>1.403460961983923E-2</v>
      </c>
      <c r="E1673" s="25">
        <f>('Raw Price Data'!E1673-'Raw Price Data'!E1672)/'Raw Price Data'!E1672</f>
        <v>1.2434749395238327E-2</v>
      </c>
      <c r="F1673" s="25">
        <f>('Raw Price Data'!F1673-'Raw Price Data'!F1672)/'Raw Price Data'!F1672</f>
        <v>-1.8096768061405619E-2</v>
      </c>
    </row>
    <row r="1674" spans="1:6" ht="15" customHeight="1" x14ac:dyDescent="0.3">
      <c r="A1674" s="19">
        <v>45806</v>
      </c>
      <c r="B1674" s="26">
        <f>('Raw Price Data'!B1674-'Raw Price Data'!B1673)/'Raw Price Data'!B1673</f>
        <v>1.2406947890818832E-2</v>
      </c>
      <c r="C1674" s="26">
        <f>('Raw Price Data'!C1674-'Raw Price Data'!C1673)/'Raw Price Data'!C1673</f>
        <v>-1.2483138400012672E-2</v>
      </c>
      <c r="D1674" s="26">
        <f>('Raw Price Data'!D1674-'Raw Price Data'!D1673)/'Raw Price Data'!D1673</f>
        <v>5.1061542596075715E-3</v>
      </c>
      <c r="E1674" s="26">
        <f>('Raw Price Data'!E1674-'Raw Price Data'!E1673)/'Raw Price Data'!E1673</f>
        <v>-1.1024480214621041E-2</v>
      </c>
      <c r="F1674" s="26">
        <f>('Raw Price Data'!F1674-'Raw Price Data'!F1673)/'Raw Price Data'!F1673</f>
        <v>-7.4555039267826684E-3</v>
      </c>
    </row>
    <row r="1675" spans="1:6" ht="15" customHeight="1" x14ac:dyDescent="0.3">
      <c r="A1675" s="21">
        <v>45807</v>
      </c>
      <c r="B1675" s="25">
        <f>('Raw Price Data'!B1675-'Raw Price Data'!B1674)/'Raw Price Data'!B1674</f>
        <v>-3.0165912518853055E-3</v>
      </c>
      <c r="C1675" s="25">
        <f>('Raw Price Data'!C1675-'Raw Price Data'!C1674)/'Raw Price Data'!C1674</f>
        <v>1.2824138950669752E-3</v>
      </c>
      <c r="D1675" s="25">
        <f>('Raw Price Data'!D1675-'Raw Price Data'!D1674)/'Raw Price Data'!D1674</f>
        <v>3.5427807486631095E-3</v>
      </c>
      <c r="E1675" s="25">
        <f>('Raw Price Data'!E1675-'Raw Price Data'!E1674)/'Raw Price Data'!E1674</f>
        <v>8.053236129360427E-3</v>
      </c>
      <c r="F1675" s="25">
        <f>('Raw Price Data'!F1675-'Raw Price Data'!F1674)/'Raw Price Data'!F1674</f>
        <v>9.8093441322191777E-3</v>
      </c>
    </row>
    <row r="1676" spans="1:6" ht="15" customHeight="1" x14ac:dyDescent="0.3">
      <c r="A1676" s="19">
        <v>45810</v>
      </c>
      <c r="B1676" s="26">
        <f>('Raw Price Data'!B1676-'Raw Price Data'!B1675)/'Raw Price Data'!B1675</f>
        <v>-2.2976550680786752E-2</v>
      </c>
      <c r="C1676" s="26">
        <f>('Raw Price Data'!C1676-'Raw Price Data'!C1675)/'Raw Price Data'!C1675</f>
        <v>6.1663205266891691E-3</v>
      </c>
      <c r="D1676" s="26">
        <f>('Raw Price Data'!D1676-'Raw Price Data'!D1675)/'Raw Price Data'!D1675</f>
        <v>-1.7051888363418387E-2</v>
      </c>
      <c r="E1676" s="26">
        <f>('Raw Price Data'!E1676-'Raw Price Data'!E1675)/'Raw Price Data'!E1675</f>
        <v>1.1773115250388861E-2</v>
      </c>
      <c r="F1676" s="26">
        <f>('Raw Price Data'!F1676-'Raw Price Data'!F1675)/'Raw Price Data'!F1675</f>
        <v>3.1472057284695856E-3</v>
      </c>
    </row>
    <row r="1677" spans="1:6" ht="15" customHeight="1" x14ac:dyDescent="0.3">
      <c r="A1677" s="21">
        <v>45811</v>
      </c>
      <c r="B1677" s="25">
        <f>('Raw Price Data'!B1677-'Raw Price Data'!B1676)/'Raw Price Data'!B1676</f>
        <v>-9.000290331946121E-3</v>
      </c>
      <c r="C1677" s="25">
        <f>('Raw Price Data'!C1677-'Raw Price Data'!C1676)/'Raw Price Data'!C1676</f>
        <v>-4.625907634980214E-4</v>
      </c>
      <c r="D1677" s="25">
        <f>('Raw Price Data'!D1677-'Raw Price Data'!D1676)/'Raw Price Data'!D1676</f>
        <v>-1.7212170495358083E-2</v>
      </c>
      <c r="E1677" s="25">
        <f>('Raw Price Data'!E1677-'Raw Price Data'!E1676)/'Raw Price Data'!E1676</f>
        <v>-9.3504550554793665E-3</v>
      </c>
      <c r="F1677" s="25">
        <f>('Raw Price Data'!F1677-'Raw Price Data'!F1676)/'Raw Price Data'!F1676</f>
        <v>1.74454150871656E-3</v>
      </c>
    </row>
    <row r="1678" spans="1:6" ht="15" customHeight="1" x14ac:dyDescent="0.3">
      <c r="A1678" s="19">
        <v>45812</v>
      </c>
      <c r="B1678" s="26">
        <f>('Raw Price Data'!B1678-'Raw Price Data'!B1677)/'Raw Price Data'!B1677</f>
        <v>1.0742187499999944E-2</v>
      </c>
      <c r="C1678" s="26">
        <f>('Raw Price Data'!C1678-'Raw Price Data'!C1677)/'Raw Price Data'!C1677</f>
        <v>4.9184984695521813E-3</v>
      </c>
      <c r="D1678" s="26">
        <f>('Raw Price Data'!D1678-'Raw Price Data'!D1677)/'Raw Price Data'!D1677</f>
        <v>-1.0342687719782505E-3</v>
      </c>
      <c r="E1678" s="26">
        <f>('Raw Price Data'!E1678-'Raw Price Data'!E1677)/'Raw Price Data'!E1677</f>
        <v>2.8064434935816753E-2</v>
      </c>
      <c r="F1678" s="26">
        <f>('Raw Price Data'!F1678-'Raw Price Data'!F1677)/'Raw Price Data'!F1677</f>
        <v>-1.5702855062828703E-4</v>
      </c>
    </row>
    <row r="1679" spans="1:6" ht="15" customHeight="1" x14ac:dyDescent="0.3">
      <c r="A1679" s="21">
        <v>45813</v>
      </c>
      <c r="B1679" s="25">
        <f>('Raw Price Data'!B1679-'Raw Price Data'!B1678)/'Raw Price Data'!B1678</f>
        <v>-7.9227053140095965E-3</v>
      </c>
      <c r="C1679" s="25">
        <f>('Raw Price Data'!C1679-'Raw Price Data'!C1678)/'Raw Price Data'!C1678</f>
        <v>2.554883626384797E-2</v>
      </c>
      <c r="D1679" s="25">
        <f>('Raw Price Data'!D1679-'Raw Price Data'!D1678)/'Raw Price Data'!D1678</f>
        <v>-1.3114301490888855E-3</v>
      </c>
      <c r="E1679" s="25">
        <f>('Raw Price Data'!E1679-'Raw Price Data'!E1678)/'Raw Price Data'!E1678</f>
        <v>-5.9574815358876222E-3</v>
      </c>
      <c r="F1679" s="25">
        <f>('Raw Price Data'!F1679-'Raw Price Data'!F1678)/'Raw Price Data'!F1678</f>
        <v>-5.3799240203048935E-3</v>
      </c>
    </row>
    <row r="1680" spans="1:6" ht="15" customHeight="1" x14ac:dyDescent="0.3">
      <c r="A1680" s="19">
        <v>45814</v>
      </c>
      <c r="B1680" s="26">
        <f>('Raw Price Data'!B1680-'Raw Price Data'!B1679)/'Raw Price Data'!B1679</f>
        <v>-3.6034281262174186E-3</v>
      </c>
      <c r="C1680" s="26">
        <f>('Raw Price Data'!C1680-'Raw Price Data'!C1679)/'Raw Price Data'!C1679</f>
        <v>-1.0003344771626482E-2</v>
      </c>
      <c r="D1680" s="26">
        <f>('Raw Price Data'!D1680-'Raw Price Data'!D1679)/'Raw Price Data'!D1679</f>
        <v>-1.5965166908563151E-2</v>
      </c>
      <c r="E1680" s="26">
        <f>('Raw Price Data'!E1680-'Raw Price Data'!E1679)/'Raw Price Data'!E1679</f>
        <v>1.0262304503099215E-3</v>
      </c>
      <c r="F1680" s="26">
        <f>('Raw Price Data'!F1680-'Raw Price Data'!F1679)/'Raw Price Data'!F1679</f>
        <v>7.5970231342699021E-3</v>
      </c>
    </row>
    <row r="1681" spans="1:6" ht="15" customHeight="1" x14ac:dyDescent="0.3">
      <c r="A1681" s="21">
        <v>45817</v>
      </c>
      <c r="B1681" s="25">
        <f>('Raw Price Data'!B1681-'Raw Price Data'!B1680)/'Raw Price Data'!B1680</f>
        <v>-4.7893656534064031E-3</v>
      </c>
      <c r="C1681" s="25">
        <f>('Raw Price Data'!C1681-'Raw Price Data'!C1680)/'Raw Price Data'!C1680</f>
        <v>7.967790979221883E-3</v>
      </c>
      <c r="D1681" s="25">
        <f>('Raw Price Data'!D1681-'Raw Price Data'!D1680)/'Raw Price Data'!D1680</f>
        <v>2.7742660486023439E-2</v>
      </c>
      <c r="E1681" s="25">
        <f>('Raw Price Data'!E1681-'Raw Price Data'!E1680)/'Raw Price Data'!E1680</f>
        <v>2.4481259739194614E-2</v>
      </c>
      <c r="F1681" s="25">
        <f>('Raw Price Data'!F1681-'Raw Price Data'!F1680)/'Raw Price Data'!F1680</f>
        <v>-5.6310648082239147E-3</v>
      </c>
    </row>
    <row r="1682" spans="1:6" ht="15" customHeight="1" x14ac:dyDescent="0.3">
      <c r="A1682" s="19">
        <v>45818</v>
      </c>
      <c r="B1682" s="26">
        <f>('Raw Price Data'!B1682-'Raw Price Data'!B1681)/'Raw Price Data'!B1681</f>
        <v>-1.4731879787860094E-3</v>
      </c>
      <c r="C1682" s="26">
        <f>('Raw Price Data'!C1682-'Raw Price Data'!C1681)/'Raw Price Data'!C1681</f>
        <v>-3.0070544274058243E-2</v>
      </c>
      <c r="D1682" s="26">
        <f>('Raw Price Data'!D1682-'Raw Price Data'!D1681)/'Raw Price Data'!D1681</f>
        <v>-6.560513906922763E-3</v>
      </c>
      <c r="E1682" s="26">
        <f>('Raw Price Data'!E1682-'Raw Price Data'!E1681)/'Raw Price Data'!E1681</f>
        <v>4.0427490693671327E-3</v>
      </c>
      <c r="F1682" s="26">
        <f>('Raw Price Data'!F1682-'Raw Price Data'!F1681)/'Raw Price Data'!F1681</f>
        <v>4.8159027515376346E-3</v>
      </c>
    </row>
    <row r="1683" spans="1:6" ht="15" customHeight="1" x14ac:dyDescent="0.3">
      <c r="A1683" s="21">
        <v>45819</v>
      </c>
      <c r="B1683" s="25">
        <f>('Raw Price Data'!B1683-'Raw Price Data'!B1682)/'Raw Price Data'!B1682</f>
        <v>-2.3212353693321523E-2</v>
      </c>
      <c r="C1683" s="25">
        <f>('Raw Price Data'!C1683-'Raw Price Data'!C1682)/'Raw Price Data'!C1682</f>
        <v>8.6554460514527663E-3</v>
      </c>
      <c r="D1683" s="25">
        <f>('Raw Price Data'!D1683-'Raw Price Data'!D1682)/'Raw Price Data'!D1682</f>
        <v>-6.1910985760475616E-4</v>
      </c>
      <c r="E1683" s="25">
        <f>('Raw Price Data'!E1683-'Raw Price Data'!E1682)/'Raw Price Data'!E1682</f>
        <v>-1.5268697177483704E-2</v>
      </c>
      <c r="F1683" s="25">
        <f>('Raw Price Data'!F1683-'Raw Price Data'!F1682)/'Raw Price Data'!F1682</f>
        <v>5.6822981201551338E-4</v>
      </c>
    </row>
    <row r="1684" spans="1:6" ht="15" customHeight="1" x14ac:dyDescent="0.3">
      <c r="A1684" s="19">
        <v>45820</v>
      </c>
      <c r="B1684" s="26">
        <f>('Raw Price Data'!B1684-'Raw Price Data'!B1683)/'Raw Price Data'!B1683</f>
        <v>-3.0208438223744974E-4</v>
      </c>
      <c r="C1684" s="26">
        <f>('Raw Price Data'!C1684-'Raw Price Data'!C1683)/'Raw Price Data'!C1683</f>
        <v>-3.2335633277817383E-2</v>
      </c>
      <c r="D1684" s="26">
        <f>('Raw Price Data'!D1684-'Raw Price Data'!D1683)/'Raw Price Data'!D1683</f>
        <v>4.5429515418501966E-3</v>
      </c>
      <c r="E1684" s="26">
        <f>('Raw Price Data'!E1684-'Raw Price Data'!E1683)/'Raw Price Data'!E1683</f>
        <v>-6.1131128294400674E-3</v>
      </c>
      <c r="F1684" s="26">
        <f>('Raw Price Data'!F1684-'Raw Price Data'!F1683)/'Raw Price Data'!F1683</f>
        <v>-1.7879158734475573E-2</v>
      </c>
    </row>
    <row r="1685" spans="1:6" ht="15" customHeight="1" x14ac:dyDescent="0.3">
      <c r="A1685" s="21">
        <v>45821</v>
      </c>
      <c r="B1685" s="25">
        <f>('Raw Price Data'!B1685-'Raw Price Data'!B1684)/'Raw Price Data'!B1684</f>
        <v>-7.453666398066024E-3</v>
      </c>
      <c r="C1685" s="25">
        <f>('Raw Price Data'!C1685-'Raw Price Data'!C1684)/'Raw Price Data'!C1684</f>
        <v>1.1733195205748892E-2</v>
      </c>
      <c r="D1685" s="25">
        <f>('Raw Price Data'!D1685-'Raw Price Data'!D1684)/'Raw Price Data'!D1684</f>
        <v>2.3571330683842661E-2</v>
      </c>
      <c r="E1685" s="25">
        <f>('Raw Price Data'!E1685-'Raw Price Data'!E1684)/'Raw Price Data'!E1684</f>
        <v>4.8472505091649602E-3</v>
      </c>
      <c r="F1685" s="25">
        <f>('Raw Price Data'!F1685-'Raw Price Data'!F1684)/'Raw Price Data'!F1684</f>
        <v>1.7779467452480775E-2</v>
      </c>
    </row>
    <row r="1686" spans="1:6" ht="15" customHeight="1" x14ac:dyDescent="0.3">
      <c r="A1686" s="19">
        <v>45824</v>
      </c>
      <c r="B1686" s="26">
        <f>('Raw Price Data'!B1686-'Raw Price Data'!B1685)/'Raw Price Data'!B1685</f>
        <v>4.13030241526283E-2</v>
      </c>
      <c r="C1686" s="26">
        <f>('Raw Price Data'!C1686-'Raw Price Data'!C1685)/'Raw Price Data'!C1685</f>
        <v>-7.7865014532859161E-3</v>
      </c>
      <c r="D1686" s="26">
        <f>('Raw Price Data'!D1686-'Raw Price Data'!D1685)/'Raw Price Data'!D1685</f>
        <v>-1.1848975766501419E-2</v>
      </c>
      <c r="E1686" s="26">
        <f>('Raw Price Data'!E1686-'Raw Price Data'!E1685)/'Raw Price Data'!E1685</f>
        <v>-7.9046576675178906E-3</v>
      </c>
      <c r="F1686" s="26">
        <f>('Raw Price Data'!F1686-'Raw Price Data'!F1685)/'Raw Price Data'!F1685</f>
        <v>-2.5314260158722035E-3</v>
      </c>
    </row>
    <row r="1687" spans="1:6" ht="15" customHeight="1" x14ac:dyDescent="0.3">
      <c r="A1687" s="21">
        <v>45825</v>
      </c>
      <c r="B1687" s="25">
        <f>('Raw Price Data'!B1687-'Raw Price Data'!B1686)/'Raw Price Data'!B1686</f>
        <v>-2.6313224831887344E-3</v>
      </c>
      <c r="C1687" s="25">
        <f>('Raw Price Data'!C1687-'Raw Price Data'!C1686)/'Raw Price Data'!C1686</f>
        <v>3.4910910230954301E-3</v>
      </c>
      <c r="D1687" s="25">
        <f>('Raw Price Data'!D1687-'Raw Price Data'!D1686)/'Raw Price Data'!D1686</f>
        <v>-2.5066052435472157E-3</v>
      </c>
      <c r="E1687" s="25">
        <f>('Raw Price Data'!E1687-'Raw Price Data'!E1686)/'Raw Price Data'!E1686</f>
        <v>-9.1117103865327211E-3</v>
      </c>
      <c r="F1687" s="25">
        <f>('Raw Price Data'!F1687-'Raw Price Data'!F1686)/'Raw Price Data'!F1686</f>
        <v>9.8504130589242116E-3</v>
      </c>
    </row>
    <row r="1688" spans="1:6" ht="15" customHeight="1" x14ac:dyDescent="0.3">
      <c r="A1688" s="19">
        <v>45826</v>
      </c>
      <c r="B1688" s="26">
        <f>('Raw Price Data'!B1688-'Raw Price Data'!B1687)/'Raw Price Data'!B1687</f>
        <v>-6.0582372483877715E-3</v>
      </c>
      <c r="C1688" s="26">
        <f>('Raw Price Data'!C1688-'Raw Price Data'!C1687)/'Raw Price Data'!C1687</f>
        <v>-2.5078349502240631E-2</v>
      </c>
      <c r="D1688" s="26">
        <f>('Raw Price Data'!D1688-'Raw Price Data'!D1687)/'Raw Price Data'!D1687</f>
        <v>-1.9695734854659096E-2</v>
      </c>
      <c r="E1688" s="26">
        <f>('Raw Price Data'!E1688-'Raw Price Data'!E1687)/'Raw Price Data'!E1687</f>
        <v>1.8390994185806805E-2</v>
      </c>
      <c r="F1688" s="26">
        <f>('Raw Price Data'!F1688-'Raw Price Data'!F1687)/'Raw Price Data'!F1687</f>
        <v>7.0185850511528822E-3</v>
      </c>
    </row>
    <row r="1689" spans="1:6" ht="15" customHeight="1" x14ac:dyDescent="0.3">
      <c r="A1689" s="21">
        <v>45827</v>
      </c>
      <c r="B1689" s="25">
        <f>('Raw Price Data'!B1689-'Raw Price Data'!B1688)/'Raw Price Data'!B1688</f>
        <v>1.4058198977585597E-2</v>
      </c>
      <c r="C1689" s="25">
        <f>('Raw Price Data'!C1689-'Raw Price Data'!C1688)/'Raw Price Data'!C1688</f>
        <v>1.0181225819589285E-3</v>
      </c>
      <c r="D1689" s="25">
        <f>('Raw Price Data'!D1689-'Raw Price Data'!D1688)/'Raw Price Data'!D1688</f>
        <v>1.690453096854647E-2</v>
      </c>
      <c r="E1689" s="25">
        <f>('Raw Price Data'!E1689-'Raw Price Data'!E1688)/'Raw Price Data'!E1688</f>
        <v>-3.1987690812648986E-3</v>
      </c>
      <c r="F1689" s="25">
        <f>('Raw Price Data'!F1689-'Raw Price Data'!F1688)/'Raw Price Data'!F1688</f>
        <v>7.6182429537842439E-5</v>
      </c>
    </row>
    <row r="1690" spans="1:6" ht="15" customHeight="1" x14ac:dyDescent="0.3">
      <c r="A1690" s="19">
        <v>45828</v>
      </c>
      <c r="B1690" s="26">
        <f>('Raw Price Data'!B1690-'Raw Price Data'!B1689)/'Raw Price Data'!B1689</f>
        <v>-1.8419777023752973E-3</v>
      </c>
      <c r="C1690" s="26">
        <f>('Raw Price Data'!C1690-'Raw Price Data'!C1689)/'Raw Price Data'!C1689</f>
        <v>1.5129586895916942E-2</v>
      </c>
      <c r="D1690" s="26">
        <f>('Raw Price Data'!D1690-'Raw Price Data'!D1689)/'Raw Price Data'!D1689</f>
        <v>7.1535631557433669E-3</v>
      </c>
      <c r="E1690" s="26">
        <f>('Raw Price Data'!E1690-'Raw Price Data'!E1689)/'Raw Price Data'!E1689</f>
        <v>3.3308960922901892E-2</v>
      </c>
      <c r="F1690" s="26">
        <f>('Raw Price Data'!F1690-'Raw Price Data'!F1689)/'Raw Price Data'!F1689</f>
        <v>-4.8678540411141559E-3</v>
      </c>
    </row>
    <row r="1691" spans="1:6" ht="15" customHeight="1" x14ac:dyDescent="0.3">
      <c r="A1691" s="21">
        <v>45831</v>
      </c>
      <c r="B1691" s="25">
        <f>('Raw Price Data'!B1691-'Raw Price Data'!B1690)/'Raw Price Data'!B1690</f>
        <v>3.7878787878787936E-3</v>
      </c>
      <c r="C1691" s="25">
        <f>('Raw Price Data'!C1691-'Raw Price Data'!C1690)/'Raw Price Data'!C1690</f>
        <v>1.1530387992628406E-2</v>
      </c>
      <c r="D1691" s="25">
        <f>('Raw Price Data'!D1691-'Raw Price Data'!D1690)/'Raw Price Data'!D1690</f>
        <v>2.8411012649664307E-3</v>
      </c>
      <c r="E1691" s="25">
        <f>('Raw Price Data'!E1691-'Raw Price Data'!E1690)/'Raw Price Data'!E1690</f>
        <v>-2.5552323295856818E-3</v>
      </c>
      <c r="F1691" s="25">
        <f>('Raw Price Data'!F1691-'Raw Price Data'!F1690)/'Raw Price Data'!F1690</f>
        <v>2.6434760474754741E-3</v>
      </c>
    </row>
    <row r="1692" spans="1:6" ht="15" customHeight="1" x14ac:dyDescent="0.3">
      <c r="A1692" s="19">
        <v>45832</v>
      </c>
      <c r="B1692" s="26">
        <f>('Raw Price Data'!B1692-'Raw Price Data'!B1691)/'Raw Price Data'!B1691</f>
        <v>-1.1804547653604247E-2</v>
      </c>
      <c r="C1692" s="26">
        <f>('Raw Price Data'!C1692-'Raw Price Data'!C1691)/'Raw Price Data'!C1691</f>
        <v>2.8903329728531893E-4</v>
      </c>
      <c r="D1692" s="26">
        <f>('Raw Price Data'!D1692-'Raw Price Data'!D1691)/'Raw Price Data'!D1691</f>
        <v>4.9241146711635061E-3</v>
      </c>
      <c r="E1692" s="26">
        <f>('Raw Price Data'!E1692-'Raw Price Data'!E1691)/'Raw Price Data'!E1691</f>
        <v>-1.8799511291530294E-2</v>
      </c>
      <c r="F1692" s="26">
        <f>('Raw Price Data'!F1692-'Raw Price Data'!F1691)/'Raw Price Data'!F1691</f>
        <v>-5.6941372450597869E-3</v>
      </c>
    </row>
    <row r="1693" spans="1:6" ht="15" customHeight="1" x14ac:dyDescent="0.3">
      <c r="A1693" s="21">
        <v>45833</v>
      </c>
      <c r="B1693" s="25">
        <f>('Raw Price Data'!B1693-'Raw Price Data'!B1692)/'Raw Price Data'!B1692</f>
        <v>2.193283070596308E-2</v>
      </c>
      <c r="C1693" s="25">
        <f>('Raw Price Data'!C1693-'Raw Price Data'!C1692)/'Raw Price Data'!C1692</f>
        <v>4.8050075971066652E-4</v>
      </c>
      <c r="D1693" s="25">
        <f>('Raw Price Data'!D1693-'Raw Price Data'!D1692)/'Raw Price Data'!D1692</f>
        <v>2.899718082964171E-2</v>
      </c>
      <c r="E1693" s="25">
        <f>('Raw Price Data'!E1693-'Raw Price Data'!E1692)/'Raw Price Data'!E1692</f>
        <v>-4.1773778920309304E-3</v>
      </c>
      <c r="F1693" s="25">
        <f>('Raw Price Data'!F1693-'Raw Price Data'!F1692)/'Raw Price Data'!F1692</f>
        <v>-9.1416920972817485E-3</v>
      </c>
    </row>
    <row r="1694" spans="1:6" ht="15" customHeight="1" x14ac:dyDescent="0.3">
      <c r="A1694" s="19">
        <v>45834</v>
      </c>
      <c r="B1694" s="26">
        <f>('Raw Price Data'!B1694-'Raw Price Data'!B1693)/'Raw Price Data'!B1693</f>
        <v>-8.431541630736894E-3</v>
      </c>
      <c r="C1694" s="26">
        <f>('Raw Price Data'!C1694-'Raw Price Data'!C1693)/'Raw Price Data'!C1693</f>
        <v>2.0800882658359266E-2</v>
      </c>
      <c r="D1694" s="26">
        <f>('Raw Price Data'!D1694-'Raw Price Data'!D1693)/'Raw Price Data'!D1693</f>
        <v>-1.369863013698682E-3</v>
      </c>
      <c r="E1694" s="26">
        <f>('Raw Price Data'!E1694-'Raw Price Data'!E1693)/'Raw Price Data'!E1693</f>
        <v>1.8070345272668677E-2</v>
      </c>
      <c r="F1694" s="26">
        <f>('Raw Price Data'!F1694-'Raw Price Data'!F1693)/'Raw Price Data'!F1693</f>
        <v>-5.4372096733335557E-3</v>
      </c>
    </row>
    <row r="1695" spans="1:6" ht="15" customHeight="1" x14ac:dyDescent="0.3">
      <c r="A1695" s="21">
        <v>45835</v>
      </c>
      <c r="B1695" s="25">
        <f>('Raw Price Data'!B1695-'Raw Price Data'!B1694)/'Raw Price Data'!B1694</f>
        <v>5.507778529326577E-3</v>
      </c>
      <c r="C1695" s="25">
        <f>('Raw Price Data'!C1695-'Raw Price Data'!C1694)/'Raw Price Data'!C1694</f>
        <v>1.3577264201926452E-2</v>
      </c>
      <c r="D1695" s="25">
        <f>('Raw Price Data'!D1695-'Raw Price Data'!D1694)/'Raw Price Data'!D1694</f>
        <v>-8.7530210987001329E-3</v>
      </c>
      <c r="E1695" s="25">
        <f>('Raw Price Data'!E1695-'Raw Price Data'!E1694)/'Raw Price Data'!E1694</f>
        <v>-1.0459587955626048E-2</v>
      </c>
      <c r="F1695" s="25">
        <f>('Raw Price Data'!F1695-'Raw Price Data'!F1694)/'Raw Price Data'!F1694</f>
        <v>-1.862495461207956E-2</v>
      </c>
    </row>
    <row r="1696" spans="1:6" ht="15" customHeight="1" x14ac:dyDescent="0.3">
      <c r="A1696" s="19">
        <v>45838</v>
      </c>
      <c r="B1696" s="26">
        <f>('Raw Price Data'!B1696-'Raw Price Data'!B1695)/'Raw Price Data'!B1695</f>
        <v>1.6048433596002321E-2</v>
      </c>
      <c r="C1696" s="26">
        <f>('Raw Price Data'!C1696-'Raw Price Data'!C1695)/'Raw Price Data'!C1695</f>
        <v>-1.0425258984885815E-2</v>
      </c>
      <c r="D1696" s="26">
        <f>('Raw Price Data'!D1696-'Raw Price Data'!D1695)/'Raw Price Data'!D1695</f>
        <v>-8.7644151565074956E-3</v>
      </c>
      <c r="E1696" s="26">
        <f>('Raw Price Data'!E1696-'Raw Price Data'!E1695)/'Raw Price Data'!E1695</f>
        <v>2.1620755925688684E-2</v>
      </c>
      <c r="F1696" s="26">
        <f>('Raw Price Data'!F1696-'Raw Price Data'!F1695)/'Raw Price Data'!F1695</f>
        <v>-1.1088769948837408E-2</v>
      </c>
    </row>
    <row r="1697" spans="1:6" ht="15" customHeight="1" x14ac:dyDescent="0.3">
      <c r="A1697" s="21">
        <v>45839</v>
      </c>
      <c r="B1697" s="25">
        <f>('Raw Price Data'!B1697-'Raw Price Data'!B1696)/'Raw Price Data'!B1696</f>
        <v>-3.8778019483591297E-3</v>
      </c>
      <c r="C1697" s="25">
        <f>('Raw Price Data'!C1697-'Raw Price Data'!C1696)/'Raw Price Data'!C1696</f>
        <v>-9.6318106472867929E-3</v>
      </c>
      <c r="D1697" s="25">
        <f>('Raw Price Data'!D1697-'Raw Price Data'!D1696)/'Raw Price Data'!D1696</f>
        <v>1.6620130301821568E-2</v>
      </c>
      <c r="E1697" s="25">
        <f>('Raw Price Data'!E1697-'Raw Price Data'!E1696)/'Raw Price Data'!E1696</f>
        <v>5.8786643674559372E-4</v>
      </c>
      <c r="F1697" s="25">
        <f>('Raw Price Data'!F1697-'Raw Price Data'!F1696)/'Raw Price Data'!F1696</f>
        <v>-1.2641567397319448E-3</v>
      </c>
    </row>
    <row r="1698" spans="1:6" ht="15" customHeight="1" x14ac:dyDescent="0.3">
      <c r="A1698" s="19">
        <v>45840</v>
      </c>
      <c r="B1698" s="26">
        <f>('Raw Price Data'!B1698-'Raw Price Data'!B1697)/'Raw Price Data'!B1697</f>
        <v>2.8484618306115782E-4</v>
      </c>
      <c r="C1698" s="26">
        <f>('Raw Price Data'!C1698-'Raw Price Data'!C1697)/'Raw Price Data'!C1697</f>
        <v>-1.1396002278560451E-2</v>
      </c>
      <c r="D1698" s="26">
        <f>('Raw Price Data'!D1698-'Raw Price Data'!D1697)/'Raw Price Data'!D1697</f>
        <v>9.6782631441277682E-3</v>
      </c>
      <c r="E1698" s="26">
        <f>('Raw Price Data'!E1698-'Raw Price Data'!E1697)/'Raw Price Data'!E1697</f>
        <v>7.9511182484037941E-3</v>
      </c>
      <c r="F1698" s="26">
        <f>('Raw Price Data'!F1698-'Raw Price Data'!F1697)/'Raw Price Data'!F1697</f>
        <v>6.6522991470882014E-3</v>
      </c>
    </row>
    <row r="1699" spans="1:6" ht="15" customHeight="1" x14ac:dyDescent="0.3">
      <c r="A1699" s="21">
        <v>45841</v>
      </c>
      <c r="B1699" s="25">
        <f>('Raw Price Data'!B1699-'Raw Price Data'!B1698)/'Raw Price Data'!B1698</f>
        <v>8.4480303749406797E-3</v>
      </c>
      <c r="C1699" s="25">
        <f>('Raw Price Data'!C1699-'Raw Price Data'!C1698)/'Raw Price Data'!C1698</f>
        <v>-3.5608270182646901E-5</v>
      </c>
      <c r="D1699" s="25">
        <f>('Raw Price Data'!D1699-'Raw Price Data'!D1698)/'Raw Price Data'!D1698</f>
        <v>7.9663212435232503E-3</v>
      </c>
      <c r="E1699" s="25">
        <f>('Raw Price Data'!E1699-'Raw Price Data'!E1698)/'Raw Price Data'!E1698</f>
        <v>-1.3250952047874284E-2</v>
      </c>
      <c r="F1699" s="25">
        <f>('Raw Price Data'!F1699-'Raw Price Data'!F1698)/'Raw Price Data'!F1698</f>
        <v>-2.260455539174307E-2</v>
      </c>
    </row>
    <row r="1700" spans="1:6" ht="15" customHeight="1" x14ac:dyDescent="0.3">
      <c r="A1700" s="19">
        <v>45842</v>
      </c>
      <c r="B1700" s="26">
        <f>('Raw Price Data'!B1700-'Raw Price Data'!B1699)/'Raw Price Data'!B1699</f>
        <v>9.7891566265060834E-3</v>
      </c>
      <c r="C1700" s="26">
        <f>('Raw Price Data'!C1700-'Raw Price Data'!C1699)/'Raw Price Data'!C1699</f>
        <v>-1.987659676406418E-2</v>
      </c>
      <c r="D1700" s="26">
        <f>('Raw Price Data'!D1700-'Raw Price Data'!D1699)/'Raw Price Data'!D1699</f>
        <v>-9.8310094454796704E-3</v>
      </c>
      <c r="E1700" s="26">
        <f>('Raw Price Data'!E1700-'Raw Price Data'!E1699)/'Raw Price Data'!E1699</f>
        <v>1.102666089079672E-3</v>
      </c>
      <c r="F1700" s="26">
        <f>('Raw Price Data'!F1700-'Raw Price Data'!F1699)/'Raw Price Data'!F1699</f>
        <v>5.7773399865000121E-3</v>
      </c>
    </row>
    <row r="1701" spans="1:6" ht="15" customHeight="1" x14ac:dyDescent="0.3">
      <c r="A1701" s="21">
        <v>45845</v>
      </c>
      <c r="B1701" s="25">
        <f>('Raw Price Data'!B1701-'Raw Price Data'!B1700)/'Raw Price Data'!B1700</f>
        <v>-1.482102908277408E-2</v>
      </c>
      <c r="C1701" s="25">
        <f>('Raw Price Data'!C1701-'Raw Price Data'!C1700)/'Raw Price Data'!C1700</f>
        <v>-3.74744852460316E-2</v>
      </c>
      <c r="D1701" s="25">
        <f>('Raw Price Data'!D1701-'Raw Price Data'!D1700)/'Raw Price Data'!D1700</f>
        <v>9.0201168072681047E-3</v>
      </c>
      <c r="E1701" s="25">
        <f>('Raw Price Data'!E1701-'Raw Price Data'!E1700)/'Raw Price Data'!E1700</f>
        <v>3.5403800007868851E-4</v>
      </c>
      <c r="F1701" s="25">
        <f>('Raw Price Data'!F1701-'Raw Price Data'!F1700)/'Raw Price Data'!F1700</f>
        <v>1.5396859256010777E-2</v>
      </c>
    </row>
    <row r="1702" spans="1:6" ht="15" customHeight="1" x14ac:dyDescent="0.3">
      <c r="A1702" s="19">
        <v>45846</v>
      </c>
      <c r="B1702" s="26">
        <f>('Raw Price Data'!B1702-'Raw Price Data'!B1701)/'Raw Price Data'!B1701</f>
        <v>2.8384899233607451E-3</v>
      </c>
      <c r="C1702" s="26">
        <f>('Raw Price Data'!C1702-'Raw Price Data'!C1701)/'Raw Price Data'!C1701</f>
        <v>-3.2564683274997537E-3</v>
      </c>
      <c r="D1702" s="26">
        <f>('Raw Price Data'!D1702-'Raw Price Data'!D1701)/'Raw Price Data'!D1701</f>
        <v>9.8398610843141113E-3</v>
      </c>
      <c r="E1702" s="26">
        <f>('Raw Price Data'!E1702-'Raw Price Data'!E1701)/'Raw Price Data'!E1701</f>
        <v>2.0290994887927519E-2</v>
      </c>
      <c r="F1702" s="26">
        <f>('Raw Price Data'!F1702-'Raw Price Data'!F1701)/'Raw Price Data'!F1701</f>
        <v>1.0343716692365681E-2</v>
      </c>
    </row>
    <row r="1703" spans="1:6" ht="15" customHeight="1" x14ac:dyDescent="0.3">
      <c r="A1703" s="21">
        <v>45847</v>
      </c>
      <c r="B1703" s="25">
        <f>('Raw Price Data'!B1703-'Raw Price Data'!B1702)/'Raw Price Data'!B1702</f>
        <v>-1.2737050665157037E-2</v>
      </c>
      <c r="C1703" s="25">
        <f>('Raw Price Data'!C1703-'Raw Price Data'!C1702)/'Raw Price Data'!C1702</f>
        <v>5.0573034829638945E-3</v>
      </c>
      <c r="D1703" s="25">
        <f>('Raw Price Data'!D1703-'Raw Price Data'!D1702)/'Raw Price Data'!D1702</f>
        <v>2.1016431027893519E-3</v>
      </c>
      <c r="E1703" s="25">
        <f>('Raw Price Data'!E1703-'Raw Price Data'!E1702)/'Raw Price Data'!E1702</f>
        <v>-8.2864410699143506E-3</v>
      </c>
      <c r="F1703" s="25">
        <f>('Raw Price Data'!F1703-'Raw Price Data'!F1702)/'Raw Price Data'!F1702</f>
        <v>1.5745383581852623E-2</v>
      </c>
    </row>
    <row r="1704" spans="1:6" ht="15" customHeight="1" x14ac:dyDescent="0.3">
      <c r="A1704" s="19">
        <v>45848</v>
      </c>
      <c r="B1704" s="26">
        <f>('Raw Price Data'!B1704-'Raw Price Data'!B1703)/'Raw Price Data'!B1703</f>
        <v>-1.0034403669724743E-2</v>
      </c>
      <c r="C1704" s="26">
        <f>('Raw Price Data'!C1704-'Raw Price Data'!C1703)/'Raw Price Data'!C1703</f>
        <v>3.8843597999587897E-3</v>
      </c>
      <c r="D1704" s="26">
        <f>('Raw Price Data'!D1704-'Raw Price Data'!D1703)/'Raw Price Data'!D1703</f>
        <v>-1.7159199237367767E-3</v>
      </c>
      <c r="E1704" s="26">
        <f>('Raw Price Data'!E1704-'Raw Price Data'!E1703)/'Raw Price Data'!E1703</f>
        <v>-2.906999339318328E-2</v>
      </c>
      <c r="F1704" s="26">
        <f>('Raw Price Data'!F1704-'Raw Price Data'!F1703)/'Raw Price Data'!F1703</f>
        <v>-1.331245881848182E-2</v>
      </c>
    </row>
    <row r="1705" spans="1:6" ht="15" customHeight="1" x14ac:dyDescent="0.3">
      <c r="A1705" s="21">
        <v>45849</v>
      </c>
      <c r="B1705" s="25">
        <f>('Raw Price Data'!B1705-'Raw Price Data'!B1704)/'Raw Price Data'!B1704</f>
        <v>-8.6880973066898893E-3</v>
      </c>
      <c r="C1705" s="25">
        <f>('Raw Price Data'!C1705-'Raw Price Data'!C1704)/'Raw Price Data'!C1704</f>
        <v>1.9732217801647498E-2</v>
      </c>
      <c r="D1705" s="25">
        <f>('Raw Price Data'!D1705-'Raw Price Data'!D1704)/'Raw Price Data'!D1704</f>
        <v>7.8940667175960051E-3</v>
      </c>
      <c r="E1705" s="25">
        <f>('Raw Price Data'!E1705-'Raw Price Data'!E1704)/'Raw Price Data'!E1704</f>
        <v>-2.0373854220870204E-2</v>
      </c>
      <c r="F1705" s="25">
        <f>('Raw Price Data'!F1705-'Raw Price Data'!F1704)/'Raw Price Data'!F1704</f>
        <v>-1.0629268126838027E-2</v>
      </c>
    </row>
    <row r="1706" spans="1:6" ht="15" customHeight="1" x14ac:dyDescent="0.3">
      <c r="A1706" s="19">
        <v>45852</v>
      </c>
      <c r="B1706" s="26">
        <f>('Raw Price Data'!B1706-'Raw Price Data'!B1705)/'Raw Price Data'!B1705</f>
        <v>1.7138961924238048E-2</v>
      </c>
      <c r="C1706" s="26">
        <f>('Raw Price Data'!C1706-'Raw Price Data'!C1705)/'Raw Price Data'!C1705</f>
        <v>-2.2204599524187196E-2</v>
      </c>
      <c r="D1706" s="26">
        <f>('Raw Price Data'!D1706-'Raw Price Data'!D1705)/'Raw Price Data'!D1705</f>
        <v>6.6953006568974379E-3</v>
      </c>
      <c r="E1706" s="26">
        <f>('Raw Price Data'!E1706-'Raw Price Data'!E1705)/'Raw Price Data'!E1705</f>
        <v>-1.23396257252595E-2</v>
      </c>
      <c r="F1706" s="26">
        <f>('Raw Price Data'!F1706-'Raw Price Data'!F1705)/'Raw Price Data'!F1705</f>
        <v>-1.563986622460152E-2</v>
      </c>
    </row>
    <row r="1707" spans="1:6" ht="15" customHeight="1" x14ac:dyDescent="0.3">
      <c r="A1707" s="21">
        <v>45853</v>
      </c>
      <c r="B1707" s="25">
        <f>('Raw Price Data'!B1707-'Raw Price Data'!B1706)/'Raw Price Data'!B1706</f>
        <v>2.2498803255145947E-2</v>
      </c>
      <c r="C1707" s="25">
        <f>('Raw Price Data'!C1707-'Raw Price Data'!C1706)/'Raw Price Data'!C1706</f>
        <v>-8.4559289031247015E-3</v>
      </c>
      <c r="D1707" s="25">
        <f>('Raw Price Data'!D1707-'Raw Price Data'!D1706)/'Raw Price Data'!D1706</f>
        <v>-7.2154599071402037E-3</v>
      </c>
      <c r="E1707" s="25">
        <f>('Raw Price Data'!E1707-'Raw Price Data'!E1706)/'Raw Price Data'!E1706</f>
        <v>1.2493794472943945E-2</v>
      </c>
      <c r="F1707" s="25">
        <f>('Raw Price Data'!F1707-'Raw Price Data'!F1706)/'Raw Price Data'!F1706</f>
        <v>1.5838969092449594E-2</v>
      </c>
    </row>
    <row r="1708" spans="1:6" ht="15" customHeight="1" x14ac:dyDescent="0.3">
      <c r="A1708" s="19">
        <v>45854</v>
      </c>
      <c r="B1708" s="26">
        <f>('Raw Price Data'!B1708-'Raw Price Data'!B1707)/'Raw Price Data'!B1707</f>
        <v>3.6423220973782776E-2</v>
      </c>
      <c r="C1708" s="26">
        <f>('Raw Price Data'!C1708-'Raw Price Data'!C1707)/'Raw Price Data'!C1707</f>
        <v>-2.4845556514236335E-2</v>
      </c>
      <c r="D1708" s="26">
        <f>('Raw Price Data'!D1708-'Raw Price Data'!D1707)/'Raw Price Data'!D1707</f>
        <v>-4.4871389749098125E-3</v>
      </c>
      <c r="E1708" s="26">
        <f>('Raw Price Data'!E1708-'Raw Price Data'!E1707)/'Raw Price Data'!E1707</f>
        <v>-1.6425594508457996E-2</v>
      </c>
      <c r="F1708" s="26">
        <f>('Raw Price Data'!F1708-'Raw Price Data'!F1707)/'Raw Price Data'!F1707</f>
        <v>2.5110954472055934E-2</v>
      </c>
    </row>
    <row r="1709" spans="1:6" ht="15" customHeight="1" x14ac:dyDescent="0.3">
      <c r="A1709" s="21">
        <v>45855</v>
      </c>
      <c r="B1709" s="25">
        <f>('Raw Price Data'!B1709-'Raw Price Data'!B1708)/'Raw Price Data'!B1708</f>
        <v>-4.5171198843614742E-4</v>
      </c>
      <c r="C1709" s="25">
        <f>('Raw Price Data'!C1709-'Raw Price Data'!C1708)/'Raw Price Data'!C1708</f>
        <v>4.9300834185686251E-3</v>
      </c>
      <c r="D1709" s="25">
        <f>('Raw Price Data'!D1709-'Raw Price Data'!D1708)/'Raw Price Data'!D1708</f>
        <v>-2.6599796851193482E-2</v>
      </c>
      <c r="E1709" s="25">
        <f>('Raw Price Data'!E1709-'Raw Price Data'!E1708)/'Raw Price Data'!E1708</f>
        <v>-1.8029245596543717E-2</v>
      </c>
      <c r="F1709" s="25">
        <f>('Raw Price Data'!F1709-'Raw Price Data'!F1708)/'Raw Price Data'!F1708</f>
        <v>-1.7862792436298486E-2</v>
      </c>
    </row>
    <row r="1710" spans="1:6" ht="15" customHeight="1" x14ac:dyDescent="0.3">
      <c r="A1710" s="19">
        <v>45856</v>
      </c>
      <c r="B1710" s="26">
        <f>('Raw Price Data'!B1710-'Raw Price Data'!B1709)/'Raw Price Data'!B1709</f>
        <v>-1.1388286334056445E-2</v>
      </c>
      <c r="C1710" s="26">
        <f>('Raw Price Data'!C1710-'Raw Price Data'!C1709)/'Raw Price Data'!C1709</f>
        <v>-1.2467247062800987E-3</v>
      </c>
      <c r="D1710" s="26">
        <f>('Raw Price Data'!D1710-'Raw Price Data'!D1709)/'Raw Price Data'!D1709</f>
        <v>9.7828213656818621E-3</v>
      </c>
      <c r="E1710" s="26">
        <f>('Raw Price Data'!E1710-'Raw Price Data'!E1709)/'Raw Price Data'!E1709</f>
        <v>-5.2880954395464934E-3</v>
      </c>
      <c r="F1710" s="26">
        <f>('Raw Price Data'!F1710-'Raw Price Data'!F1709)/'Raw Price Data'!F1709</f>
        <v>-1.5154294925774096E-3</v>
      </c>
    </row>
    <row r="1711" spans="1:6" ht="15" customHeight="1" x14ac:dyDescent="0.3">
      <c r="A1711" s="21">
        <v>45859</v>
      </c>
      <c r="B1711" s="25">
        <f>('Raw Price Data'!B1711-'Raw Price Data'!B1710)/'Raw Price Data'!B1710</f>
        <v>-1.3073688059974335E-2</v>
      </c>
      <c r="C1711" s="25">
        <f>('Raw Price Data'!C1711-'Raw Price Data'!C1710)/'Raw Price Data'!C1710</f>
        <v>-7.8881483832292706E-3</v>
      </c>
      <c r="D1711" s="25">
        <f>('Raw Price Data'!D1711-'Raw Price Data'!D1710)/'Raw Price Data'!D1710</f>
        <v>-1.3563262933540524E-3</v>
      </c>
      <c r="E1711" s="25">
        <f>('Raw Price Data'!E1711-'Raw Price Data'!E1710)/'Raw Price Data'!E1710</f>
        <v>8.5059328881938637E-5</v>
      </c>
      <c r="F1711" s="25">
        <f>('Raw Price Data'!F1711-'Raw Price Data'!F1710)/'Raw Price Data'!F1710</f>
        <v>-1.4836611970911814E-2</v>
      </c>
    </row>
    <row r="1712" spans="1:6" ht="15" customHeight="1" x14ac:dyDescent="0.3">
      <c r="A1712" s="19">
        <v>45860</v>
      </c>
      <c r="B1712" s="26">
        <f>('Raw Price Data'!B1712-'Raw Price Data'!B1711)/'Raw Price Data'!B1711</f>
        <v>2.2603056970819803E-2</v>
      </c>
      <c r="C1712" s="26">
        <f>('Raw Price Data'!C1712-'Raw Price Data'!C1711)/'Raw Price Data'!C1711</f>
        <v>1.325736707978951E-3</v>
      </c>
      <c r="D1712" s="26">
        <f>('Raw Price Data'!D1712-'Raw Price Data'!D1711)/'Raw Price Data'!D1711</f>
        <v>2.4835079549864206E-2</v>
      </c>
      <c r="E1712" s="26">
        <f>('Raw Price Data'!E1712-'Raw Price Data'!E1711)/'Raw Price Data'!E1711</f>
        <v>-1.1482032745056782E-3</v>
      </c>
      <c r="F1712" s="26">
        <f>('Raw Price Data'!F1712-'Raw Price Data'!F1711)/'Raw Price Data'!F1711</f>
        <v>-2.0945392573560397E-2</v>
      </c>
    </row>
    <row r="1713" spans="1:6" ht="15" customHeight="1" x14ac:dyDescent="0.3">
      <c r="A1713" s="21">
        <v>45861</v>
      </c>
      <c r="B1713" s="25">
        <f>('Raw Price Data'!B1713-'Raw Price Data'!B1712)/'Raw Price Data'!B1712</f>
        <v>-2.1016396412718609E-2</v>
      </c>
      <c r="C1713" s="25">
        <f>('Raw Price Data'!C1713-'Raw Price Data'!C1712)/'Raw Price Data'!C1712</f>
        <v>-1.187323853673437E-2</v>
      </c>
      <c r="D1713" s="25">
        <f>('Raw Price Data'!D1713-'Raw Price Data'!D1712)/'Raw Price Data'!D1712</f>
        <v>-2.7704152467499778E-2</v>
      </c>
      <c r="E1713" s="25">
        <f>('Raw Price Data'!E1713-'Raw Price Data'!E1712)/'Raw Price Data'!E1712</f>
        <v>-2.3799386920980943E-2</v>
      </c>
      <c r="F1713" s="25">
        <f>('Raw Price Data'!F1713-'Raw Price Data'!F1712)/'Raw Price Data'!F1712</f>
        <v>-1.0450361337428708E-2</v>
      </c>
    </row>
    <row r="1714" spans="1:6" ht="15" customHeight="1" x14ac:dyDescent="0.3">
      <c r="A1714" s="19">
        <v>45862</v>
      </c>
      <c r="B1714" s="26">
        <f>('Raw Price Data'!B1714-'Raw Price Data'!B1713)/'Raw Price Data'!B1713</f>
        <v>-4.0714351809012471E-3</v>
      </c>
      <c r="C1714" s="26">
        <f>('Raw Price Data'!C1714-'Raw Price Data'!C1713)/'Raw Price Data'!C1713</f>
        <v>-1.7429350422622229E-2</v>
      </c>
      <c r="D1714" s="26">
        <f>('Raw Price Data'!D1714-'Raw Price Data'!D1713)/'Raw Price Data'!D1713</f>
        <v>3.0505614331148108E-3</v>
      </c>
      <c r="E1714" s="26">
        <f>('Raw Price Data'!E1714-'Raw Price Data'!E1713)/'Raw Price Data'!E1713</f>
        <v>-5.4516114963583237E-3</v>
      </c>
      <c r="F1714" s="26">
        <f>('Raw Price Data'!F1714-'Raw Price Data'!F1713)/'Raw Price Data'!F1713</f>
        <v>1.7056908457981527E-2</v>
      </c>
    </row>
    <row r="1715" spans="1:6" ht="15" customHeight="1" x14ac:dyDescent="0.3">
      <c r="A1715" s="21">
        <v>45863</v>
      </c>
      <c r="B1715" s="25">
        <f>('Raw Price Data'!B1715-'Raw Price Data'!B1714)/'Raw Price Data'!B1714</f>
        <v>-7.5257827743194488E-3</v>
      </c>
      <c r="C1715" s="25">
        <f>('Raw Price Data'!C1715-'Raw Price Data'!C1714)/'Raw Price Data'!C1714</f>
        <v>2.8472300926044445E-2</v>
      </c>
      <c r="D1715" s="25">
        <f>('Raw Price Data'!D1715-'Raw Price Data'!D1714)/'Raw Price Data'!D1714</f>
        <v>9.7709330917563047E-3</v>
      </c>
      <c r="E1715" s="25">
        <f>('Raw Price Data'!E1715-'Raw Price Data'!E1714)/'Raw Price Data'!E1714</f>
        <v>1.8461673390633256E-2</v>
      </c>
      <c r="F1715" s="25">
        <f>('Raw Price Data'!F1715-'Raw Price Data'!F1714)/'Raw Price Data'!F1714</f>
        <v>-5.3303677493542921E-3</v>
      </c>
    </row>
    <row r="1716" spans="1:6" ht="15" customHeight="1" x14ac:dyDescent="0.3">
      <c r="A1716" s="19">
        <v>45866</v>
      </c>
      <c r="B1716" s="26">
        <f>('Raw Price Data'!B1716-'Raw Price Data'!B1715)/'Raw Price Data'!B1715</f>
        <v>2.4527242089496394E-2</v>
      </c>
      <c r="C1716" s="26">
        <f>('Raw Price Data'!C1716-'Raw Price Data'!C1715)/'Raw Price Data'!C1715</f>
        <v>1.4887120223804501E-2</v>
      </c>
      <c r="D1716" s="26">
        <f>('Raw Price Data'!D1716-'Raw Price Data'!D1715)/'Raw Price Data'!D1715</f>
        <v>-1.0637616148670457E-2</v>
      </c>
      <c r="E1716" s="26">
        <f>('Raw Price Data'!E1716-'Raw Price Data'!E1715)/'Raw Price Data'!E1715</f>
        <v>7.9224973089343526E-3</v>
      </c>
      <c r="F1716" s="26">
        <f>('Raw Price Data'!F1716-'Raw Price Data'!F1715)/'Raw Price Data'!F1715</f>
        <v>9.4423028605717801E-3</v>
      </c>
    </row>
    <row r="1717" spans="1:6" ht="15" customHeight="1" x14ac:dyDescent="0.3">
      <c r="A1717" s="21">
        <v>45867</v>
      </c>
      <c r="B1717" s="25">
        <f>('Raw Price Data'!B1717-'Raw Price Data'!B1716)/'Raw Price Data'!B1716</f>
        <v>-1.3706140350877194E-2</v>
      </c>
      <c r="C1717" s="25">
        <f>('Raw Price Data'!C1717-'Raw Price Data'!C1716)/'Raw Price Data'!C1716</f>
        <v>-2.6514421813979309E-3</v>
      </c>
      <c r="D1717" s="25">
        <f>('Raw Price Data'!D1717-'Raw Price Data'!D1716)/'Raw Price Data'!D1716</f>
        <v>8.031608264784048E-3</v>
      </c>
      <c r="E1717" s="25">
        <f>('Raw Price Data'!E1717-'Raw Price Data'!E1716)/'Raw Price Data'!E1716</f>
        <v>7.6893502499038105E-3</v>
      </c>
      <c r="F1717" s="25">
        <f>('Raw Price Data'!F1717-'Raw Price Data'!F1716)/'Raw Price Data'!F1716</f>
        <v>7.7930235440739999E-3</v>
      </c>
    </row>
    <row r="1718" spans="1:6" ht="15" customHeight="1" x14ac:dyDescent="0.3">
      <c r="A1718" s="19">
        <v>45868</v>
      </c>
      <c r="B1718" s="26">
        <f>('Raw Price Data'!B1718-'Raw Price Data'!B1717)/'Raw Price Data'!B1717</f>
        <v>1.5564202334630413E-2</v>
      </c>
      <c r="C1718" s="26">
        <f>('Raw Price Data'!C1718-'Raw Price Data'!C1717)/'Raw Price Data'!C1717</f>
        <v>-2.6595445797687786E-2</v>
      </c>
      <c r="D1718" s="26">
        <f>('Raw Price Data'!D1718-'Raw Price Data'!D1717)/'Raw Price Data'!D1717</f>
        <v>4.8191222771959133E-3</v>
      </c>
      <c r="E1718" s="26">
        <f>('Raw Price Data'!E1718-'Raw Price Data'!E1717)/'Raw Price Data'!E1717</f>
        <v>-1.3862393488490322E-2</v>
      </c>
      <c r="F1718" s="26">
        <f>('Raw Price Data'!F1718-'Raw Price Data'!F1717)/'Raw Price Data'!F1717</f>
        <v>-9.1115925384560575E-3</v>
      </c>
    </row>
    <row r="1719" spans="1:6" ht="15" customHeight="1" x14ac:dyDescent="0.3">
      <c r="A1719" s="21">
        <v>45869</v>
      </c>
      <c r="B1719" s="25">
        <f>('Raw Price Data'!B1719-'Raw Price Data'!B1718)/'Raw Price Data'!B1718</f>
        <v>1.8518518518518528E-2</v>
      </c>
      <c r="C1719" s="25">
        <f>('Raw Price Data'!C1719-'Raw Price Data'!C1718)/'Raw Price Data'!C1718</f>
        <v>-3.1821051682150857E-3</v>
      </c>
      <c r="D1719" s="25">
        <f>('Raw Price Data'!D1719-'Raw Price Data'!D1718)/'Raw Price Data'!D1718</f>
        <v>8.7607110883745013E-3</v>
      </c>
      <c r="E1719" s="25">
        <f>('Raw Price Data'!E1719-'Raw Price Data'!E1718)/'Raw Price Data'!E1718</f>
        <v>-4.8577078497119572E-3</v>
      </c>
      <c r="F1719" s="25">
        <f>('Raw Price Data'!F1719-'Raw Price Data'!F1718)/'Raw Price Data'!F1718</f>
        <v>1.5482214002699892E-2</v>
      </c>
    </row>
    <row r="1720" spans="1:6" ht="15" customHeight="1" x14ac:dyDescent="0.3">
      <c r="A1720" s="19">
        <v>45870</v>
      </c>
      <c r="B1720" s="26">
        <f>('Raw Price Data'!B1720-'Raw Price Data'!B1719)/'Raw Price Data'!B1719</f>
        <v>-1.9704433497536845E-3</v>
      </c>
      <c r="C1720" s="26">
        <f>('Raw Price Data'!C1720-'Raw Price Data'!C1719)/'Raw Price Data'!C1719</f>
        <v>1.0724122580014735E-2</v>
      </c>
      <c r="D1720" s="26">
        <f>('Raw Price Data'!D1720-'Raw Price Data'!D1719)/'Raw Price Data'!D1719</f>
        <v>-3.2963549920761344E-3</v>
      </c>
      <c r="E1720" s="26">
        <f>('Raw Price Data'!E1720-'Raw Price Data'!E1719)/'Raw Price Data'!E1719</f>
        <v>-2.3111149509698139E-2</v>
      </c>
      <c r="F1720" s="26">
        <f>('Raw Price Data'!F1720-'Raw Price Data'!F1719)/'Raw Price Data'!F1719</f>
        <v>-1.2046916611904657E-2</v>
      </c>
    </row>
    <row r="1721" spans="1:6" ht="15" customHeight="1" x14ac:dyDescent="0.3">
      <c r="A1721" s="21">
        <v>45873</v>
      </c>
      <c r="B1721" s="25">
        <f>('Raw Price Data'!B1721-'Raw Price Data'!B1720)/'Raw Price Data'!B1720</f>
        <v>6.7306829399623076E-3</v>
      </c>
      <c r="C1721" s="25">
        <f>('Raw Price Data'!C1721-'Raw Price Data'!C1720)/'Raw Price Data'!C1720</f>
        <v>3.5916864812216031E-3</v>
      </c>
      <c r="D1721" s="25">
        <f>('Raw Price Data'!D1721-'Raw Price Data'!D1720)/'Raw Price Data'!D1720</f>
        <v>-4.9608853272276175E-2</v>
      </c>
      <c r="E1721" s="25">
        <f>('Raw Price Data'!E1721-'Raw Price Data'!E1720)/'Raw Price Data'!E1720</f>
        <v>1.123198018926338E-2</v>
      </c>
      <c r="F1721" s="25">
        <f>('Raw Price Data'!F1721-'Raw Price Data'!F1720)/'Raw Price Data'!F1720</f>
        <v>-5.5486102615971743E-3</v>
      </c>
    </row>
    <row r="1722" spans="1:6" ht="15" customHeight="1" x14ac:dyDescent="0.3">
      <c r="A1722" s="19">
        <v>45874</v>
      </c>
      <c r="B1722" s="26">
        <f>('Raw Price Data'!B1722-'Raw Price Data'!B1721)/'Raw Price Data'!B1721</f>
        <v>-2.0948475664111326E-2</v>
      </c>
      <c r="C1722" s="26">
        <f>('Raw Price Data'!C1722-'Raw Price Data'!C1721)/'Raw Price Data'!C1721</f>
        <v>1.8393700113109562E-2</v>
      </c>
      <c r="D1722" s="26">
        <f>('Raw Price Data'!D1722-'Raw Price Data'!D1721)/'Raw Price Data'!D1721</f>
        <v>1.6730241584688482E-3</v>
      </c>
      <c r="E1722" s="26">
        <f>('Raw Price Data'!E1722-'Raw Price Data'!E1721)/'Raw Price Data'!E1721</f>
        <v>1.6442189959769069E-2</v>
      </c>
      <c r="F1722" s="26">
        <f>('Raw Price Data'!F1722-'Raw Price Data'!F1721)/'Raw Price Data'!F1721</f>
        <v>5.392550040104061E-3</v>
      </c>
    </row>
    <row r="1723" spans="1:6" ht="15" customHeight="1" x14ac:dyDescent="0.3">
      <c r="A1723" s="21">
        <v>45875</v>
      </c>
      <c r="B1723" s="25">
        <f>('Raw Price Data'!B1723-'Raw Price Data'!B1722)/'Raw Price Data'!B1722</f>
        <v>-9.1049804242915701E-4</v>
      </c>
      <c r="C1723" s="25">
        <f>('Raw Price Data'!C1723-'Raw Price Data'!C1722)/'Raw Price Data'!C1722</f>
        <v>2.2234368321105497E-2</v>
      </c>
      <c r="D1723" s="25">
        <f>('Raw Price Data'!D1723-'Raw Price Data'!D1722)/'Raw Price Data'!D1722</f>
        <v>1.8706574024585857E-3</v>
      </c>
      <c r="E1723" s="25">
        <f>('Raw Price Data'!E1723-'Raw Price Data'!E1722)/'Raw Price Data'!E1722</f>
        <v>-3.9149888143176588E-3</v>
      </c>
      <c r="F1723" s="25">
        <f>('Raw Price Data'!F1723-'Raw Price Data'!F1722)/'Raw Price Data'!F1722</f>
        <v>-3.0858757174546765E-3</v>
      </c>
    </row>
    <row r="1724" spans="1:6" ht="15" customHeight="1" x14ac:dyDescent="0.3">
      <c r="A1724" s="19">
        <v>45876</v>
      </c>
      <c r="B1724" s="26">
        <f>('Raw Price Data'!B1724-'Raw Price Data'!B1723)/'Raw Price Data'!B1723</f>
        <v>-2.642850633372881E-3</v>
      </c>
      <c r="C1724" s="26">
        <f>('Raw Price Data'!C1724-'Raw Price Data'!C1723)/'Raw Price Data'!C1723</f>
        <v>-8.9457088017553036E-4</v>
      </c>
      <c r="D1724" s="26">
        <f>('Raw Price Data'!D1724-'Raw Price Data'!D1723)/'Raw Price Data'!D1723</f>
        <v>-1.1136303014137209E-2</v>
      </c>
      <c r="E1724" s="26">
        <f>('Raw Price Data'!E1724-'Raw Price Data'!E1723)/'Raw Price Data'!E1723</f>
        <v>-6.6945968125081473E-3</v>
      </c>
      <c r="F1724" s="26">
        <f>('Raw Price Data'!F1724-'Raw Price Data'!F1723)/'Raw Price Data'!F1723</f>
        <v>-2.5051192999954465E-3</v>
      </c>
    </row>
    <row r="1725" spans="1:6" ht="15" customHeight="1" x14ac:dyDescent="0.3">
      <c r="A1725" s="21">
        <v>45877</v>
      </c>
      <c r="B1725" s="25">
        <f>('Raw Price Data'!B1725-'Raw Price Data'!B1724)/'Raw Price Data'!B1724</f>
        <v>-3.5453216374268966E-2</v>
      </c>
      <c r="C1725" s="25">
        <f>('Raw Price Data'!C1725-'Raw Price Data'!C1724)/'Raw Price Data'!C1724</f>
        <v>-7.6604036377483043E-3</v>
      </c>
      <c r="D1725" s="25">
        <f>('Raw Price Data'!D1725-'Raw Price Data'!D1724)/'Raw Price Data'!D1724</f>
        <v>-2.0432935464292947E-2</v>
      </c>
      <c r="E1725" s="25">
        <f>('Raw Price Data'!E1725-'Raw Price Data'!E1724)/'Raw Price Data'!E1724</f>
        <v>-1.5262196712757593E-2</v>
      </c>
      <c r="F1725" s="25">
        <f>('Raw Price Data'!F1725-'Raw Price Data'!F1724)/'Raw Price Data'!F1724</f>
        <v>9.5316768252792054E-3</v>
      </c>
    </row>
    <row r="1726" spans="1:6" ht="15" customHeight="1" x14ac:dyDescent="0.3">
      <c r="A1726" s="19">
        <v>45880</v>
      </c>
      <c r="B1726" s="26">
        <f>('Raw Price Data'!B1726-'Raw Price Data'!B1725)/'Raw Price Data'!B1725</f>
        <v>6.0629026146267577E-3</v>
      </c>
      <c r="C1726" s="26">
        <f>('Raw Price Data'!C1726-'Raw Price Data'!C1725)/'Raw Price Data'!C1725</f>
        <v>-8.1274674521028267E-3</v>
      </c>
      <c r="D1726" s="26">
        <f>('Raw Price Data'!D1726-'Raw Price Data'!D1725)/'Raw Price Data'!D1725</f>
        <v>8.605259534627565E-3</v>
      </c>
      <c r="E1726" s="26">
        <f>('Raw Price Data'!E1726-'Raw Price Data'!E1725)/'Raw Price Data'!E1725</f>
        <v>-1.8103943127124856E-3</v>
      </c>
      <c r="F1726" s="26">
        <f>('Raw Price Data'!F1726-'Raw Price Data'!F1725)/'Raw Price Data'!F1725</f>
        <v>1.3394096625286985E-2</v>
      </c>
    </row>
    <row r="1727" spans="1:6" ht="15" customHeight="1" x14ac:dyDescent="0.3">
      <c r="A1727" s="21">
        <v>45881</v>
      </c>
      <c r="B1727" s="25">
        <f>('Raw Price Data'!B1727-'Raw Price Data'!B1726)/'Raw Price Data'!B1726</f>
        <v>5.2730696798493617E-3</v>
      </c>
      <c r="C1727" s="25">
        <f>('Raw Price Data'!C1727-'Raw Price Data'!C1726)/'Raw Price Data'!C1726</f>
        <v>-6.6953627380931758E-3</v>
      </c>
      <c r="D1727" s="25">
        <f>('Raw Price Data'!D1727-'Raw Price Data'!D1726)/'Raw Price Data'!D1726</f>
        <v>6.6207084840625144E-3</v>
      </c>
      <c r="E1727" s="25">
        <f>('Raw Price Data'!E1727-'Raw Price Data'!E1726)/'Raw Price Data'!E1726</f>
        <v>3.2026895514465227E-2</v>
      </c>
      <c r="F1727" s="25">
        <f>('Raw Price Data'!F1727-'Raw Price Data'!F1726)/'Raw Price Data'!F1726</f>
        <v>-2.0134480179974518E-2</v>
      </c>
    </row>
    <row r="1728" spans="1:6" ht="15" customHeight="1" x14ac:dyDescent="0.3">
      <c r="A1728" s="19">
        <v>45882</v>
      </c>
      <c r="B1728" s="26">
        <f>('Raw Price Data'!B1728-'Raw Price Data'!B1727)/'Raw Price Data'!B1727</f>
        <v>-2.3229674035219219E-2</v>
      </c>
      <c r="C1728" s="26">
        <f>('Raw Price Data'!C1728-'Raw Price Data'!C1727)/'Raw Price Data'!C1727</f>
        <v>1.6547716794037718E-2</v>
      </c>
      <c r="D1728" s="26">
        <f>('Raw Price Data'!D1728-'Raw Price Data'!D1727)/'Raw Price Data'!D1727</f>
        <v>2.5291564957960526E-2</v>
      </c>
      <c r="E1728" s="26">
        <f>('Raw Price Data'!E1728-'Raw Price Data'!E1727)/'Raw Price Data'!E1727</f>
        <v>-1.3116159451350203E-2</v>
      </c>
      <c r="F1728" s="26">
        <f>('Raw Price Data'!F1728-'Raw Price Data'!F1727)/'Raw Price Data'!F1727</f>
        <v>6.7615897000322233E-4</v>
      </c>
    </row>
    <row r="1729" spans="1:6" ht="15" customHeight="1" x14ac:dyDescent="0.3">
      <c r="A1729" s="21">
        <v>45883</v>
      </c>
      <c r="B1729" s="25">
        <f>('Raw Price Data'!B1729-'Raw Price Data'!B1728)/'Raw Price Data'!B1728</f>
        <v>-1.9179133103183737E-2</v>
      </c>
      <c r="C1729" s="25">
        <f>('Raw Price Data'!C1729-'Raw Price Data'!C1728)/'Raw Price Data'!C1728</f>
        <v>-6.8861965413688922E-3</v>
      </c>
      <c r="D1729" s="25">
        <f>('Raw Price Data'!D1729-'Raw Price Data'!D1728)/'Raw Price Data'!D1728</f>
        <v>-1.2300773758349405E-2</v>
      </c>
      <c r="E1729" s="25">
        <f>('Raw Price Data'!E1729-'Raw Price Data'!E1728)/'Raw Price Data'!E1728</f>
        <v>4.6473245309242234E-3</v>
      </c>
      <c r="F1729" s="25">
        <f>('Raw Price Data'!F1729-'Raw Price Data'!F1728)/'Raw Price Data'!F1728</f>
        <v>1.4676775871930803E-2</v>
      </c>
    </row>
    <row r="1730" spans="1:6" ht="15" customHeight="1" x14ac:dyDescent="0.3">
      <c r="A1730" s="19">
        <v>45884</v>
      </c>
      <c r="B1730" s="26">
        <f>('Raw Price Data'!B1730-'Raw Price Data'!B1729)/'Raw Price Data'!B1729</f>
        <v>-1.0070394994133761E-2</v>
      </c>
      <c r="C1730" s="26">
        <f>('Raw Price Data'!C1730-'Raw Price Data'!C1729)/'Raw Price Data'!C1729</f>
        <v>-2.9049580313852224E-2</v>
      </c>
      <c r="D1730" s="26">
        <f>('Raw Price Data'!D1730-'Raw Price Data'!D1729)/'Raw Price Data'!D1729</f>
        <v>1.9082691663876761E-2</v>
      </c>
      <c r="E1730" s="26">
        <f>('Raw Price Data'!E1730-'Raw Price Data'!E1729)/'Raw Price Data'!E1729</f>
        <v>1.7638666724309301E-2</v>
      </c>
      <c r="F1730" s="26">
        <f>('Raw Price Data'!F1730-'Raw Price Data'!F1729)/'Raw Price Data'!F1729</f>
        <v>1.8259175090032154E-2</v>
      </c>
    </row>
    <row r="1731" spans="1:6" ht="15" customHeight="1" x14ac:dyDescent="0.3">
      <c r="A1731" s="21">
        <v>45887</v>
      </c>
      <c r="B1731" s="25">
        <f>('Raw Price Data'!B1731-'Raw Price Data'!B1730)/'Raw Price Data'!B1730</f>
        <v>-7.0123456790122836E-3</v>
      </c>
      <c r="C1731" s="25">
        <f>('Raw Price Data'!C1731-'Raw Price Data'!C1730)/'Raw Price Data'!C1730</f>
        <v>8.795197542928835E-3</v>
      </c>
      <c r="D1731" s="25">
        <f>('Raw Price Data'!D1731-'Raw Price Data'!D1730)/'Raw Price Data'!D1730</f>
        <v>6.5703022339042537E-4</v>
      </c>
      <c r="E1731" s="25">
        <f>('Raw Price Data'!E1731-'Raw Price Data'!E1730)/'Raw Price Data'!E1730</f>
        <v>-1.3594460257444802E-3</v>
      </c>
      <c r="F1731" s="25">
        <f>('Raw Price Data'!F1731-'Raw Price Data'!F1730)/'Raw Price Data'!F1730</f>
        <v>-2.8222015894126717E-2</v>
      </c>
    </row>
    <row r="1732" spans="1:6" ht="15" customHeight="1" x14ac:dyDescent="0.3">
      <c r="A1732" s="19">
        <v>45888</v>
      </c>
      <c r="B1732" s="26">
        <f>('Raw Price Data'!B1732-'Raw Price Data'!B1731)/'Raw Price Data'!B1731</f>
        <v>-3.9785160135270108E-3</v>
      </c>
      <c r="C1732" s="26">
        <f>('Raw Price Data'!C1732-'Raw Price Data'!C1731)/'Raw Price Data'!C1731</f>
        <v>-1.1496944793373579E-3</v>
      </c>
      <c r="D1732" s="26">
        <f>('Raw Price Data'!D1732-'Raw Price Data'!D1731)/'Raw Price Data'!D1731</f>
        <v>-7.4195666447801952E-3</v>
      </c>
      <c r="E1732" s="26">
        <f>('Raw Price Data'!E1732-'Raw Price Data'!E1731)/'Raw Price Data'!E1731</f>
        <v>-2.4290636831581995E-2</v>
      </c>
      <c r="F1732" s="26">
        <f>('Raw Price Data'!F1732-'Raw Price Data'!F1731)/'Raw Price Data'!F1731</f>
        <v>-8.3635839958684215E-3</v>
      </c>
    </row>
    <row r="1733" spans="1:6" ht="15" customHeight="1" x14ac:dyDescent="0.3">
      <c r="A1733" s="21">
        <v>45889</v>
      </c>
      <c r="B1733" s="25">
        <f>('Raw Price Data'!B1733-'Raw Price Data'!B1732)/'Raw Price Data'!B1732</f>
        <v>-1.2981825444377842E-2</v>
      </c>
      <c r="C1733" s="25">
        <f>('Raw Price Data'!C1733-'Raw Price Data'!C1732)/'Raw Price Data'!C1732</f>
        <v>-7.645031795090405E-3</v>
      </c>
      <c r="D1733" s="25">
        <f>('Raw Price Data'!D1733-'Raw Price Data'!D1732)/'Raw Price Data'!D1732</f>
        <v>8.2688364093404781E-3</v>
      </c>
      <c r="E1733" s="25">
        <f>('Raw Price Data'!E1733-'Raw Price Data'!E1732)/'Raw Price Data'!E1732</f>
        <v>6.8887338681547956E-3</v>
      </c>
      <c r="F1733" s="25">
        <f>('Raw Price Data'!F1733-'Raw Price Data'!F1732)/'Raw Price Data'!F1732</f>
        <v>1.3078349912463969E-3</v>
      </c>
    </row>
    <row r="1734" spans="1:6" ht="15" customHeight="1" x14ac:dyDescent="0.3">
      <c r="A1734" s="19">
        <v>45890</v>
      </c>
      <c r="B1734" s="26">
        <f>('Raw Price Data'!B1734-'Raw Price Data'!B1733)/'Raw Price Data'!B1733</f>
        <v>-1.3658437879401138E-2</v>
      </c>
      <c r="C1734" s="26">
        <f>('Raw Price Data'!C1734-'Raw Price Data'!C1733)/'Raw Price Data'!C1733</f>
        <v>-3.4037617509969975E-2</v>
      </c>
      <c r="D1734" s="26">
        <f>('Raw Price Data'!D1734-'Raw Price Data'!D1733)/'Raw Price Data'!D1733</f>
        <v>1.4171368586799798E-2</v>
      </c>
      <c r="E1734" s="26">
        <f>('Raw Price Data'!E1734-'Raw Price Data'!E1733)/'Raw Price Data'!E1733</f>
        <v>2.9314973586212913E-2</v>
      </c>
      <c r="F1734" s="26">
        <f>('Raw Price Data'!F1734-'Raw Price Data'!F1733)/'Raw Price Data'!F1733</f>
        <v>-4.3912987029353697E-3</v>
      </c>
    </row>
    <row r="1735" spans="1:6" ht="15" customHeight="1" x14ac:dyDescent="0.3">
      <c r="A1735" s="21">
        <v>45891</v>
      </c>
      <c r="B1735" s="25">
        <f>('Raw Price Data'!B1735-'Raw Price Data'!B1734)/'Raw Price Data'!B1734</f>
        <v>4.6158580367217442E-3</v>
      </c>
      <c r="C1735" s="25">
        <f>('Raw Price Data'!C1735-'Raw Price Data'!C1734)/'Raw Price Data'!C1734</f>
        <v>2.1235592780639561E-2</v>
      </c>
      <c r="D1735" s="25">
        <f>('Raw Price Data'!D1735-'Raw Price Data'!D1734)/'Raw Price Data'!D1734</f>
        <v>-7.8923534739293484E-3</v>
      </c>
      <c r="E1735" s="25">
        <f>('Raw Price Data'!E1735-'Raw Price Data'!E1734)/'Raw Price Data'!E1734</f>
        <v>3.3654452904799247E-3</v>
      </c>
      <c r="F1735" s="25">
        <f>('Raw Price Data'!F1735-'Raw Price Data'!F1734)/'Raw Price Data'!F1734</f>
        <v>8.5253610855814035E-3</v>
      </c>
    </row>
    <row r="1736" spans="1:6" ht="15" customHeight="1" x14ac:dyDescent="0.3">
      <c r="A1736" s="19">
        <v>45894</v>
      </c>
      <c r="B1736" s="26">
        <f>('Raw Price Data'!B1736-'Raw Price Data'!B1735)/'Raw Price Data'!B1735</f>
        <v>-6.2283030426791858E-3</v>
      </c>
      <c r="C1736" s="26">
        <f>('Raw Price Data'!C1736-'Raw Price Data'!C1735)/'Raw Price Data'!C1735</f>
        <v>1.2875598780664835E-2</v>
      </c>
      <c r="D1736" s="26">
        <f>('Raw Price Data'!D1736-'Raw Price Data'!D1735)/'Raw Price Data'!D1735</f>
        <v>2.5169535732915915E-2</v>
      </c>
      <c r="E1736" s="26">
        <f>('Raw Price Data'!E1736-'Raw Price Data'!E1735)/'Raw Price Data'!E1735</f>
        <v>-2.5156177938032902E-4</v>
      </c>
      <c r="F1736" s="26">
        <f>('Raw Price Data'!F1736-'Raw Price Data'!F1735)/'Raw Price Data'!F1735</f>
        <v>5.842134655396204E-3</v>
      </c>
    </row>
    <row r="1737" spans="1:6" ht="15" customHeight="1" x14ac:dyDescent="0.3">
      <c r="A1737" s="21">
        <v>45895</v>
      </c>
      <c r="B1737" s="25">
        <f>('Raw Price Data'!B1737-'Raw Price Data'!B1736)/'Raw Price Data'!B1736</f>
        <v>-1.2329189355800324E-3</v>
      </c>
      <c r="C1737" s="25">
        <f>('Raw Price Data'!C1737-'Raw Price Data'!C1736)/'Raw Price Data'!C1736</f>
        <v>-1.9458417530131687E-2</v>
      </c>
      <c r="D1737" s="25">
        <f>('Raw Price Data'!D1737-'Raw Price Data'!D1736)/'Raw Price Data'!D1736</f>
        <v>6.9965653224789235E-4</v>
      </c>
      <c r="E1737" s="25">
        <f>('Raw Price Data'!E1737-'Raw Price Data'!E1736)/'Raw Price Data'!E1736</f>
        <v>-5.0325015726557405E-4</v>
      </c>
      <c r="F1737" s="25">
        <f>('Raw Price Data'!F1737-'Raw Price Data'!F1736)/'Raw Price Data'!F1736</f>
        <v>6.5171187766783888E-3</v>
      </c>
    </row>
    <row r="1738" spans="1:6" ht="15" customHeight="1" x14ac:dyDescent="0.3">
      <c r="A1738" s="19">
        <v>45896</v>
      </c>
      <c r="B1738" s="26">
        <f>('Raw Price Data'!B1738-'Raw Price Data'!B1737)/'Raw Price Data'!B1737</f>
        <v>-2.8803621026642005E-3</v>
      </c>
      <c r="C1738" s="26">
        <f>('Raw Price Data'!C1738-'Raw Price Data'!C1737)/'Raw Price Data'!C1737</f>
        <v>3.2739324093731064E-3</v>
      </c>
      <c r="D1738" s="26">
        <f>('Raw Price Data'!D1738-'Raw Price Data'!D1737)/'Raw Price Data'!D1737</f>
        <v>-1.9068200597470285E-2</v>
      </c>
      <c r="E1738" s="26">
        <f>('Raw Price Data'!E1738-'Raw Price Data'!E1737)/'Raw Price Data'!E1737</f>
        <v>-3.9776780094826575E-2</v>
      </c>
      <c r="F1738" s="26">
        <f>('Raw Price Data'!F1738-'Raw Price Data'!F1737)/'Raw Price Data'!F1737</f>
        <v>-2.3520836170448289E-3</v>
      </c>
    </row>
    <row r="1739" spans="1:6" ht="15" customHeight="1" x14ac:dyDescent="0.3">
      <c r="A1739" s="21">
        <v>45897</v>
      </c>
      <c r="B1739" s="25">
        <f>('Raw Price Data'!B1739-'Raw Price Data'!B1738)/'Raw Price Data'!B1738</f>
        <v>6.7058702156194312E-3</v>
      </c>
      <c r="C1739" s="25">
        <f>('Raw Price Data'!C1739-'Raw Price Data'!C1738)/'Raw Price Data'!C1738</f>
        <v>-1.8519665079960487E-2</v>
      </c>
      <c r="D1739" s="25">
        <f>('Raw Price Data'!D1739-'Raw Price Data'!D1738)/'Raw Price Data'!D1738</f>
        <v>-1.7494978293267783E-2</v>
      </c>
      <c r="E1739" s="25">
        <f>('Raw Price Data'!E1739-'Raw Price Data'!E1738)/'Raw Price Data'!E1738</f>
        <v>6.4671181996942021E-3</v>
      </c>
      <c r="F1739" s="25">
        <f>('Raw Price Data'!F1739-'Raw Price Data'!F1738)/'Raw Price Data'!F1738</f>
        <v>-1.6695926619982131E-3</v>
      </c>
    </row>
    <row r="1740" spans="1:6" ht="15" customHeight="1" x14ac:dyDescent="0.3">
      <c r="A1740" s="19">
        <v>45898</v>
      </c>
      <c r="B1740" s="26">
        <f>('Raw Price Data'!B1740-'Raw Price Data'!B1739)/'Raw Price Data'!B1739</f>
        <v>-1.8446402951423715E-3</v>
      </c>
      <c r="C1740" s="26">
        <f>('Raw Price Data'!C1740-'Raw Price Data'!C1739)/'Raw Price Data'!C1739</f>
        <v>-2.3403639494151932E-2</v>
      </c>
      <c r="D1740" s="26">
        <f>('Raw Price Data'!D1740-'Raw Price Data'!D1739)/'Raw Price Data'!D1739</f>
        <v>1.727890259183542E-2</v>
      </c>
      <c r="E1740" s="26">
        <f>('Raw Price Data'!E1740-'Raw Price Data'!E1739)/'Raw Price Data'!E1739</f>
        <v>-8.6397777102418666E-3</v>
      </c>
      <c r="F1740" s="26">
        <f>('Raw Price Data'!F1740-'Raw Price Data'!F1739)/'Raw Price Data'!F1739</f>
        <v>1.0939657414015553E-2</v>
      </c>
    </row>
    <row r="1741" spans="1:6" ht="15" customHeight="1" x14ac:dyDescent="0.3">
      <c r="A1741" s="21">
        <v>45901</v>
      </c>
      <c r="B1741" s="25">
        <f>('Raw Price Data'!B1741-'Raw Price Data'!B1740)/'Raw Price Data'!B1740</f>
        <v>1.2320328542094338E-2</v>
      </c>
      <c r="C1741" s="25">
        <f>('Raw Price Data'!C1741-'Raw Price Data'!C1740)/'Raw Price Data'!C1740</f>
        <v>-3.642360200774377E-2</v>
      </c>
      <c r="D1741" s="25">
        <f>('Raw Price Data'!D1741-'Raw Price Data'!D1740)/'Raw Price Data'!D1740</f>
        <v>-8.2982171799027629E-3</v>
      </c>
      <c r="E1741" s="25">
        <f>('Raw Price Data'!E1741-'Raw Price Data'!E1740)/'Raw Price Data'!E1740</f>
        <v>-1.6773232898309592E-2</v>
      </c>
      <c r="F1741" s="25">
        <f>('Raw Price Data'!F1741-'Raw Price Data'!F1740)/'Raw Price Data'!F1740</f>
        <v>6.3919918724134831E-3</v>
      </c>
    </row>
    <row r="1742" spans="1:6" ht="15" customHeight="1" x14ac:dyDescent="0.3">
      <c r="A1742" s="19">
        <v>45902</v>
      </c>
      <c r="B1742" s="26">
        <f>('Raw Price Data'!B1742-'Raw Price Data'!B1741)/'Raw Price Data'!B1741</f>
        <v>1.7241379310345001E-3</v>
      </c>
      <c r="C1742" s="26">
        <f>('Raw Price Data'!C1742-'Raw Price Data'!C1741)/'Raw Price Data'!C1741</f>
        <v>1.434176541335608E-2</v>
      </c>
      <c r="D1742" s="26">
        <f>('Raw Price Data'!D1742-'Raw Price Data'!D1741)/'Raw Price Data'!D1741</f>
        <v>1.7650519709747677E-3</v>
      </c>
      <c r="E1742" s="26">
        <f>('Raw Price Data'!E1742-'Raw Price Data'!E1741)/'Raw Price Data'!E1741</f>
        <v>2.378513206538686E-2</v>
      </c>
      <c r="F1742" s="26">
        <f>('Raw Price Data'!F1742-'Raw Price Data'!F1741)/'Raw Price Data'!F1741</f>
        <v>4.1461566337924532E-3</v>
      </c>
    </row>
    <row r="1743" spans="1:6" ht="15" customHeight="1" x14ac:dyDescent="0.3">
      <c r="A1743" s="21">
        <v>45903</v>
      </c>
      <c r="B1743" s="25">
        <f>('Raw Price Data'!B1743-'Raw Price Data'!B1742)/'Raw Price Data'!B1742</f>
        <v>1.2655664675508759E-2</v>
      </c>
      <c r="C1743" s="25">
        <f>('Raw Price Data'!C1743-'Raw Price Data'!C1742)/'Raw Price Data'!C1742</f>
        <v>1.6117745848106001E-2</v>
      </c>
      <c r="D1743" s="25">
        <f>('Raw Price Data'!D1743-'Raw Price Data'!D1742)/'Raw Price Data'!D1742</f>
        <v>2.0882276168101878E-3</v>
      </c>
      <c r="E1743" s="25">
        <f>('Raw Price Data'!E1743-'Raw Price Data'!E1742)/'Raw Price Data'!E1742</f>
        <v>-1.7533173809005879E-2</v>
      </c>
      <c r="F1743" s="25">
        <f>('Raw Price Data'!F1743-'Raw Price Data'!F1742)/'Raw Price Data'!F1742</f>
        <v>1.5607910715787505E-3</v>
      </c>
    </row>
    <row r="1744" spans="1:6" ht="15" customHeight="1" x14ac:dyDescent="0.3">
      <c r="A1744" s="19">
        <v>45904</v>
      </c>
      <c r="B1744" s="26">
        <f>('Raw Price Data'!B1744-'Raw Price Data'!B1743)/'Raw Price Data'!B1743</f>
        <v>1.7596480703859281E-2</v>
      </c>
      <c r="C1744" s="26">
        <f>('Raw Price Data'!C1744-'Raw Price Data'!C1743)/'Raw Price Data'!C1743</f>
        <v>-4.8703410386490131E-3</v>
      </c>
      <c r="D1744" s="26">
        <f>('Raw Price Data'!D1744-'Raw Price Data'!D1743)/'Raw Price Data'!D1743</f>
        <v>-1.3675436311539981E-3</v>
      </c>
      <c r="E1744" s="26">
        <f>('Raw Price Data'!E1744-'Raw Price Data'!E1743)/'Raw Price Data'!E1743</f>
        <v>2.302718979718405E-3</v>
      </c>
      <c r="F1744" s="26">
        <f>('Raw Price Data'!F1744-'Raw Price Data'!F1743)/'Raw Price Data'!F1743</f>
        <v>-8.3183918200645315E-3</v>
      </c>
    </row>
    <row r="1745" spans="1:6" ht="15" customHeight="1" x14ac:dyDescent="0.3">
      <c r="A1745" s="21">
        <v>45905</v>
      </c>
      <c r="B1745" s="25">
        <f>('Raw Price Data'!B1745-'Raw Price Data'!B1744)/'Raw Price Data'!B1744</f>
        <v>-1.9944979367262736E-2</v>
      </c>
      <c r="C1745" s="25">
        <f>('Raw Price Data'!C1745-'Raw Price Data'!C1744)/'Raw Price Data'!C1744</f>
        <v>-4.6135214624873523E-4</v>
      </c>
      <c r="D1745" s="25">
        <f>('Raw Price Data'!D1745-'Raw Price Data'!D1744)/'Raw Price Data'!D1744</f>
        <v>1.5780893381154328E-2</v>
      </c>
      <c r="E1745" s="25">
        <f>('Raw Price Data'!E1745-'Raw Price Data'!E1744)/'Raw Price Data'!E1744</f>
        <v>-2.2930105151541917E-2</v>
      </c>
      <c r="F1745" s="25">
        <f>('Raw Price Data'!F1745-'Raw Price Data'!F1744)/'Raw Price Data'!F1744</f>
        <v>-8.2407610786829951E-3</v>
      </c>
    </row>
    <row r="1746" spans="1:6" ht="15" customHeight="1" x14ac:dyDescent="0.3">
      <c r="A1746" s="19">
        <v>45908</v>
      </c>
      <c r="B1746" s="26">
        <f>('Raw Price Data'!B1746-'Raw Price Data'!B1745)/'Raw Price Data'!B1745</f>
        <v>1.3032581453634057E-2</v>
      </c>
      <c r="C1746" s="26">
        <f>('Raw Price Data'!C1746-'Raw Price Data'!C1745)/'Raw Price Data'!C1745</f>
        <v>3.1547973921572395E-2</v>
      </c>
      <c r="D1746" s="26">
        <f>('Raw Price Data'!D1746-'Raw Price Data'!D1745)/'Raw Price Data'!D1745</f>
        <v>-7.1900879501829908E-3</v>
      </c>
      <c r="E1746" s="26">
        <f>('Raw Price Data'!E1746-'Raw Price Data'!E1745)/'Raw Price Data'!E1745</f>
        <v>6.8279448338231553E-3</v>
      </c>
      <c r="F1746" s="26">
        <f>('Raw Price Data'!F1746-'Raw Price Data'!F1745)/'Raw Price Data'!F1745</f>
        <v>1.8153873218972531E-3</v>
      </c>
    </row>
    <row r="1747" spans="1:6" ht="15" customHeight="1" x14ac:dyDescent="0.3">
      <c r="A1747" s="21">
        <v>45909</v>
      </c>
      <c r="B1747" s="25">
        <f>('Raw Price Data'!B1747-'Raw Price Data'!B1746)/'Raw Price Data'!B1746</f>
        <v>2.5037110341415154E-2</v>
      </c>
      <c r="C1747" s="25">
        <f>('Raw Price Data'!C1747-'Raw Price Data'!C1746)/'Raw Price Data'!C1746</f>
        <v>-1.2726194781999168E-2</v>
      </c>
      <c r="D1747" s="25">
        <f>('Raw Price Data'!D1747-'Raw Price Data'!D1746)/'Raw Price Data'!D1746</f>
        <v>-1.7070805043647039E-2</v>
      </c>
      <c r="E1747" s="25">
        <f>('Raw Price Data'!E1747-'Raw Price Data'!E1746)/'Raw Price Data'!E1746</f>
        <v>-2.6138507140932334E-2</v>
      </c>
      <c r="F1747" s="25">
        <f>('Raw Price Data'!F1747-'Raw Price Data'!F1746)/'Raw Price Data'!F1746</f>
        <v>1.2100053818085453E-2</v>
      </c>
    </row>
    <row r="1748" spans="1:6" ht="15" customHeight="1" x14ac:dyDescent="0.3">
      <c r="A1748" s="19">
        <v>45910</v>
      </c>
      <c r="B1748" s="26">
        <f>('Raw Price Data'!B1748-'Raw Price Data'!B1747)/'Raw Price Data'!B1747</f>
        <v>-1.3129947866383466E-2</v>
      </c>
      <c r="C1748" s="26">
        <f>('Raw Price Data'!C1748-'Raw Price Data'!C1747)/'Raw Price Data'!C1747</f>
        <v>-2.0304108409435886E-2</v>
      </c>
      <c r="D1748" s="26">
        <f>('Raw Price Data'!D1748-'Raw Price Data'!D1747)/'Raw Price Data'!D1747</f>
        <v>-3.5852904414183207E-2</v>
      </c>
      <c r="E1748" s="26">
        <f>('Raw Price Data'!E1748-'Raw Price Data'!E1747)/'Raw Price Data'!E1747</f>
        <v>4.6578122117690041E-3</v>
      </c>
      <c r="F1748" s="26">
        <f>('Raw Price Data'!F1748-'Raw Price Data'!F1747)/'Raw Price Data'!F1747</f>
        <v>-1.1143636864646337E-2</v>
      </c>
    </row>
    <row r="1749" spans="1:6" ht="15" customHeight="1" x14ac:dyDescent="0.3">
      <c r="A1749" s="21">
        <v>45911</v>
      </c>
      <c r="B1749" s="25">
        <f>('Raw Price Data'!B1749-'Raw Price Data'!B1748)/'Raw Price Data'!B1748</f>
        <v>-9.7828213656868672E-5</v>
      </c>
      <c r="C1749" s="25">
        <f>('Raw Price Data'!C1749-'Raw Price Data'!C1748)/'Raw Price Data'!C1748</f>
        <v>2.8450489209631952E-3</v>
      </c>
      <c r="D1749" s="25">
        <f>('Raw Price Data'!D1749-'Raw Price Data'!D1748)/'Raw Price Data'!D1748</f>
        <v>-1.4328602620087879E-3</v>
      </c>
      <c r="E1749" s="25">
        <f>('Raw Price Data'!E1749-'Raw Price Data'!E1748)/'Raw Price Data'!E1748</f>
        <v>2.7082855175579687E-3</v>
      </c>
      <c r="F1749" s="25">
        <f>('Raw Price Data'!F1749-'Raw Price Data'!F1748)/'Raw Price Data'!F1748</f>
        <v>4.0630043751514406E-3</v>
      </c>
    </row>
    <row r="1750" spans="1:6" ht="15" customHeight="1" x14ac:dyDescent="0.3">
      <c r="A1750" s="19">
        <v>45912</v>
      </c>
      <c r="B1750" s="26">
        <f>('Raw Price Data'!B1750-'Raw Price Data'!B1749)/'Raw Price Data'!B1749</f>
        <v>-4.6962136777222363E-3</v>
      </c>
      <c r="C1750" s="26">
        <f>('Raw Price Data'!C1750-'Raw Price Data'!C1749)/'Raw Price Data'!C1749</f>
        <v>1.0286926838269121E-2</v>
      </c>
      <c r="D1750" s="26">
        <f>('Raw Price Data'!D1750-'Raw Price Data'!D1749)/'Raw Price Data'!D1749</f>
        <v>-3.7581141100101328E-3</v>
      </c>
      <c r="E1750" s="26">
        <f>('Raw Price Data'!E1750-'Raw Price Data'!E1749)/'Raw Price Data'!E1749</f>
        <v>1.4374656656290124E-2</v>
      </c>
      <c r="F1750" s="26">
        <f>('Raw Price Data'!F1750-'Raw Price Data'!F1749)/'Raw Price Data'!F1749</f>
        <v>4.8625849713904729E-3</v>
      </c>
    </row>
    <row r="1751" spans="1:6" ht="15" customHeight="1" x14ac:dyDescent="0.3">
      <c r="A1751" s="21">
        <v>45915</v>
      </c>
      <c r="B1751" s="25">
        <f>('Raw Price Data'!B1751-'Raw Price Data'!B1750)/'Raw Price Data'!B1750</f>
        <v>6.4877617222058055E-3</v>
      </c>
      <c r="C1751" s="25">
        <f>('Raw Price Data'!C1751-'Raw Price Data'!C1750)/'Raw Price Data'!C1750</f>
        <v>-4.6382965770208574E-3</v>
      </c>
      <c r="D1751" s="25">
        <f>('Raw Price Data'!D1751-'Raw Price Data'!D1750)/'Raw Price Data'!D1750</f>
        <v>1.9890260631001213E-2</v>
      </c>
      <c r="E1751" s="25">
        <f>('Raw Price Data'!E1751-'Raw Price Data'!E1750)/'Raw Price Data'!E1750</f>
        <v>-2.4054517555736132E-2</v>
      </c>
      <c r="F1751" s="25">
        <f>('Raw Price Data'!F1751-'Raw Price Data'!F1750)/'Raw Price Data'!F1750</f>
        <v>-2.5699471647898067E-3</v>
      </c>
    </row>
    <row r="1752" spans="1:6" ht="15" customHeight="1" x14ac:dyDescent="0.3">
      <c r="A1752" s="19">
        <v>45916</v>
      </c>
      <c r="B1752" s="26">
        <f>('Raw Price Data'!B1752-'Raw Price Data'!B1751)/'Raw Price Data'!B1751</f>
        <v>7.5202656509424362E-3</v>
      </c>
      <c r="C1752" s="26">
        <f>('Raw Price Data'!C1752-'Raw Price Data'!C1751)/'Raw Price Data'!C1751</f>
        <v>-2.4561054768285087E-2</v>
      </c>
      <c r="D1752" s="26">
        <f>('Raw Price Data'!D1752-'Raw Price Data'!D1751)/'Raw Price Data'!D1751</f>
        <v>-1.0692669804976296E-2</v>
      </c>
      <c r="E1752" s="26">
        <f>('Raw Price Data'!E1752-'Raw Price Data'!E1751)/'Raw Price Data'!E1751</f>
        <v>-7.7687861271676616E-3</v>
      </c>
      <c r="F1752" s="26">
        <f>('Raw Price Data'!F1752-'Raw Price Data'!F1751)/'Raw Price Data'!F1751</f>
        <v>-9.9182623873689865E-4</v>
      </c>
    </row>
    <row r="1753" spans="1:6" ht="15" customHeight="1" x14ac:dyDescent="0.3">
      <c r="A1753" s="21">
        <v>45917</v>
      </c>
      <c r="B1753" s="25">
        <f>('Raw Price Data'!B1753-'Raw Price Data'!B1752)/'Raw Price Data'!B1752</f>
        <v>-9.0151221403644115E-3</v>
      </c>
      <c r="C1753" s="25">
        <f>('Raw Price Data'!C1753-'Raw Price Data'!C1752)/'Raw Price Data'!C1752</f>
        <v>-1.2936575119137103E-2</v>
      </c>
      <c r="D1753" s="25">
        <f>('Raw Price Data'!D1753-'Raw Price Data'!D1752)/'Raw Price Data'!D1752</f>
        <v>1.6518251648426199E-2</v>
      </c>
      <c r="E1753" s="25">
        <f>('Raw Price Data'!E1753-'Raw Price Data'!E1752)/'Raw Price Data'!E1752</f>
        <v>-1.5099967376613604E-2</v>
      </c>
      <c r="F1753" s="25">
        <f>('Raw Price Data'!F1753-'Raw Price Data'!F1752)/'Raw Price Data'!F1752</f>
        <v>7.6181731343841876E-3</v>
      </c>
    </row>
    <row r="1754" spans="1:6" ht="15" customHeight="1" x14ac:dyDescent="0.3">
      <c r="A1754" s="19">
        <v>45918</v>
      </c>
      <c r="B1754" s="26">
        <f>('Raw Price Data'!B1754-'Raw Price Data'!B1753)/'Raw Price Data'!B1753</f>
        <v>1.8585542404382191E-2</v>
      </c>
      <c r="C1754" s="26">
        <f>('Raw Price Data'!C1754-'Raw Price Data'!C1753)/'Raw Price Data'!C1753</f>
        <v>1.2677325731437558E-2</v>
      </c>
      <c r="D1754" s="26">
        <f>('Raw Price Data'!D1754-'Raw Price Data'!D1753)/'Raw Price Data'!D1753</f>
        <v>-4.2129196201684867E-3</v>
      </c>
      <c r="E1754" s="26">
        <f>('Raw Price Data'!E1754-'Raw Price Data'!E1753)/'Raw Price Data'!E1753</f>
        <v>1.4053849429801726E-2</v>
      </c>
      <c r="F1754" s="26">
        <f>('Raw Price Data'!F1754-'Raw Price Data'!F1753)/'Raw Price Data'!F1753</f>
        <v>-8.532734946459725E-3</v>
      </c>
    </row>
    <row r="1755" spans="1:6" ht="15" customHeight="1" x14ac:dyDescent="0.3">
      <c r="A1755" s="21">
        <v>45919</v>
      </c>
      <c r="B1755" s="25">
        <f>('Raw Price Data'!B1755-'Raw Price Data'!B1754)/'Raw Price Data'!B1754</f>
        <v>-1.1620090271775605E-2</v>
      </c>
      <c r="C1755" s="25">
        <f>('Raw Price Data'!C1755-'Raw Price Data'!C1754)/'Raw Price Data'!C1754</f>
        <v>1.3204736140516071E-2</v>
      </c>
      <c r="D1755" s="25">
        <f>('Raw Price Data'!D1755-'Raw Price Data'!D1754)/'Raw Price Data'!D1754</f>
        <v>2.753340944194476E-2</v>
      </c>
      <c r="E1755" s="25">
        <f>('Raw Price Data'!E1755-'Raw Price Data'!E1754)/'Raw Price Data'!E1754</f>
        <v>-3.2197853476434932E-2</v>
      </c>
      <c r="F1755" s="25">
        <f>('Raw Price Data'!F1755-'Raw Price Data'!F1754)/'Raw Price Data'!F1754</f>
        <v>1.6117947021171648E-2</v>
      </c>
    </row>
    <row r="1756" spans="1:6" ht="15" customHeight="1" x14ac:dyDescent="0.3">
      <c r="A1756" s="19">
        <v>45922</v>
      </c>
      <c r="B1756" s="26">
        <f>('Raw Price Data'!B1756-'Raw Price Data'!B1755)/'Raw Price Data'!B1755</f>
        <v>-1.5546055188495587E-3</v>
      </c>
      <c r="C1756" s="26">
        <f>('Raw Price Data'!C1756-'Raw Price Data'!C1755)/'Raw Price Data'!C1755</f>
        <v>-2.887458015385343E-2</v>
      </c>
      <c r="D1756" s="26">
        <f>('Raw Price Data'!D1756-'Raw Price Data'!D1755)/'Raw Price Data'!D1755</f>
        <v>-1.4966342069145756E-2</v>
      </c>
      <c r="E1756" s="26">
        <f>('Raw Price Data'!E1756-'Raw Price Data'!E1755)/'Raw Price Data'!E1755</f>
        <v>-6.9431051108968063E-3</v>
      </c>
      <c r="F1756" s="26">
        <f>('Raw Price Data'!F1756-'Raw Price Data'!F1755)/'Raw Price Data'!F1755</f>
        <v>-1.9442599182660999E-2</v>
      </c>
    </row>
    <row r="1757" spans="1:6" ht="15" customHeight="1" x14ac:dyDescent="0.3">
      <c r="A1757" s="21">
        <v>45923</v>
      </c>
      <c r="B1757" s="25">
        <f>('Raw Price Data'!B1757-'Raw Price Data'!B1756)/'Raw Price Data'!B1756</f>
        <v>1.4499805371739926E-2</v>
      </c>
      <c r="C1757" s="25">
        <f>('Raw Price Data'!C1757-'Raw Price Data'!C1756)/'Raw Price Data'!C1756</f>
        <v>-2.0970968178956377E-2</v>
      </c>
      <c r="D1757" s="25">
        <f>('Raw Price Data'!D1757-'Raw Price Data'!D1756)/'Raw Price Data'!D1756</f>
        <v>-5.9049893842886567E-3</v>
      </c>
      <c r="E1757" s="25">
        <f>('Raw Price Data'!E1757-'Raw Price Data'!E1756)/'Raw Price Data'!E1756</f>
        <v>9.6620703049134816E-3</v>
      </c>
      <c r="F1757" s="25">
        <f>('Raw Price Data'!F1757-'Raw Price Data'!F1756)/'Raw Price Data'!F1756</f>
        <v>7.8270602831189903E-3</v>
      </c>
    </row>
    <row r="1758" spans="1:6" ht="15" customHeight="1" x14ac:dyDescent="0.3">
      <c r="A1758" s="19">
        <v>45924</v>
      </c>
      <c r="B1758" s="26">
        <f>('Raw Price Data'!B1758-'Raw Price Data'!B1757)/'Raw Price Data'!B1757</f>
        <v>2.7338129496402824E-2</v>
      </c>
      <c r="C1758" s="26">
        <f>('Raw Price Data'!C1758-'Raw Price Data'!C1757)/'Raw Price Data'!C1757</f>
        <v>-1.6780421891470602E-2</v>
      </c>
      <c r="D1758" s="26">
        <f>('Raw Price Data'!D1758-'Raw Price Data'!D1757)/'Raw Price Data'!D1757</f>
        <v>1.107922311953545E-2</v>
      </c>
      <c r="E1758" s="26">
        <f>('Raw Price Data'!E1758-'Raw Price Data'!E1757)/'Raw Price Data'!E1757</f>
        <v>3.7509016590526628E-3</v>
      </c>
      <c r="F1758" s="26">
        <f>('Raw Price Data'!F1758-'Raw Price Data'!F1757)/'Raw Price Data'!F1757</f>
        <v>8.2107204005733864E-3</v>
      </c>
    </row>
    <row r="1759" spans="1:6" ht="15" customHeight="1" x14ac:dyDescent="0.3">
      <c r="A1759" s="21">
        <v>45925</v>
      </c>
      <c r="B1759" s="25">
        <f>('Raw Price Data'!B1759-'Raw Price Data'!B1758)/'Raw Price Data'!B1758</f>
        <v>-6.7226890756302421E-3</v>
      </c>
      <c r="C1759" s="25">
        <f>('Raw Price Data'!C1759-'Raw Price Data'!C1758)/'Raw Price Data'!C1758</f>
        <v>1.49018958522921E-4</v>
      </c>
      <c r="D1759" s="25">
        <f>('Raw Price Data'!D1759-'Raw Price Data'!D1758)/'Raw Price Data'!D1758</f>
        <v>1.9143177767509255E-2</v>
      </c>
      <c r="E1759" s="25">
        <f>('Raw Price Data'!E1759-'Raw Price Data'!E1758)/'Raw Price Data'!E1758</f>
        <v>-2.850572509941067E-2</v>
      </c>
      <c r="F1759" s="25">
        <f>('Raw Price Data'!F1759-'Raw Price Data'!F1758)/'Raw Price Data'!F1758</f>
        <v>1.6042160768261135E-2</v>
      </c>
    </row>
    <row r="1760" spans="1:6" ht="15" customHeight="1" x14ac:dyDescent="0.3">
      <c r="A1760" s="19">
        <v>45926</v>
      </c>
      <c r="B1760" s="26">
        <f>('Raw Price Data'!B1760-'Raw Price Data'!B1759)/'Raw Price Data'!B1759</f>
        <v>1.1092310584696436E-2</v>
      </c>
      <c r="C1760" s="26">
        <f>('Raw Price Data'!C1760-'Raw Price Data'!C1759)/'Raw Price Data'!C1759</f>
        <v>3.9517250513211054E-2</v>
      </c>
      <c r="D1760" s="26">
        <f>('Raw Price Data'!D1760-'Raw Price Data'!D1759)/'Raw Price Data'!D1759</f>
        <v>1.3666688257011554E-2</v>
      </c>
      <c r="E1760" s="26">
        <f>('Raw Price Data'!E1760-'Raw Price Data'!E1759)/'Raw Price Data'!E1759</f>
        <v>2.1501134234145305E-2</v>
      </c>
      <c r="F1760" s="26">
        <f>('Raw Price Data'!F1760-'Raw Price Data'!F1759)/'Raw Price Data'!F1759</f>
        <v>-2.2773969616763663E-2</v>
      </c>
    </row>
    <row r="1761" spans="1:6" ht="15" customHeight="1" x14ac:dyDescent="0.3">
      <c r="A1761" s="21">
        <v>45929</v>
      </c>
      <c r="B1761" s="25">
        <f>('Raw Price Data'!B1761-'Raw Price Data'!B1760)/'Raw Price Data'!B1760</f>
        <v>3.4399404983265578E-3</v>
      </c>
      <c r="C1761" s="25">
        <f>('Raw Price Data'!C1761-'Raw Price Data'!C1760)/'Raw Price Data'!C1760</f>
        <v>-4.4472934019206866E-3</v>
      </c>
      <c r="D1761" s="25">
        <f>('Raw Price Data'!D1761-'Raw Price Data'!D1760)/'Raw Price Data'!D1760</f>
        <v>-2.0638977635782683E-2</v>
      </c>
      <c r="E1761" s="25">
        <f>('Raw Price Data'!E1761-'Raw Price Data'!E1760)/'Raw Price Data'!E1760</f>
        <v>1.5931254224196801E-3</v>
      </c>
      <c r="F1761" s="25">
        <f>('Raw Price Data'!F1761-'Raw Price Data'!F1760)/'Raw Price Data'!F1760</f>
        <v>-1.1682322297485802E-2</v>
      </c>
    </row>
    <row r="1762" spans="1:6" ht="15" customHeight="1" x14ac:dyDescent="0.3">
      <c r="A1762" s="19">
        <v>45930</v>
      </c>
      <c r="B1762" s="26">
        <f>('Raw Price Data'!B1762-'Raw Price Data'!B1761)/'Raw Price Data'!B1761</f>
        <v>-2.1680718984527038E-2</v>
      </c>
      <c r="C1762" s="26">
        <f>('Raw Price Data'!C1762-'Raw Price Data'!C1761)/'Raw Price Data'!C1761</f>
        <v>1.6916819637908147E-3</v>
      </c>
      <c r="D1762" s="26">
        <f>('Raw Price Data'!D1762-'Raw Price Data'!D1761)/'Raw Price Data'!D1761</f>
        <v>1.755072747439158E-2</v>
      </c>
      <c r="E1762" s="26">
        <f>('Raw Price Data'!E1762-'Raw Price Data'!E1761)/'Raw Price Data'!E1761</f>
        <v>1.9328095628283564E-2</v>
      </c>
      <c r="F1762" s="26">
        <f>('Raw Price Data'!F1762-'Raw Price Data'!F1761)/'Raw Price Data'!F1761</f>
        <v>1.2597580220523284E-2</v>
      </c>
    </row>
    <row r="1763" spans="1:6" ht="15" customHeight="1" x14ac:dyDescent="0.3">
      <c r="A1763" s="21">
        <v>45931</v>
      </c>
      <c r="B1763" s="25">
        <f>('Raw Price Data'!B1763-'Raw Price Data'!B1762)/'Raw Price Data'!B1762</f>
        <v>-1.2880007576475038E-2</v>
      </c>
      <c r="C1763" s="25">
        <f>('Raw Price Data'!C1763-'Raw Price Data'!C1762)/'Raw Price Data'!C1762</f>
        <v>-1.3462690142531961E-2</v>
      </c>
      <c r="D1763" s="25">
        <f>('Raw Price Data'!D1763-'Raw Price Data'!D1762)/'Raw Price Data'!D1762</f>
        <v>2.5647601949212645E-4</v>
      </c>
      <c r="E1763" s="25">
        <f>('Raw Price Data'!E1763-'Raw Price Data'!E1762)/'Raw Price Data'!E1762</f>
        <v>-7.5184414601853766E-3</v>
      </c>
      <c r="F1763" s="25">
        <f>('Raw Price Data'!F1763-'Raw Price Data'!F1762)/'Raw Price Data'!F1762</f>
        <v>-8.491722150479105E-3</v>
      </c>
    </row>
    <row r="1764" spans="1:6" ht="15" customHeight="1" x14ac:dyDescent="0.3">
      <c r="A1764" s="19">
        <v>45932</v>
      </c>
      <c r="B1764" s="26">
        <f>('Raw Price Data'!B1764-'Raw Price Data'!B1763)/'Raw Price Data'!B1763</f>
        <v>-1.6406025136716951E-2</v>
      </c>
      <c r="C1764" s="26">
        <f>('Raw Price Data'!C1764-'Raw Price Data'!C1763)/'Raw Price Data'!C1763</f>
        <v>4.6192199046532094E-2</v>
      </c>
      <c r="D1764" s="26">
        <f>('Raw Price Data'!D1764-'Raw Price Data'!D1763)/'Raw Price Data'!D1763</f>
        <v>-2.525641025641024E-2</v>
      </c>
      <c r="E1764" s="26">
        <f>('Raw Price Data'!E1764-'Raw Price Data'!E1763)/'Raw Price Data'!E1763</f>
        <v>1.1434560960503555E-3</v>
      </c>
      <c r="F1764" s="26">
        <f>('Raw Price Data'!F1764-'Raw Price Data'!F1763)/'Raw Price Data'!F1763</f>
        <v>2.658431263621933E-5</v>
      </c>
    </row>
    <row r="1765" spans="1:6" ht="15" customHeight="1" x14ac:dyDescent="0.3">
      <c r="A1765" s="21">
        <v>45933</v>
      </c>
      <c r="B1765" s="25">
        <f>('Raw Price Data'!B1765-'Raw Price Data'!B1764)/'Raw Price Data'!B1764</f>
        <v>-6.632852126414286E-3</v>
      </c>
      <c r="C1765" s="25">
        <f>('Raw Price Data'!C1765-'Raw Price Data'!C1764)/'Raw Price Data'!C1764</f>
        <v>-1.0018877266819371E-2</v>
      </c>
      <c r="D1765" s="25">
        <f>('Raw Price Data'!D1765-'Raw Price Data'!D1764)/'Raw Price Data'!D1764</f>
        <v>-8.4177298434828431E-3</v>
      </c>
      <c r="E1765" s="25">
        <f>('Raw Price Data'!E1765-'Raw Price Data'!E1764)/'Raw Price Data'!E1764</f>
        <v>4.1878836910483773E-3</v>
      </c>
      <c r="F1765" s="25">
        <f>('Raw Price Data'!F1765-'Raw Price Data'!F1764)/'Raw Price Data'!F1764</f>
        <v>1.2544139047896426E-2</v>
      </c>
    </row>
    <row r="1766" spans="1:6" ht="15" customHeight="1" x14ac:dyDescent="0.3">
      <c r="A1766" s="19">
        <v>45936</v>
      </c>
      <c r="B1766" s="26">
        <f>('Raw Price Data'!B1766-'Raw Price Data'!B1765)/'Raw Price Data'!B1765</f>
        <v>-5.498821681068365E-3</v>
      </c>
      <c r="C1766" s="26">
        <f>('Raw Price Data'!C1766-'Raw Price Data'!C1765)/'Raw Price Data'!C1765</f>
        <v>-8.4322567032142325E-3</v>
      </c>
      <c r="D1766" s="26">
        <f>('Raw Price Data'!D1766-'Raw Price Data'!D1765)/'Raw Price Data'!D1765</f>
        <v>-5.1067780872795475E-3</v>
      </c>
      <c r="E1766" s="26">
        <f>('Raw Price Data'!E1766-'Raw Price Data'!E1765)/'Raw Price Data'!E1765</f>
        <v>-7.7721435003079778E-3</v>
      </c>
      <c r="F1766" s="26">
        <f>('Raw Price Data'!F1766-'Raw Price Data'!F1765)/'Raw Price Data'!F1765</f>
        <v>-1.1748013073081416E-2</v>
      </c>
    </row>
    <row r="1767" spans="1:6" ht="15" customHeight="1" x14ac:dyDescent="0.3">
      <c r="A1767" s="21">
        <v>45937</v>
      </c>
      <c r="B1767" s="25">
        <f>('Raw Price Data'!B1767-'Raw Price Data'!B1766)/'Raw Price Data'!B1766</f>
        <v>7.8988941548181573E-4</v>
      </c>
      <c r="C1767" s="25">
        <f>('Raw Price Data'!C1767-'Raw Price Data'!C1766)/'Raw Price Data'!C1766</f>
        <v>3.3495688907804102E-3</v>
      </c>
      <c r="D1767" s="25">
        <f>('Raw Price Data'!D1767-'Raw Price Data'!D1766)/'Raw Price Data'!D1766</f>
        <v>-1.213252449836673E-2</v>
      </c>
      <c r="E1767" s="25">
        <f>('Raw Price Data'!E1767-'Raw Price Data'!E1766)/'Raw Price Data'!E1766</f>
        <v>4.2269666141280957E-2</v>
      </c>
      <c r="F1767" s="25">
        <f>('Raw Price Data'!F1767-'Raw Price Data'!F1766)/'Raw Price Data'!F1766</f>
        <v>-1.1477453550849356E-2</v>
      </c>
    </row>
    <row r="1768" spans="1:6" ht="15" customHeight="1" x14ac:dyDescent="0.3">
      <c r="A1768" s="19">
        <v>45938</v>
      </c>
      <c r="B1768" s="26">
        <f>('Raw Price Data'!B1768-'Raw Price Data'!B1767)/'Raw Price Data'!B1767</f>
        <v>1.7955801104972448E-2</v>
      </c>
      <c r="C1768" s="26">
        <f>('Raw Price Data'!C1768-'Raw Price Data'!C1767)/'Raw Price Data'!C1767</f>
        <v>-2.2763870015003119E-2</v>
      </c>
      <c r="D1768" s="26">
        <f>('Raw Price Data'!D1768-'Raw Price Data'!D1767)/'Raw Price Data'!D1767</f>
        <v>2.0919090356974118E-2</v>
      </c>
      <c r="E1768" s="26">
        <f>('Raw Price Data'!E1768-'Raw Price Data'!E1767)/'Raw Price Data'!E1767</f>
        <v>-4.674182018146871E-3</v>
      </c>
      <c r="F1768" s="26">
        <f>('Raw Price Data'!F1768-'Raw Price Data'!F1767)/'Raw Price Data'!F1767</f>
        <v>-1.0842411161905414E-2</v>
      </c>
    </row>
    <row r="1769" spans="1:6" ht="15" customHeight="1" x14ac:dyDescent="0.3">
      <c r="A1769" s="21">
        <v>45939</v>
      </c>
      <c r="B1769" s="25">
        <f>('Raw Price Data'!B1769-'Raw Price Data'!B1768)/'Raw Price Data'!B1768</f>
        <v>6.2027524714090548E-3</v>
      </c>
      <c r="C1769" s="25">
        <f>('Raw Price Data'!C1769-'Raw Price Data'!C1768)/'Raw Price Data'!C1768</f>
        <v>1.4862268806919121E-2</v>
      </c>
      <c r="D1769" s="25">
        <f>('Raw Price Data'!D1769-'Raw Price Data'!D1768)/'Raw Price Data'!D1768</f>
        <v>8.8571617423491532E-3</v>
      </c>
      <c r="E1769" s="25">
        <f>('Raw Price Data'!E1769-'Raw Price Data'!E1768)/'Raw Price Data'!E1768</f>
        <v>6.860036832412565E-3</v>
      </c>
      <c r="F1769" s="25">
        <f>('Raw Price Data'!F1769-'Raw Price Data'!F1768)/'Raw Price Data'!F1768</f>
        <v>-1.2086390724050539E-4</v>
      </c>
    </row>
    <row r="1770" spans="1:6" ht="15" customHeight="1" x14ac:dyDescent="0.3">
      <c r="A1770" s="19">
        <v>45940</v>
      </c>
      <c r="B1770" s="26">
        <f>('Raw Price Data'!B1770-'Raw Price Data'!B1769)/'Raw Price Data'!B1769</f>
        <v>3.7083413600462425E-2</v>
      </c>
      <c r="C1770" s="26">
        <f>('Raw Price Data'!C1770-'Raw Price Data'!C1769)/'Raw Price Data'!C1769</f>
        <v>4.4749639626800249E-4</v>
      </c>
      <c r="D1770" s="26">
        <f>('Raw Price Data'!D1770-'Raw Price Data'!D1769)/'Raw Price Data'!D1769</f>
        <v>1.8345017362248649E-2</v>
      </c>
      <c r="E1770" s="26">
        <f>('Raw Price Data'!E1770-'Raw Price Data'!E1769)/'Raw Price Data'!E1769</f>
        <v>-1.166034112213641E-2</v>
      </c>
      <c r="F1770" s="26">
        <f>('Raw Price Data'!F1770-'Raw Price Data'!F1769)/'Raw Price Data'!F1769</f>
        <v>-8.126632734102187E-3</v>
      </c>
    </row>
    <row r="1771" spans="1:6" ht="15" customHeight="1" x14ac:dyDescent="0.3">
      <c r="A1771" s="21">
        <v>45943</v>
      </c>
      <c r="B1771" s="25">
        <f>('Raw Price Data'!B1771-'Raw Price Data'!B1770)/'Raw Price Data'!B1770</f>
        <v>-3.0649205906937709E-3</v>
      </c>
      <c r="C1771" s="25">
        <f>('Raw Price Data'!C1771-'Raw Price Data'!C1770)/'Raw Price Data'!C1770</f>
        <v>-1.4269937338943741E-2</v>
      </c>
      <c r="D1771" s="25">
        <f>('Raw Price Data'!D1771-'Raw Price Data'!D1770)/'Raw Price Data'!D1770</f>
        <v>-1.3446567586694996E-2</v>
      </c>
      <c r="E1771" s="25">
        <f>('Raw Price Data'!E1771-'Raw Price Data'!E1770)/'Raw Price Data'!E1770</f>
        <v>-1.0039789025631478E-2</v>
      </c>
      <c r="F1771" s="25">
        <f>('Raw Price Data'!F1771-'Raw Price Data'!F1770)/'Raw Price Data'!F1770</f>
        <v>9.767641329148152E-4</v>
      </c>
    </row>
    <row r="1772" spans="1:6" ht="15" customHeight="1" x14ac:dyDescent="0.3">
      <c r="A1772" s="19">
        <v>45944</v>
      </c>
      <c r="B1772" s="26">
        <f>('Raw Price Data'!B1772-'Raw Price Data'!B1771)/'Raw Price Data'!B1771</f>
        <v>1.127259176448662E-2</v>
      </c>
      <c r="C1772" s="26">
        <f>('Raw Price Data'!C1772-'Raw Price Data'!C1771)/'Raw Price Data'!C1771</f>
        <v>-9.9147070161910503E-3</v>
      </c>
      <c r="D1772" s="26">
        <f>('Raw Price Data'!D1772-'Raw Price Data'!D1771)/'Raw Price Data'!D1771</f>
        <v>-2.5890178687883129E-2</v>
      </c>
      <c r="E1772" s="26">
        <f>('Raw Price Data'!E1772-'Raw Price Data'!E1771)/'Raw Price Data'!E1771</f>
        <v>-2.2900406599056368E-3</v>
      </c>
      <c r="F1772" s="26">
        <f>('Raw Price Data'!F1772-'Raw Price Data'!F1771)/'Raw Price Data'!F1771</f>
        <v>-9.3375191177657278E-4</v>
      </c>
    </row>
    <row r="1773" spans="1:6" ht="15" customHeight="1" x14ac:dyDescent="0.3">
      <c r="A1773" s="21">
        <v>45945</v>
      </c>
      <c r="B1773" s="25">
        <f>('Raw Price Data'!B1773-'Raw Price Data'!B1772)/'Raw Price Data'!B1772</f>
        <v>6.0801473975126358E-3</v>
      </c>
      <c r="C1773" s="25">
        <f>('Raw Price Data'!C1773-'Raw Price Data'!C1772)/'Raw Price Data'!C1772</f>
        <v>-3.2812151446938852E-2</v>
      </c>
      <c r="D1773" s="25">
        <f>('Raw Price Data'!D1773-'Raw Price Data'!D1772)/'Raw Price Data'!D1772</f>
        <v>7.4981589341902959E-3</v>
      </c>
      <c r="E1773" s="25">
        <f>('Raw Price Data'!E1773-'Raw Price Data'!E1772)/'Raw Price Data'!E1772</f>
        <v>-1.3022297170695153E-2</v>
      </c>
      <c r="F1773" s="25">
        <f>('Raw Price Data'!F1773-'Raw Price Data'!F1772)/'Raw Price Data'!F1772</f>
        <v>6.0259116618593287E-3</v>
      </c>
    </row>
    <row r="1774" spans="1:6" ht="15" customHeight="1" x14ac:dyDescent="0.3">
      <c r="A1774" s="19">
        <v>45946</v>
      </c>
      <c r="B1774" s="26">
        <f>('Raw Price Data'!B1774-'Raw Price Data'!B1773)/'Raw Price Data'!B1773</f>
        <v>2.1151909165827328E-2</v>
      </c>
      <c r="C1774" s="26">
        <f>('Raw Price Data'!C1774-'Raw Price Data'!C1773)/'Raw Price Data'!C1773</f>
        <v>-9.2005116054767171E-3</v>
      </c>
      <c r="D1774" s="26">
        <f>('Raw Price Data'!D1774-'Raw Price Data'!D1773)/'Raw Price Data'!D1773</f>
        <v>9.3029437171896043E-4</v>
      </c>
      <c r="E1774" s="26">
        <f>('Raw Price Data'!E1774-'Raw Price Data'!E1773)/'Raw Price Data'!E1773</f>
        <v>-1.7465590887517698E-2</v>
      </c>
      <c r="F1774" s="26">
        <f>('Raw Price Data'!F1774-'Raw Price Data'!F1773)/'Raw Price Data'!F1773</f>
        <v>-7.137885936382515E-3</v>
      </c>
    </row>
    <row r="1775" spans="1:6" ht="15" customHeight="1" x14ac:dyDescent="0.3">
      <c r="A1775" s="21">
        <v>45947</v>
      </c>
      <c r="B1775" s="25">
        <f>('Raw Price Data'!B1775-'Raw Price Data'!B1774)/'Raw Price Data'!B1774</f>
        <v>-4.9318507890961007E-3</v>
      </c>
      <c r="C1775" s="25">
        <f>('Raw Price Data'!C1775-'Raw Price Data'!C1774)/'Raw Price Data'!C1774</f>
        <v>-3.9526645250580847E-2</v>
      </c>
      <c r="D1775" s="25">
        <f>('Raw Price Data'!D1775-'Raw Price Data'!D1774)/'Raw Price Data'!D1774</f>
        <v>1.400783376485437E-2</v>
      </c>
      <c r="E1775" s="25">
        <f>('Raw Price Data'!E1775-'Raw Price Data'!E1774)/'Raw Price Data'!E1774</f>
        <v>1.1593082793932019E-3</v>
      </c>
      <c r="F1775" s="25">
        <f>('Raw Price Data'!F1775-'Raw Price Data'!F1774)/'Raw Price Data'!F1774</f>
        <v>6.5997476015491729E-3</v>
      </c>
    </row>
    <row r="1776" spans="1:6" ht="15" customHeight="1" x14ac:dyDescent="0.3">
      <c r="A1776" s="19">
        <v>45950</v>
      </c>
      <c r="B1776" s="26">
        <f>('Raw Price Data'!B1776-'Raw Price Data'!B1775)/'Raw Price Data'!B1775</f>
        <v>1.2075335676308942E-2</v>
      </c>
      <c r="C1776" s="26">
        <f>('Raw Price Data'!C1776-'Raw Price Data'!C1775)/'Raw Price Data'!C1775</f>
        <v>-7.3502194489980651E-3</v>
      </c>
      <c r="D1776" s="26">
        <f>('Raw Price Data'!D1776-'Raw Price Data'!D1775)/'Raw Price Data'!D1775</f>
        <v>1.0802671205970782E-2</v>
      </c>
      <c r="E1776" s="26">
        <f>('Raw Price Data'!E1776-'Raw Price Data'!E1775)/'Raw Price Data'!E1775</f>
        <v>-7.3820322300492194E-3</v>
      </c>
      <c r="F1776" s="26">
        <f>('Raw Price Data'!F1776-'Raw Price Data'!F1775)/'Raw Price Data'!F1775</f>
        <v>9.9528142844522126E-3</v>
      </c>
    </row>
    <row r="1777" spans="1:6" ht="15" customHeight="1" x14ac:dyDescent="0.3">
      <c r="A1777" s="21">
        <v>45951</v>
      </c>
      <c r="B1777" s="25">
        <f>('Raw Price Data'!B1777-'Raw Price Data'!B1776)/'Raw Price Data'!B1776</f>
        <v>2.2883091443326446E-2</v>
      </c>
      <c r="C1777" s="25">
        <f>('Raw Price Data'!C1777-'Raw Price Data'!C1776)/'Raw Price Data'!C1776</f>
        <v>-8.1459975850557177E-3</v>
      </c>
      <c r="D1777" s="25">
        <f>('Raw Price Data'!D1777-'Raw Price Data'!D1776)/'Raw Price Data'!D1776</f>
        <v>2.8499255133106172E-3</v>
      </c>
      <c r="E1777" s="25">
        <f>('Raw Price Data'!E1777-'Raw Price Data'!E1776)/'Raw Price Data'!E1776</f>
        <v>4.0684392164487458E-2</v>
      </c>
      <c r="F1777" s="25">
        <f>('Raw Price Data'!F1777-'Raw Price Data'!F1776)/'Raw Price Data'!F1776</f>
        <v>1.0436732442241798E-2</v>
      </c>
    </row>
    <row r="1778" spans="1:6" ht="15" customHeight="1" x14ac:dyDescent="0.3">
      <c r="A1778" s="19">
        <v>45952</v>
      </c>
      <c r="B1778" s="26">
        <f>('Raw Price Data'!B1778-'Raw Price Data'!B1777)/'Raw Price Data'!B1777</f>
        <v>-9.6622562674094654E-3</v>
      </c>
      <c r="C1778" s="26">
        <f>('Raw Price Data'!C1778-'Raw Price Data'!C1777)/'Raw Price Data'!C1777</f>
        <v>-9.7928200904985972E-3</v>
      </c>
      <c r="D1778" s="26">
        <f>('Raw Price Data'!D1778-'Raw Price Data'!D1777)/'Raw Price Data'!D1777</f>
        <v>1.2981980236388238E-2</v>
      </c>
      <c r="E1778" s="26">
        <f>('Raw Price Data'!E1778-'Raw Price Data'!E1777)/'Raw Price Data'!E1777</f>
        <v>-2.9892573563754616E-3</v>
      </c>
      <c r="F1778" s="26">
        <f>('Raw Price Data'!F1778-'Raw Price Data'!F1777)/'Raw Price Data'!F1777</f>
        <v>5.3329045807618772E-3</v>
      </c>
    </row>
    <row r="1779" spans="1:6" ht="15" customHeight="1" x14ac:dyDescent="0.3">
      <c r="A1779" s="21">
        <v>45953</v>
      </c>
      <c r="B1779" s="25">
        <f>('Raw Price Data'!B1779-'Raw Price Data'!B1778)/'Raw Price Data'!B1778</f>
        <v>-7.9106970203031738E-4</v>
      </c>
      <c r="C1779" s="25">
        <f>('Raw Price Data'!C1779-'Raw Price Data'!C1778)/'Raw Price Data'!C1778</f>
        <v>-9.6862697239660997E-3</v>
      </c>
      <c r="D1779" s="25">
        <f>('Raw Price Data'!D1779-'Raw Price Data'!D1778)/'Raw Price Data'!D1778</f>
        <v>1.5939811272634532E-3</v>
      </c>
      <c r="E1779" s="25">
        <f>('Raw Price Data'!E1779-'Raw Price Data'!E1778)/'Raw Price Data'!E1778</f>
        <v>-1.1992879227958411E-2</v>
      </c>
      <c r="F1779" s="25">
        <f>('Raw Price Data'!F1779-'Raw Price Data'!F1778)/'Raw Price Data'!F1778</f>
        <v>-4.526644342954184E-3</v>
      </c>
    </row>
    <row r="1780" spans="1:6" ht="15" customHeight="1" x14ac:dyDescent="0.3">
      <c r="A1780" s="19">
        <v>45954</v>
      </c>
      <c r="B1780" s="26">
        <f>('Raw Price Data'!B1780-'Raw Price Data'!B1779)/'Raw Price Data'!B1779</f>
        <v>7.3011963406051919E-3</v>
      </c>
      <c r="C1780" s="26">
        <f>('Raw Price Data'!C1780-'Raw Price Data'!C1779)/'Raw Price Data'!C1779</f>
        <v>-1.4253895517074559E-2</v>
      </c>
      <c r="D1780" s="26">
        <f>('Raw Price Data'!D1780-'Raw Price Data'!D1779)/'Raw Price Data'!D1779</f>
        <v>3.628493220446834E-3</v>
      </c>
      <c r="E1780" s="26">
        <f>('Raw Price Data'!E1780-'Raw Price Data'!E1779)/'Raw Price Data'!E1779</f>
        <v>1.2091038406827799E-2</v>
      </c>
      <c r="F1780" s="26">
        <f>('Raw Price Data'!F1780-'Raw Price Data'!F1779)/'Raw Price Data'!F1779</f>
        <v>1.536731994450263E-3</v>
      </c>
    </row>
    <row r="1781" spans="1:6" ht="15" customHeight="1" x14ac:dyDescent="0.3">
      <c r="A1781" s="21">
        <v>45957</v>
      </c>
      <c r="B1781" s="25">
        <f>('Raw Price Data'!B1781-'Raw Price Data'!B1780)/'Raw Price Data'!B1780</f>
        <v>-5.6763601432189819E-3</v>
      </c>
      <c r="C1781" s="25">
        <f>('Raw Price Data'!C1781-'Raw Price Data'!C1780)/'Raw Price Data'!C1780</f>
        <v>2.2359069336728772E-2</v>
      </c>
      <c r="D1781" s="25">
        <f>('Raw Price Data'!D1781-'Raw Price Data'!D1780)/'Raw Price Data'!D1780</f>
        <v>3.1586959279462069E-2</v>
      </c>
      <c r="E1781" s="25">
        <f>('Raw Price Data'!E1781-'Raw Price Data'!E1780)/'Raw Price Data'!E1780</f>
        <v>3.3544155539939217E-2</v>
      </c>
      <c r="F1781" s="25">
        <f>('Raw Price Data'!F1781-'Raw Price Data'!F1780)/'Raw Price Data'!F1780</f>
        <v>-1.5533725773234211E-2</v>
      </c>
    </row>
    <row r="1782" spans="1:6" ht="15" customHeight="1" x14ac:dyDescent="0.3">
      <c r="A1782" s="19">
        <v>45958</v>
      </c>
      <c r="B1782" s="26">
        <f>('Raw Price Data'!B1782-'Raw Price Data'!B1781)/'Raw Price Data'!B1781</f>
        <v>-1.1768838924995639E-2</v>
      </c>
      <c r="C1782" s="26">
        <f>('Raw Price Data'!C1782-'Raw Price Data'!C1781)/'Raw Price Data'!C1781</f>
        <v>2.5982319160884719E-2</v>
      </c>
      <c r="D1782" s="26">
        <f>('Raw Price Data'!D1782-'Raw Price Data'!D1781)/'Raw Price Data'!D1781</f>
        <v>2.072060993605512E-2</v>
      </c>
      <c r="E1782" s="26">
        <f>('Raw Price Data'!E1782-'Raw Price Data'!E1781)/'Raw Price Data'!E1781</f>
        <v>-2.9826390462807724E-2</v>
      </c>
      <c r="F1782" s="26">
        <f>('Raw Price Data'!F1782-'Raw Price Data'!F1781)/'Raw Price Data'!F1781</f>
        <v>3.817279121749167E-3</v>
      </c>
    </row>
    <row r="1783" spans="1:6" ht="15" customHeight="1" x14ac:dyDescent="0.3">
      <c r="A1783" s="21">
        <v>45959</v>
      </c>
      <c r="B1783" s="25">
        <f>('Raw Price Data'!B1783-'Raw Price Data'!B1782)/'Raw Price Data'!B1782</f>
        <v>2.5684322787060083E-2</v>
      </c>
      <c r="C1783" s="25">
        <f>('Raw Price Data'!C1783-'Raw Price Data'!C1782)/'Raw Price Data'!C1782</f>
        <v>-2.3969171143412614E-3</v>
      </c>
      <c r="D1783" s="25">
        <f>('Raw Price Data'!D1783-'Raw Price Data'!D1782)/'Raw Price Data'!D1782</f>
        <v>-1.6203843141979386E-2</v>
      </c>
      <c r="E1783" s="25">
        <f>('Raw Price Data'!E1783-'Raw Price Data'!E1782)/'Raw Price Data'!E1782</f>
        <v>2.3688267999813079E-2</v>
      </c>
      <c r="F1783" s="25">
        <f>('Raw Price Data'!F1783-'Raw Price Data'!F1782)/'Raw Price Data'!F1782</f>
        <v>1.0621059144884721E-2</v>
      </c>
    </row>
    <row r="1784" spans="1:6" ht="15" customHeight="1" x14ac:dyDescent="0.3">
      <c r="A1784" s="19">
        <v>45960</v>
      </c>
      <c r="B1784" s="26">
        <f>('Raw Price Data'!B1784-'Raw Price Data'!B1783)/'Raw Price Data'!B1783</f>
        <v>-2.8593709383935386E-3</v>
      </c>
      <c r="C1784" s="26">
        <f>('Raw Price Data'!C1784-'Raw Price Data'!C1783)/'Raw Price Data'!C1783</f>
        <v>2.0770095310577993E-2</v>
      </c>
      <c r="D1784" s="26">
        <f>('Raw Price Data'!D1784-'Raw Price Data'!D1783)/'Raw Price Data'!D1783</f>
        <v>-2.4491795248591724E-2</v>
      </c>
      <c r="E1784" s="26">
        <f>('Raw Price Data'!E1784-'Raw Price Data'!E1783)/'Raw Price Data'!E1783</f>
        <v>-1.9534459151072575E-2</v>
      </c>
      <c r="F1784" s="26">
        <f>('Raw Price Data'!F1784-'Raw Price Data'!F1783)/'Raw Price Data'!F1783</f>
        <v>-7.0874821611759771E-3</v>
      </c>
    </row>
    <row r="1785" spans="1:6" ht="15" customHeight="1" x14ac:dyDescent="0.3">
      <c r="A1785" s="21">
        <v>45961</v>
      </c>
      <c r="B1785" s="25">
        <f>('Raw Price Data'!B1785-'Raw Price Data'!B1784)/'Raw Price Data'!B1784</f>
        <v>2.433090024330898E-2</v>
      </c>
      <c r="C1785" s="25">
        <f>('Raw Price Data'!C1785-'Raw Price Data'!C1784)/'Raw Price Data'!C1784</f>
        <v>-4.8116102855755329E-3</v>
      </c>
      <c r="D1785" s="25">
        <f>('Raw Price Data'!D1785-'Raw Price Data'!D1784)/'Raw Price Data'!D1784</f>
        <v>2.1780065277429067E-2</v>
      </c>
      <c r="E1785" s="25">
        <f>('Raw Price Data'!E1785-'Raw Price Data'!E1784)/'Raw Price Data'!E1784</f>
        <v>-8.8446140955218584E-3</v>
      </c>
      <c r="F1785" s="25">
        <f>('Raw Price Data'!F1785-'Raw Price Data'!F1784)/'Raw Price Data'!F1784</f>
        <v>1.6142039359738083E-2</v>
      </c>
    </row>
    <row r="1786" spans="1:6" ht="15" customHeight="1" x14ac:dyDescent="0.3">
      <c r="A1786" s="19">
        <v>45964</v>
      </c>
      <c r="B1786" s="26">
        <f>('Raw Price Data'!B1786-'Raw Price Data'!B1785)/'Raw Price Data'!B1785</f>
        <v>-6.7017305734644733E-3</v>
      </c>
      <c r="C1786" s="26">
        <f>('Raw Price Data'!C1786-'Raw Price Data'!C1785)/'Raw Price Data'!C1785</f>
        <v>-4.7390474863012377E-3</v>
      </c>
      <c r="D1786" s="26">
        <f>('Raw Price Data'!D1786-'Raw Price Data'!D1785)/'Raw Price Data'!D1785</f>
        <v>-6.5114564776706328E-3</v>
      </c>
      <c r="E1786" s="26">
        <f>('Raw Price Data'!E1786-'Raw Price Data'!E1785)/'Raw Price Data'!E1785</f>
        <v>-2.5784332143527995E-2</v>
      </c>
      <c r="F1786" s="26">
        <f>('Raw Price Data'!F1786-'Raw Price Data'!F1785)/'Raw Price Data'!F1785</f>
        <v>9.8028696616607892E-3</v>
      </c>
    </row>
    <row r="1787" spans="1:6" ht="15" customHeight="1" x14ac:dyDescent="0.3">
      <c r="A1787" s="21">
        <v>45965</v>
      </c>
      <c r="B1787" s="25">
        <f>('Raw Price Data'!B1787-'Raw Price Data'!B1786)/'Raw Price Data'!B1786</f>
        <v>-2.5621316935690252E-3</v>
      </c>
      <c r="C1787" s="25">
        <f>('Raw Price Data'!C1787-'Raw Price Data'!C1786)/'Raw Price Data'!C1786</f>
        <v>-1.4022250037200085E-2</v>
      </c>
      <c r="D1787" s="25">
        <f>('Raw Price Data'!D1787-'Raw Price Data'!D1786)/'Raw Price Data'!D1786</f>
        <v>-1.6694490818028927E-3</v>
      </c>
      <c r="E1787" s="25">
        <f>('Raw Price Data'!E1787-'Raw Price Data'!E1786)/'Raw Price Data'!E1786</f>
        <v>-8.3883719809092656E-3</v>
      </c>
      <c r="F1787" s="25">
        <f>('Raw Price Data'!F1787-'Raw Price Data'!F1786)/'Raw Price Data'!F1786</f>
        <v>2.2628986144964804E-2</v>
      </c>
    </row>
    <row r="1788" spans="1:6" ht="15" customHeight="1" x14ac:dyDescent="0.3">
      <c r="A1788" s="19">
        <v>45966</v>
      </c>
      <c r="B1788" s="26">
        <f>('Raw Price Data'!B1788-'Raw Price Data'!B1787)/'Raw Price Data'!B1787</f>
        <v>1.1387961298056325E-2</v>
      </c>
      <c r="C1788" s="26">
        <f>('Raw Price Data'!C1788-'Raw Price Data'!C1787)/'Raw Price Data'!C1787</f>
        <v>1.2894491544231758E-2</v>
      </c>
      <c r="D1788" s="26">
        <f>('Raw Price Data'!D1788-'Raw Price Data'!D1787)/'Raw Price Data'!D1787</f>
        <v>-7.3083116561377852E-3</v>
      </c>
      <c r="E1788" s="26">
        <f>('Raw Price Data'!E1788-'Raw Price Data'!E1787)/'Raw Price Data'!E1787</f>
        <v>-2.5766930818221651E-2</v>
      </c>
      <c r="F1788" s="26">
        <f>('Raw Price Data'!F1788-'Raw Price Data'!F1787)/'Raw Price Data'!F1787</f>
        <v>-1.2353954063386114E-2</v>
      </c>
    </row>
    <row r="1789" spans="1:6" ht="15" customHeight="1" x14ac:dyDescent="0.3">
      <c r="A1789" s="21">
        <v>45967</v>
      </c>
      <c r="B1789" s="25">
        <f>('Raw Price Data'!B1789-'Raw Price Data'!B1788)/'Raw Price Data'!B1788</f>
        <v>-2.5397900440231238E-3</v>
      </c>
      <c r="C1789" s="25">
        <f>('Raw Price Data'!C1789-'Raw Price Data'!C1788)/'Raw Price Data'!C1788</f>
        <v>1.149893731238644E-2</v>
      </c>
      <c r="D1789" s="25">
        <f>('Raw Price Data'!D1789-'Raw Price Data'!D1788)/'Raw Price Data'!D1788</f>
        <v>5.5527826303967201E-3</v>
      </c>
      <c r="E1789" s="25">
        <f>('Raw Price Data'!E1789-'Raw Price Data'!E1788)/'Raw Price Data'!E1788</f>
        <v>-1.1028494435849991E-2</v>
      </c>
      <c r="F1789" s="25">
        <f>('Raw Price Data'!F1789-'Raw Price Data'!F1788)/'Raw Price Data'!F1788</f>
        <v>1.2210603270886469E-3</v>
      </c>
    </row>
    <row r="1790" spans="1:6" ht="15" customHeight="1" x14ac:dyDescent="0.3">
      <c r="A1790" s="19">
        <v>45968</v>
      </c>
      <c r="B1790" s="26">
        <f>('Raw Price Data'!B1790-'Raw Price Data'!B1789)/'Raw Price Data'!B1789</f>
        <v>-1.2137158377185476E-2</v>
      </c>
      <c r="C1790" s="26">
        <f>('Raw Price Data'!C1790-'Raw Price Data'!C1789)/'Raw Price Data'!C1789</f>
        <v>-2.2168885577010588E-2</v>
      </c>
      <c r="D1790" s="26">
        <f>('Raw Price Data'!D1790-'Raw Price Data'!D1789)/'Raw Price Data'!D1789</f>
        <v>-6.0805360799155543E-3</v>
      </c>
      <c r="E1790" s="26">
        <f>('Raw Price Data'!E1790-'Raw Price Data'!E1789)/'Raw Price Data'!E1789</f>
        <v>-5.8532647088505229E-3</v>
      </c>
      <c r="F1790" s="26">
        <f>('Raw Price Data'!F1790-'Raw Price Data'!F1789)/'Raw Price Data'!F1789</f>
        <v>-7.157152412702727E-3</v>
      </c>
    </row>
    <row r="1791" spans="1:6" ht="15" customHeight="1" x14ac:dyDescent="0.3">
      <c r="A1791" s="21">
        <v>45971</v>
      </c>
      <c r="B1791" s="25">
        <f>('Raw Price Data'!B1791-'Raw Price Data'!B1790)/'Raw Price Data'!B1790</f>
        <v>-9.7087378640776309E-3</v>
      </c>
      <c r="C1791" s="25">
        <f>('Raw Price Data'!C1791-'Raw Price Data'!C1790)/'Raw Price Data'!C1790</f>
        <v>3.4160087194619617E-3</v>
      </c>
      <c r="D1791" s="25">
        <f>('Raw Price Data'!D1791-'Raw Price Data'!D1790)/'Raw Price Data'!D1790</f>
        <v>-1.8353205568387525E-2</v>
      </c>
      <c r="E1791" s="25">
        <f>('Raw Price Data'!E1791-'Raw Price Data'!E1790)/'Raw Price Data'!E1790</f>
        <v>-2.2840320779617149E-3</v>
      </c>
      <c r="F1791" s="25">
        <f>('Raw Price Data'!F1791-'Raw Price Data'!F1790)/'Raw Price Data'!F1790</f>
        <v>-4.3455704361637405E-3</v>
      </c>
    </row>
    <row r="1792" spans="1:6" ht="15" customHeight="1" x14ac:dyDescent="0.3">
      <c r="A1792" s="19">
        <v>45972</v>
      </c>
      <c r="B1792" s="26">
        <f>('Raw Price Data'!B1792-'Raw Price Data'!B1791)/'Raw Price Data'!B1791</f>
        <v>4.0777372896060975E-3</v>
      </c>
      <c r="C1792" s="26">
        <f>('Raw Price Data'!C1792-'Raw Price Data'!C1791)/'Raw Price Data'!C1791</f>
        <v>-8.5219871684484166E-3</v>
      </c>
      <c r="D1792" s="26">
        <f>('Raw Price Data'!D1792-'Raw Price Data'!D1791)/'Raw Price Data'!D1791</f>
        <v>-2.7726550079491343E-2</v>
      </c>
      <c r="E1792" s="26">
        <f>('Raw Price Data'!E1792-'Raw Price Data'!E1791)/'Raw Price Data'!E1791</f>
        <v>5.2398636617998736E-3</v>
      </c>
      <c r="F1792" s="26">
        <f>('Raw Price Data'!F1792-'Raw Price Data'!F1791)/'Raw Price Data'!F1791</f>
        <v>9.0766422373787879E-3</v>
      </c>
    </row>
    <row r="1793" spans="1:6" ht="15" customHeight="1" x14ac:dyDescent="0.3">
      <c r="A1793" s="21">
        <v>45973</v>
      </c>
      <c r="B1793" s="25">
        <f>('Raw Price Data'!B1793-'Raw Price Data'!B1792)/'Raw Price Data'!B1792</f>
        <v>-8.9000259224056091E-3</v>
      </c>
      <c r="C1793" s="25">
        <f>('Raw Price Data'!C1793-'Raw Price Data'!C1792)/'Raw Price Data'!C1792</f>
        <v>-1.5315552032350096E-2</v>
      </c>
      <c r="D1793" s="25">
        <f>('Raw Price Data'!D1793-'Raw Price Data'!D1792)/'Raw Price Data'!D1792</f>
        <v>-3.7281705801556604E-2</v>
      </c>
      <c r="E1793" s="25">
        <f>('Raw Price Data'!E1793-'Raw Price Data'!E1792)/'Raw Price Data'!E1792</f>
        <v>5.465587044534476E-3</v>
      </c>
      <c r="F1793" s="25">
        <f>('Raw Price Data'!F1793-'Raw Price Data'!F1792)/'Raw Price Data'!F1792</f>
        <v>1.3441450649259151E-2</v>
      </c>
    </row>
    <row r="1794" spans="1:6" ht="15" customHeight="1" x14ac:dyDescent="0.3">
      <c r="A1794" s="19">
        <v>45974</v>
      </c>
      <c r="B1794" s="26">
        <f>('Raw Price Data'!B1794-'Raw Price Data'!B1793)/'Raw Price Data'!B1793</f>
        <v>1.5693112467305371E-3</v>
      </c>
      <c r="C1794" s="26">
        <f>('Raw Price Data'!C1794-'Raw Price Data'!C1793)/'Raw Price Data'!C1793</f>
        <v>1.4472827266813975E-4</v>
      </c>
      <c r="D1794" s="26">
        <f>('Raw Price Data'!D1794-'Raw Price Data'!D1793)/'Raw Price Data'!D1793</f>
        <v>-1.6237516135606946E-2</v>
      </c>
      <c r="E1794" s="26">
        <f>('Raw Price Data'!E1794-'Raw Price Data'!E1793)/'Raw Price Data'!E1793</f>
        <v>-1.0066438494061658E-3</v>
      </c>
      <c r="F1794" s="26">
        <f>('Raw Price Data'!F1794-'Raw Price Data'!F1793)/'Raw Price Data'!F1793</f>
        <v>6.4397138281660848E-5</v>
      </c>
    </row>
    <row r="1795" spans="1:6" ht="15" customHeight="1" x14ac:dyDescent="0.3">
      <c r="A1795" s="21">
        <v>45975</v>
      </c>
      <c r="B1795" s="25">
        <f>('Raw Price Data'!B1795-'Raw Price Data'!B1794)/'Raw Price Data'!B1794</f>
        <v>-3.0988857938718684E-2</v>
      </c>
      <c r="C1795" s="25">
        <f>('Raw Price Data'!C1795-'Raw Price Data'!C1794)/'Raw Price Data'!C1794</f>
        <v>-3.3251031039722254E-2</v>
      </c>
      <c r="D1795" s="25">
        <f>('Raw Price Data'!D1795-'Raw Price Data'!D1794)/'Raw Price Data'!D1794</f>
        <v>1.9751381215469509E-2</v>
      </c>
      <c r="E1795" s="25">
        <f>('Raw Price Data'!E1795-'Raw Price Data'!E1794)/'Raw Price Data'!E1794</f>
        <v>2.4989923417976664E-2</v>
      </c>
      <c r="F1795" s="25">
        <f>('Raw Price Data'!F1795-'Raw Price Data'!F1794)/'Raw Price Data'!F1794</f>
        <v>-3.4508618399413556E-3</v>
      </c>
    </row>
    <row r="1796" spans="1:6" ht="15" customHeight="1" x14ac:dyDescent="0.3">
      <c r="A1796" s="19">
        <v>45978</v>
      </c>
      <c r="B1796" s="26">
        <f>('Raw Price Data'!B1796-'Raw Price Data'!B1795)/'Raw Price Data'!B1795</f>
        <v>-7.3661516349262778E-3</v>
      </c>
      <c r="C1796" s="26">
        <f>('Raw Price Data'!C1796-'Raw Price Data'!C1795)/'Raw Price Data'!C1795</f>
        <v>-7.0585593803062664E-3</v>
      </c>
      <c r="D1796" s="26">
        <f>('Raw Price Data'!D1796-'Raw Price Data'!D1795)/'Raw Price Data'!D1795</f>
        <v>-1.4425030475416467E-2</v>
      </c>
      <c r="E1796" s="26">
        <f>('Raw Price Data'!E1796-'Raw Price Data'!E1795)/'Raw Price Data'!E1795</f>
        <v>3.6374360990956011E-3</v>
      </c>
      <c r="F1796" s="26">
        <f>('Raw Price Data'!F1796-'Raw Price Data'!F1795)/'Raw Price Data'!F1795</f>
        <v>-1.1963212728817441E-2</v>
      </c>
    </row>
    <row r="1797" spans="1:6" ht="15" customHeight="1" x14ac:dyDescent="0.3">
      <c r="A1797" s="21">
        <v>45979</v>
      </c>
      <c r="B1797" s="25">
        <f>('Raw Price Data'!B1797-'Raw Price Data'!B1796)/'Raw Price Data'!B1796</f>
        <v>-2.2624434389140274E-3</v>
      </c>
      <c r="C1797" s="25">
        <f>('Raw Price Data'!C1797-'Raw Price Data'!C1796)/'Raw Price Data'!C1796</f>
        <v>3.3923137077550819E-2</v>
      </c>
      <c r="D1797" s="25">
        <f>('Raw Price Data'!D1797-'Raw Price Data'!D1796)/'Raw Price Data'!D1796</f>
        <v>6.8714354428577653E-5</v>
      </c>
      <c r="E1797" s="25">
        <f>('Raw Price Data'!E1797-'Raw Price Data'!E1796)/'Raw Price Data'!E1796</f>
        <v>2.3263786854736016E-2</v>
      </c>
      <c r="F1797" s="25">
        <f>('Raw Price Data'!F1797-'Raw Price Data'!F1796)/'Raw Price Data'!F1796</f>
        <v>-2.0460886243217532E-4</v>
      </c>
    </row>
    <row r="1798" spans="1:6" ht="15" customHeight="1" x14ac:dyDescent="0.3">
      <c r="A1798" s="19">
        <v>45980</v>
      </c>
      <c r="B1798" s="26">
        <f>('Raw Price Data'!B1798-'Raw Price Data'!B1797)/'Raw Price Data'!B1797</f>
        <v>-6.7120181405895228E-3</v>
      </c>
      <c r="C1798" s="26">
        <f>('Raw Price Data'!C1798-'Raw Price Data'!C1797)/'Raw Price Data'!C1797</f>
        <v>8.2788472491172448E-3</v>
      </c>
      <c r="D1798" s="26">
        <f>('Raw Price Data'!D1798-'Raw Price Data'!D1797)/'Raw Price Data'!D1797</f>
        <v>1.8070633502817065E-2</v>
      </c>
      <c r="E1798" s="26">
        <f>('Raw Price Data'!E1798-'Raw Price Data'!E1797)/'Raw Price Data'!E1797</f>
        <v>2.9675010769157351E-3</v>
      </c>
      <c r="F1798" s="26">
        <f>('Raw Price Data'!F1798-'Raw Price Data'!F1797)/'Raw Price Data'!F1797</f>
        <v>3.4750459986000043E-3</v>
      </c>
    </row>
    <row r="1799" spans="1:6" ht="15" customHeight="1" x14ac:dyDescent="0.3">
      <c r="A1799" s="21">
        <v>45981</v>
      </c>
      <c r="B1799" s="25">
        <f>('Raw Price Data'!B1799-'Raw Price Data'!B1798)/'Raw Price Data'!B1798</f>
        <v>-1.3514747511642809E-2</v>
      </c>
      <c r="C1799" s="25">
        <f>('Raw Price Data'!C1799-'Raw Price Data'!C1798)/'Raw Price Data'!C1798</f>
        <v>-1.9431339587513329E-2</v>
      </c>
      <c r="D1799" s="25">
        <f>('Raw Price Data'!D1799-'Raw Price Data'!D1798)/'Raw Price Data'!D1798</f>
        <v>2.1056894108119086E-2</v>
      </c>
      <c r="E1799" s="25">
        <f>('Raw Price Data'!E1799-'Raw Price Data'!E1798)/'Raw Price Data'!E1798</f>
        <v>-1.1596277738010053E-2</v>
      </c>
      <c r="F1799" s="25">
        <f>('Raw Price Data'!F1799-'Raw Price Data'!F1798)/'Raw Price Data'!F1798</f>
        <v>7.4892468230311213E-3</v>
      </c>
    </row>
    <row r="1800" spans="1:6" ht="15" customHeight="1" x14ac:dyDescent="0.3">
      <c r="A1800" s="19">
        <v>45982</v>
      </c>
      <c r="B1800" s="26">
        <f>('Raw Price Data'!B1800-'Raw Price Data'!B1799)/'Raw Price Data'!B1799</f>
        <v>-1.1848560585022689E-2</v>
      </c>
      <c r="C1800" s="26">
        <f>('Raw Price Data'!C1800-'Raw Price Data'!C1799)/'Raw Price Data'!C1799</f>
        <v>1.0355220468957288E-2</v>
      </c>
      <c r="D1800" s="26">
        <f>('Raw Price Data'!D1800-'Raw Price Data'!D1799)/'Raw Price Data'!D1799</f>
        <v>-8.3944741886442052E-3</v>
      </c>
      <c r="E1800" s="26">
        <f>('Raw Price Data'!E1800-'Raw Price Data'!E1799)/'Raw Price Data'!E1799</f>
        <v>-2.520278099652375E-2</v>
      </c>
      <c r="F1800" s="26">
        <f>('Raw Price Data'!F1800-'Raw Price Data'!F1799)/'Raw Price Data'!F1799</f>
        <v>1.0957679342822997E-2</v>
      </c>
    </row>
    <row r="1801" spans="1:6" ht="15" customHeight="1" x14ac:dyDescent="0.3">
      <c r="A1801" s="21">
        <v>45985</v>
      </c>
      <c r="B1801" s="25">
        <f>('Raw Price Data'!B1801-'Raw Price Data'!B1800)/'Raw Price Data'!B1800</f>
        <v>1.2177985948477327E-3</v>
      </c>
      <c r="C1801" s="25">
        <f>('Raw Price Data'!C1801-'Raw Price Data'!C1800)/'Raw Price Data'!C1800</f>
        <v>2.1574628601663108E-3</v>
      </c>
      <c r="D1801" s="25">
        <f>('Raw Price Data'!D1801-'Raw Price Data'!D1800)/'Raw Price Data'!D1800</f>
        <v>1.1598453539527933E-2</v>
      </c>
      <c r="E1801" s="25">
        <f>('Raw Price Data'!E1801-'Raw Price Data'!E1800)/'Raw Price Data'!E1800</f>
        <v>-5.2303120356612193E-2</v>
      </c>
      <c r="F1801" s="25">
        <f>('Raw Price Data'!F1801-'Raw Price Data'!F1800)/'Raw Price Data'!F1800</f>
        <v>-5.9824435893314617E-3</v>
      </c>
    </row>
    <row r="1802" spans="1:6" ht="15" customHeight="1" x14ac:dyDescent="0.3">
      <c r="A1802" s="19">
        <v>45986</v>
      </c>
      <c r="B1802" s="26">
        <f>('Raw Price Data'!B1802-'Raw Price Data'!B1801)/'Raw Price Data'!B1801</f>
        <v>2.0958083832335415E-2</v>
      </c>
      <c r="C1802" s="26">
        <f>('Raw Price Data'!C1802-'Raw Price Data'!C1801)/'Raw Price Data'!C1801</f>
        <v>-5.0657224002330819E-3</v>
      </c>
      <c r="D1802" s="26">
        <f>('Raw Price Data'!D1802-'Raw Price Data'!D1801)/'Raw Price Data'!D1801</f>
        <v>-5.4691618344753831E-3</v>
      </c>
      <c r="E1802" s="26">
        <f>('Raw Price Data'!E1802-'Raw Price Data'!E1801)/'Raw Price Data'!E1801</f>
        <v>-7.6826591407964818E-3</v>
      </c>
      <c r="F1802" s="26">
        <f>('Raw Price Data'!F1802-'Raw Price Data'!F1801)/'Raw Price Data'!F1801</f>
        <v>-7.3272244576919974E-3</v>
      </c>
    </row>
    <row r="1803" spans="1:6" ht="15" customHeight="1" x14ac:dyDescent="0.3">
      <c r="A1803" s="21">
        <v>45987</v>
      </c>
      <c r="B1803" s="25">
        <f>('Raw Price Data'!B1803-'Raw Price Data'!B1802)/'Raw Price Data'!B1802</f>
        <v>-1.9061583577712593E-2</v>
      </c>
      <c r="C1803" s="25">
        <f>('Raw Price Data'!C1803-'Raw Price Data'!C1802)/'Raw Price Data'!C1802</f>
        <v>-9.7347197379675787E-3</v>
      </c>
      <c r="D1803" s="25">
        <f>('Raw Price Data'!D1803-'Raw Price Data'!D1802)/'Raw Price Data'!D1802</f>
        <v>-3.014642549526278E-2</v>
      </c>
      <c r="E1803" s="25">
        <f>('Raw Price Data'!E1803-'Raw Price Data'!E1802)/'Raw Price Data'!E1802</f>
        <v>-2.1383051561594788E-2</v>
      </c>
      <c r="F1803" s="25">
        <f>('Raw Price Data'!F1803-'Raw Price Data'!F1802)/'Raw Price Data'!F1802</f>
        <v>1.5432835702011432E-2</v>
      </c>
    </row>
    <row r="1804" spans="1:6" ht="15" customHeight="1" x14ac:dyDescent="0.3">
      <c r="A1804" s="19">
        <v>45988</v>
      </c>
      <c r="B1804" s="26">
        <f>('Raw Price Data'!B1804-'Raw Price Data'!B1803)/'Raw Price Data'!B1803</f>
        <v>-3.5500747384156358E-3</v>
      </c>
      <c r="C1804" s="26">
        <f>('Raw Price Data'!C1804-'Raw Price Data'!C1803)/'Raw Price Data'!C1803</f>
        <v>6.0516189235507081E-4</v>
      </c>
      <c r="D1804" s="26">
        <f>('Raw Price Data'!D1804-'Raw Price Data'!D1803)/'Raw Price Data'!D1803</f>
        <v>1.5439267659516266E-2</v>
      </c>
      <c r="E1804" s="26">
        <f>('Raw Price Data'!E1804-'Raw Price Data'!E1803)/'Raw Price Data'!E1803</f>
        <v>5.3818416662132848E-5</v>
      </c>
      <c r="F1804" s="26">
        <f>('Raw Price Data'!F1804-'Raw Price Data'!F1803)/'Raw Price Data'!F1803</f>
        <v>3.3630982563697944E-3</v>
      </c>
    </row>
    <row r="1805" spans="1:6" ht="15" customHeight="1" x14ac:dyDescent="0.3">
      <c r="A1805" s="21">
        <v>45989</v>
      </c>
      <c r="B1805" s="25">
        <f>('Raw Price Data'!B1805-'Raw Price Data'!B1804)/'Raw Price Data'!B1804</f>
        <v>1.3875867241702644E-2</v>
      </c>
      <c r="C1805" s="25">
        <f>('Raw Price Data'!C1805-'Raw Price Data'!C1804)/'Raw Price Data'!C1804</f>
        <v>-9.8521712634233038E-3</v>
      </c>
      <c r="D1805" s="25">
        <f>('Raw Price Data'!D1805-'Raw Price Data'!D1804)/'Raw Price Data'!D1804</f>
        <v>2.1528525296018678E-3</v>
      </c>
      <c r="E1805" s="25">
        <f>('Raw Price Data'!E1805-'Raw Price Data'!E1804)/'Raw Price Data'!E1804</f>
        <v>2.4701323861801763E-2</v>
      </c>
      <c r="F1805" s="25">
        <f>('Raw Price Data'!F1805-'Raw Price Data'!F1804)/'Raw Price Data'!F1804</f>
        <v>-1.9081785515913444E-2</v>
      </c>
    </row>
    <row r="1806" spans="1:6" ht="15" customHeight="1" x14ac:dyDescent="0.3">
      <c r="A1806" s="19">
        <v>45992</v>
      </c>
      <c r="B1806" s="26">
        <f>('Raw Price Data'!B1806-'Raw Price Data'!B1805)/'Raw Price Data'!B1805</f>
        <v>4.9935269095617374E-3</v>
      </c>
      <c r="C1806" s="26">
        <f>('Raw Price Data'!C1806-'Raw Price Data'!C1805)/'Raw Price Data'!C1805</f>
        <v>-2.4572430385884992E-3</v>
      </c>
      <c r="D1806" s="26">
        <f>('Raw Price Data'!D1806-'Raw Price Data'!D1805)/'Raw Price Data'!D1805</f>
        <v>-1.3426423200859291E-2</v>
      </c>
      <c r="E1806" s="26">
        <f>('Raw Price Data'!E1806-'Raw Price Data'!E1805)/'Raw Price Data'!E1805</f>
        <v>-4.2224673073893139E-2</v>
      </c>
      <c r="F1806" s="26">
        <f>('Raw Price Data'!F1806-'Raw Price Data'!F1805)/'Raw Price Data'!F1805</f>
        <v>1.8546114707189962E-2</v>
      </c>
    </row>
    <row r="1807" spans="1:6" ht="15" customHeight="1" x14ac:dyDescent="0.3">
      <c r="A1807" s="21">
        <v>45993</v>
      </c>
      <c r="B1807" s="25">
        <f>('Raw Price Data'!B1807-'Raw Price Data'!B1806)/'Raw Price Data'!B1806</f>
        <v>-1.0121457489879798E-3</v>
      </c>
      <c r="C1807" s="25">
        <f>('Raw Price Data'!C1807-'Raw Price Data'!C1806)/'Raw Price Data'!C1806</f>
        <v>1.3639274379385108E-2</v>
      </c>
      <c r="D1807" s="25">
        <f>('Raw Price Data'!D1807-'Raw Price Data'!D1806)/'Raw Price Data'!D1806</f>
        <v>3.6744692433314644E-3</v>
      </c>
      <c r="E1807" s="25">
        <f>('Raw Price Data'!E1807-'Raw Price Data'!E1806)/'Raw Price Data'!E1806</f>
        <v>1.3160059220266522E-2</v>
      </c>
      <c r="F1807" s="25">
        <f>('Raw Price Data'!F1807-'Raw Price Data'!F1806)/'Raw Price Data'!F1806</f>
        <v>-7.3942942332553292E-3</v>
      </c>
    </row>
    <row r="1808" spans="1:6" ht="15" customHeight="1" x14ac:dyDescent="0.3">
      <c r="A1808" s="19">
        <v>45994</v>
      </c>
      <c r="B1808" s="26">
        <f>('Raw Price Data'!B1808-'Raw Price Data'!B1807)/'Raw Price Data'!B1807</f>
        <v>-5.8948144054525777E-3</v>
      </c>
      <c r="C1808" s="26">
        <f>('Raw Price Data'!C1808-'Raw Price Data'!C1807)/'Raw Price Data'!C1807</f>
        <v>1.4982085133658174E-2</v>
      </c>
      <c r="D1808" s="26">
        <f>('Raw Price Data'!D1808-'Raw Price Data'!D1807)/'Raw Price Data'!D1807</f>
        <v>5.627118644067881E-3</v>
      </c>
      <c r="E1808" s="26">
        <f>('Raw Price Data'!E1808-'Raw Price Data'!E1807)/'Raw Price Data'!E1807</f>
        <v>-2.8143096823077429E-2</v>
      </c>
      <c r="F1808" s="26">
        <f>('Raw Price Data'!F1808-'Raw Price Data'!F1807)/'Raw Price Data'!F1807</f>
        <v>9.5500455345029472E-3</v>
      </c>
    </row>
    <row r="1809" spans="1:6" ht="15" customHeight="1" x14ac:dyDescent="0.3">
      <c r="A1809" s="21">
        <v>45995</v>
      </c>
      <c r="B1809" s="25">
        <f>('Raw Price Data'!B1809-'Raw Price Data'!B1808)/'Raw Price Data'!B1808</f>
        <v>4.6326322616508064E-4</v>
      </c>
      <c r="C1809" s="25">
        <f>('Raw Price Data'!C1809-'Raw Price Data'!C1808)/'Raw Price Data'!C1808</f>
        <v>-2.2275428426045282E-2</v>
      </c>
      <c r="D1809" s="25">
        <f>('Raw Price Data'!D1809-'Raw Price Data'!D1808)/'Raw Price Data'!D1808</f>
        <v>3.0337760399109324E-3</v>
      </c>
      <c r="E1809" s="25">
        <f>('Raw Price Data'!E1809-'Raw Price Data'!E1808)/'Raw Price Data'!E1808</f>
        <v>-3.4526925432978722E-2</v>
      </c>
      <c r="F1809" s="25">
        <f>('Raw Price Data'!F1809-'Raw Price Data'!F1808)/'Raw Price Data'!F1808</f>
        <v>-3.3710691543268043E-3</v>
      </c>
    </row>
    <row r="1810" spans="1:6" ht="15" customHeight="1" x14ac:dyDescent="0.3">
      <c r="A1810" s="19">
        <v>45996</v>
      </c>
      <c r="B1810" s="26">
        <f>('Raw Price Data'!B1810-'Raw Price Data'!B1809)/'Raw Price Data'!B1809</f>
        <v>-1.1113169105390307E-3</v>
      </c>
      <c r="C1810" s="26">
        <f>('Raw Price Data'!C1810-'Raw Price Data'!C1809)/'Raw Price Data'!C1809</f>
        <v>-7.6624613740388162E-3</v>
      </c>
      <c r="D1810" s="26">
        <f>('Raw Price Data'!D1810-'Raw Price Data'!D1809)/'Raw Price Data'!D1809</f>
        <v>-1.4854147062777309E-2</v>
      </c>
      <c r="E1810" s="26">
        <f>('Raw Price Data'!E1810-'Raw Price Data'!E1809)/'Raw Price Data'!E1809</f>
        <v>4.2740958643363886E-2</v>
      </c>
      <c r="F1810" s="26">
        <f>('Raw Price Data'!F1810-'Raw Price Data'!F1809)/'Raw Price Data'!F1809</f>
        <v>9.8590133114412532E-4</v>
      </c>
    </row>
    <row r="1811" spans="1:6" ht="15" customHeight="1" x14ac:dyDescent="0.3">
      <c r="A1811" s="21">
        <v>45999</v>
      </c>
      <c r="B1811" s="25">
        <f>('Raw Price Data'!B1811-'Raw Price Data'!B1810)/'Raw Price Data'!B1810</f>
        <v>-2.9946226590024144E-2</v>
      </c>
      <c r="C1811" s="25">
        <f>('Raw Price Data'!C1811-'Raw Price Data'!C1810)/'Raw Price Data'!C1810</f>
        <v>2.8938545393245887E-2</v>
      </c>
      <c r="D1811" s="25">
        <f>('Raw Price Data'!D1811-'Raw Price Data'!D1810)/'Raw Price Data'!D1810</f>
        <v>-2.3879375042641354E-3</v>
      </c>
      <c r="E1811" s="25">
        <f>('Raw Price Data'!E1811-'Raw Price Data'!E1810)/'Raw Price Data'!E1810</f>
        <v>1.4824648744330163E-2</v>
      </c>
      <c r="F1811" s="25">
        <f>('Raw Price Data'!F1811-'Raw Price Data'!F1810)/'Raw Price Data'!F1810</f>
        <v>1.9272765494155349E-2</v>
      </c>
    </row>
    <row r="1812" spans="1:6" ht="15" customHeight="1" x14ac:dyDescent="0.3">
      <c r="A1812" s="19">
        <v>46000</v>
      </c>
      <c r="B1812" s="26">
        <f>('Raw Price Data'!B1812-'Raw Price Data'!B1811)/'Raw Price Data'!B1811</f>
        <v>-9.557488292076843E-3</v>
      </c>
      <c r="C1812" s="26">
        <f>('Raw Price Data'!C1812-'Raw Price Data'!C1811)/'Raw Price Data'!C1811</f>
        <v>3.2279644664506425E-2</v>
      </c>
      <c r="D1812" s="26">
        <f>('Raw Price Data'!D1812-'Raw Price Data'!D1811)/'Raw Price Data'!D1811</f>
        <v>5.2660374777732883E-3</v>
      </c>
      <c r="E1812" s="26">
        <f>('Raw Price Data'!E1812-'Raw Price Data'!E1811)/'Raw Price Data'!E1811</f>
        <v>-5.5761473890766473E-2</v>
      </c>
      <c r="F1812" s="26">
        <f>('Raw Price Data'!F1812-'Raw Price Data'!F1811)/'Raw Price Data'!F1811</f>
        <v>-2.0294821417894834E-2</v>
      </c>
    </row>
    <row r="1813" spans="1:6" ht="15" customHeight="1" x14ac:dyDescent="0.3">
      <c r="A1813" s="21">
        <v>46001</v>
      </c>
      <c r="B1813" s="25">
        <f>('Raw Price Data'!B1813-'Raw Price Data'!B1812)/'Raw Price Data'!B1812</f>
        <v>-2.6729711473511494E-2</v>
      </c>
      <c r="C1813" s="25">
        <f>('Raw Price Data'!C1813-'Raw Price Data'!C1812)/'Raw Price Data'!C1812</f>
        <v>7.1199008945064743E-3</v>
      </c>
      <c r="D1813" s="25">
        <f>('Raw Price Data'!D1813-'Raw Price Data'!D1812)/'Raw Price Data'!D1812</f>
        <v>1.224573100210887E-2</v>
      </c>
      <c r="E1813" s="25">
        <f>('Raw Price Data'!E1813-'Raw Price Data'!E1812)/'Raw Price Data'!E1812</f>
        <v>2.5861571321364765E-2</v>
      </c>
      <c r="F1813" s="25">
        <f>('Raw Price Data'!F1813-'Raw Price Data'!F1812)/'Raw Price Data'!F1812</f>
        <v>-3.2831437108817637E-3</v>
      </c>
    </row>
    <row r="1814" spans="1:6" ht="15" customHeight="1" x14ac:dyDescent="0.3">
      <c r="A1814" s="19">
        <v>46002</v>
      </c>
      <c r="B1814" s="26">
        <f>('Raw Price Data'!B1814-'Raw Price Data'!B1813)/'Raw Price Data'!B1813</f>
        <v>1.8243109260360931E-2</v>
      </c>
      <c r="C1814" s="26">
        <f>('Raw Price Data'!C1814-'Raw Price Data'!C1813)/'Raw Price Data'!C1813</f>
        <v>2.8983033040920328E-2</v>
      </c>
      <c r="D1814" s="26">
        <f>('Raw Price Data'!D1814-'Raw Price Data'!D1813)/'Raw Price Data'!D1813</f>
        <v>-3.0243968008601967E-3</v>
      </c>
      <c r="E1814" s="26">
        <f>('Raw Price Data'!E1814-'Raw Price Data'!E1813)/'Raw Price Data'!E1813</f>
        <v>-3.8264588374318093E-3</v>
      </c>
      <c r="F1814" s="26">
        <f>('Raw Price Data'!F1814-'Raw Price Data'!F1813)/'Raw Price Data'!F1813</f>
        <v>-7.8660292205854007E-3</v>
      </c>
    </row>
    <row r="1815" spans="1:6" ht="15" customHeight="1" x14ac:dyDescent="0.3">
      <c r="A1815" s="21">
        <v>46003</v>
      </c>
      <c r="B1815" s="25">
        <f>('Raw Price Data'!B1815-'Raw Price Data'!B1814)/'Raw Price Data'!B1814</f>
        <v>1.1684518013631965E-2</v>
      </c>
      <c r="C1815" s="25">
        <f>('Raw Price Data'!C1815-'Raw Price Data'!C1814)/'Raw Price Data'!C1814</f>
        <v>2.190883372684151E-2</v>
      </c>
      <c r="D1815" s="25">
        <f>('Raw Price Data'!D1815-'Raw Price Data'!D1814)/'Raw Price Data'!D1814</f>
        <v>-1.6650937036537677E-2</v>
      </c>
      <c r="E1815" s="25">
        <f>('Raw Price Data'!E1815-'Raw Price Data'!E1814)/'Raw Price Data'!E1814</f>
        <v>2.8695701293566134E-2</v>
      </c>
      <c r="F1815" s="25">
        <f>('Raw Price Data'!F1815-'Raw Price Data'!F1814)/'Raw Price Data'!F1814</f>
        <v>-2.7606891305131231E-3</v>
      </c>
    </row>
    <row r="1816" spans="1:6" ht="15" customHeight="1" x14ac:dyDescent="0.3">
      <c r="A1816" s="19">
        <v>46006</v>
      </c>
      <c r="B1816" s="26">
        <f>('Raw Price Data'!B1816-'Raw Price Data'!B1815)/'Raw Price Data'!B1815</f>
        <v>-1.0587102983638194E-2</v>
      </c>
      <c r="C1816" s="26">
        <f>('Raw Price Data'!C1816-'Raw Price Data'!C1815)/'Raw Price Data'!C1815</f>
        <v>-1.7359448827092699E-3</v>
      </c>
      <c r="D1816" s="26">
        <f>('Raw Price Data'!D1816-'Raw Price Data'!D1815)/'Raw Price Data'!D1815</f>
        <v>7.0610817851511692E-3</v>
      </c>
      <c r="E1816" s="26">
        <f>('Raw Price Data'!E1816-'Raw Price Data'!E1815)/'Raw Price Data'!E1815</f>
        <v>-1.7022678600845765E-2</v>
      </c>
      <c r="F1816" s="26">
        <f>('Raw Price Data'!F1816-'Raw Price Data'!F1815)/'Raw Price Data'!F1815</f>
        <v>-3.2102276114395873E-3</v>
      </c>
    </row>
    <row r="1817" spans="1:6" ht="15" customHeight="1" x14ac:dyDescent="0.3">
      <c r="A1817" s="21">
        <v>46007</v>
      </c>
      <c r="B1817" s="25">
        <f>('Raw Price Data'!B1817-'Raw Price Data'!B1816)/'Raw Price Data'!B1816</f>
        <v>1.147859922178995E-2</v>
      </c>
      <c r="C1817" s="25">
        <f>('Raw Price Data'!C1817-'Raw Price Data'!C1816)/'Raw Price Data'!C1816</f>
        <v>-3.4616635668354288E-2</v>
      </c>
      <c r="D1817" s="25">
        <f>('Raw Price Data'!D1817-'Raw Price Data'!D1816)/'Raw Price Data'!D1816</f>
        <v>1.98774676650782E-2</v>
      </c>
      <c r="E1817" s="25">
        <f>('Raw Price Data'!E1817-'Raw Price Data'!E1816)/'Raw Price Data'!E1816</f>
        <v>4.1897100720630137E-3</v>
      </c>
      <c r="F1817" s="25">
        <f>('Raw Price Data'!F1817-'Raw Price Data'!F1816)/'Raw Price Data'!F1816</f>
        <v>1.0835972680149858E-2</v>
      </c>
    </row>
    <row r="1818" spans="1:6" ht="15" customHeight="1" x14ac:dyDescent="0.3">
      <c r="A1818" s="19">
        <v>46008</v>
      </c>
      <c r="B1818" s="26">
        <f>('Raw Price Data'!B1818-'Raw Price Data'!B1817)/'Raw Price Data'!B1817</f>
        <v>3.4237353337180247E-2</v>
      </c>
      <c r="C1818" s="26">
        <f>('Raw Price Data'!C1818-'Raw Price Data'!C1817)/'Raw Price Data'!C1817</f>
        <v>-4.8380756554075902E-4</v>
      </c>
      <c r="D1818" s="26">
        <f>('Raw Price Data'!D1818-'Raw Price Data'!D1817)/'Raw Price Data'!D1817</f>
        <v>-8.9440662127887021E-3</v>
      </c>
      <c r="E1818" s="26">
        <f>('Raw Price Data'!E1818-'Raw Price Data'!E1817)/'Raw Price Data'!E1817</f>
        <v>2.6702269692924913E-3</v>
      </c>
      <c r="F1818" s="26">
        <f>('Raw Price Data'!F1818-'Raw Price Data'!F1817)/'Raw Price Data'!F1817</f>
        <v>5.2286182233442398E-3</v>
      </c>
    </row>
    <row r="1819" spans="1:6" ht="15" customHeight="1" x14ac:dyDescent="0.3">
      <c r="A1819" s="21">
        <v>46009</v>
      </c>
      <c r="B1819" s="25">
        <f>('Raw Price Data'!B1819-'Raw Price Data'!B1818)/'Raw Price Data'!B1818</f>
        <v>-8.3689789845639347E-3</v>
      </c>
      <c r="C1819" s="25">
        <f>('Raw Price Data'!C1819-'Raw Price Data'!C1818)/'Raw Price Data'!C1818</f>
        <v>-2.2019577760010296E-2</v>
      </c>
      <c r="D1819" s="25">
        <f>('Raw Price Data'!D1819-'Raw Price Data'!D1818)/'Raw Price Data'!D1818</f>
        <v>8.3512931034483377E-3</v>
      </c>
      <c r="E1819" s="25">
        <f>('Raw Price Data'!E1819-'Raw Price Data'!E1818)/'Raw Price Data'!E1818</f>
        <v>-3.8670661340434967E-2</v>
      </c>
      <c r="F1819" s="25">
        <f>('Raw Price Data'!F1819-'Raw Price Data'!F1818)/'Raw Price Data'!F1818</f>
        <v>-4.9949570235265734E-3</v>
      </c>
    </row>
    <row r="1820" spans="1:6" ht="15" customHeight="1" x14ac:dyDescent="0.3">
      <c r="A1820" s="19">
        <v>46010</v>
      </c>
      <c r="B1820" s="26">
        <f>('Raw Price Data'!B1820-'Raw Price Data'!B1819)/'Raw Price Data'!B1819</f>
        <v>1.8379594898724622E-2</v>
      </c>
      <c r="C1820" s="26">
        <f>('Raw Price Data'!C1820-'Raw Price Data'!C1819)/'Raw Price Data'!C1819</f>
        <v>3.0005744840690988E-3</v>
      </c>
      <c r="D1820" s="26">
        <f>('Raw Price Data'!D1820-'Raw Price Data'!D1819)/'Raw Price Data'!D1819</f>
        <v>1.6898209991985047E-2</v>
      </c>
      <c r="E1820" s="26">
        <f>('Raw Price Data'!E1820-'Raw Price Data'!E1819)/'Raw Price Data'!E1819</f>
        <v>2.943383159231205E-3</v>
      </c>
      <c r="F1820" s="26">
        <f>('Raw Price Data'!F1820-'Raw Price Data'!F1819)/'Raw Price Data'!F1819</f>
        <v>1.7434437535033473E-2</v>
      </c>
    </row>
    <row r="1821" spans="1:6" ht="15" customHeight="1" x14ac:dyDescent="0.3">
      <c r="A1821" s="21">
        <v>46013</v>
      </c>
      <c r="B1821" s="25">
        <f>('Raw Price Data'!B1821-'Raw Price Data'!B1820)/'Raw Price Data'!B1820</f>
        <v>5.3406998158380525E-3</v>
      </c>
      <c r="C1821" s="25">
        <f>('Raw Price Data'!C1821-'Raw Price Data'!C1820)/'Raw Price Data'!C1820</f>
        <v>3.1396358092955323E-2</v>
      </c>
      <c r="D1821" s="25">
        <f>('Raw Price Data'!D1821-'Raw Price Data'!D1820)/'Raw Price Data'!D1820</f>
        <v>1.7077175697865314E-2</v>
      </c>
      <c r="E1821" s="25">
        <f>('Raw Price Data'!E1821-'Raw Price Data'!E1820)/'Raw Price Data'!E1820</f>
        <v>1.5536885717573879E-2</v>
      </c>
      <c r="F1821" s="25">
        <f>('Raw Price Data'!F1821-'Raw Price Data'!F1820)/'Raw Price Data'!F1820</f>
        <v>9.9065947005855179E-3</v>
      </c>
    </row>
    <row r="1822" spans="1:6" ht="15" customHeight="1" x14ac:dyDescent="0.3">
      <c r="A1822" s="19">
        <v>46014</v>
      </c>
      <c r="B1822" s="26">
        <f>('Raw Price Data'!B1822-'Raw Price Data'!B1821)/'Raw Price Data'!B1821</f>
        <v>-3.022531599194106E-3</v>
      </c>
      <c r="C1822" s="26">
        <f>('Raw Price Data'!C1822-'Raw Price Data'!C1821)/'Raw Price Data'!C1821</f>
        <v>4.9808838292147673E-3</v>
      </c>
      <c r="D1822" s="26">
        <f>('Raw Price Data'!D1822-'Raw Price Data'!D1821)/'Raw Price Data'!D1821</f>
        <v>2.1569260574749782E-2</v>
      </c>
      <c r="E1822" s="26">
        <f>('Raw Price Data'!E1822-'Raw Price Data'!E1821)/'Raw Price Data'!E1821</f>
        <v>-1.762239347234806E-2</v>
      </c>
      <c r="F1822" s="26">
        <f>('Raw Price Data'!F1822-'Raw Price Data'!F1821)/'Raw Price Data'!F1821</f>
        <v>-9.6484089372696671E-3</v>
      </c>
    </row>
    <row r="1823" spans="1:6" ht="15" customHeight="1" x14ac:dyDescent="0.3">
      <c r="A1823" s="21">
        <v>46015</v>
      </c>
      <c r="B1823" s="25">
        <f>('Raw Price Data'!B1823-'Raw Price Data'!B1822)/'Raw Price Data'!B1822</f>
        <v>-1.4974735875057377E-2</v>
      </c>
      <c r="C1823" s="25">
        <f>('Raw Price Data'!C1823-'Raw Price Data'!C1822)/'Raw Price Data'!C1822</f>
        <v>-1.3253365411181746E-2</v>
      </c>
      <c r="D1823" s="25">
        <f>('Raw Price Data'!D1823-'Raw Price Data'!D1822)/'Raw Price Data'!D1822</f>
        <v>4.8675643213857405E-3</v>
      </c>
      <c r="E1823" s="25">
        <f>('Raw Price Data'!E1823-'Raw Price Data'!E1822)/'Raw Price Data'!E1822</f>
        <v>1.0382419103651052E-2</v>
      </c>
      <c r="F1823" s="25">
        <f>('Raw Price Data'!F1823-'Raw Price Data'!F1822)/'Raw Price Data'!F1822</f>
        <v>-3.8938997661741338E-3</v>
      </c>
    </row>
    <row r="1824" spans="1:6" ht="15" customHeight="1" x14ac:dyDescent="0.3">
      <c r="A1824" s="19">
        <v>46016</v>
      </c>
      <c r="B1824" s="26">
        <f>('Raw Price Data'!B1824-'Raw Price Data'!B1823)/'Raw Price Data'!B1823</f>
        <v>-7.368028352919157E-3</v>
      </c>
      <c r="C1824" s="26">
        <f>('Raw Price Data'!C1824-'Raw Price Data'!C1823)/'Raw Price Data'!C1823</f>
        <v>-2.0030756904149599E-2</v>
      </c>
      <c r="D1824" s="26">
        <f>('Raw Price Data'!D1824-'Raw Price Data'!D1823)/'Raw Price Data'!D1823</f>
        <v>2.2521389028686362E-2</v>
      </c>
      <c r="E1824" s="26">
        <f>('Raw Price Data'!E1824-'Raw Price Data'!E1823)/'Raw Price Data'!E1823</f>
        <v>1.2901752583204997E-2</v>
      </c>
      <c r="F1824" s="26">
        <f>('Raw Price Data'!F1824-'Raw Price Data'!F1823)/'Raw Price Data'!F1823</f>
        <v>-7.3347205425529074E-3</v>
      </c>
    </row>
    <row r="1825" spans="1:6" ht="15" customHeight="1" x14ac:dyDescent="0.3">
      <c r="A1825" s="21">
        <v>46017</v>
      </c>
      <c r="B1825" s="25">
        <f>('Raw Price Data'!B1825-'Raw Price Data'!B1824)/'Raw Price Data'!B1824</f>
        <v>-5.1677158695857496E-3</v>
      </c>
      <c r="C1825" s="25">
        <f>('Raw Price Data'!C1825-'Raw Price Data'!C1824)/'Raw Price Data'!C1824</f>
        <v>-3.4027420623931222E-2</v>
      </c>
      <c r="D1825" s="25">
        <f>('Raw Price Data'!D1825-'Raw Price Data'!D1824)/'Raw Price Data'!D1824</f>
        <v>2.171773102005661E-2</v>
      </c>
      <c r="E1825" s="25">
        <f>('Raw Price Data'!E1825-'Raw Price Data'!E1824)/'Raw Price Data'!E1824</f>
        <v>9.0176407597360414E-4</v>
      </c>
      <c r="F1825" s="25">
        <f>('Raw Price Data'!F1825-'Raw Price Data'!F1824)/'Raw Price Data'!F1824</f>
        <v>2.7783086264738382E-3</v>
      </c>
    </row>
    <row r="1826" spans="1:6" ht="15" customHeight="1" x14ac:dyDescent="0.3">
      <c r="A1826" s="19">
        <v>46020</v>
      </c>
      <c r="B1826" s="26">
        <f>('Raw Price Data'!B1826-'Raw Price Data'!B1825)/'Raw Price Data'!B1825</f>
        <v>-3.1828485077446074E-2</v>
      </c>
      <c r="C1826" s="26">
        <f>('Raw Price Data'!C1826-'Raw Price Data'!C1825)/'Raw Price Data'!C1825</f>
        <v>-3.3023590228985475E-2</v>
      </c>
      <c r="D1826" s="26">
        <f>('Raw Price Data'!D1826-'Raw Price Data'!D1825)/'Raw Price Data'!D1825</f>
        <v>-1.2645270066839251E-2</v>
      </c>
      <c r="E1826" s="26">
        <f>('Raw Price Data'!E1826-'Raw Price Data'!E1825)/'Raw Price Data'!E1825</f>
        <v>2.190438650824926E-2</v>
      </c>
      <c r="F1826" s="26">
        <f>('Raw Price Data'!F1826-'Raw Price Data'!F1825)/'Raw Price Data'!F1825</f>
        <v>-4.0110303334169725E-3</v>
      </c>
    </row>
    <row r="1827" spans="1:6" ht="15" customHeight="1" x14ac:dyDescent="0.3">
      <c r="A1827" s="21">
        <v>46021</v>
      </c>
      <c r="B1827" s="25">
        <f>('Raw Price Data'!B1827-'Raw Price Data'!B1826)/'Raw Price Data'!B1826</f>
        <v>7.7065652131498583E-3</v>
      </c>
      <c r="C1827" s="25">
        <f>('Raw Price Data'!C1827-'Raw Price Data'!C1826)/'Raw Price Data'!C1826</f>
        <v>2.9290100943551726E-2</v>
      </c>
      <c r="D1827" s="25">
        <f>('Raw Price Data'!D1827-'Raw Price Data'!D1826)/'Raw Price Data'!D1826</f>
        <v>5.3058486308471342E-3</v>
      </c>
      <c r="E1827" s="25">
        <f>('Raw Price Data'!E1827-'Raw Price Data'!E1826)/'Raw Price Data'!E1826</f>
        <v>1.256336786422747E-2</v>
      </c>
      <c r="F1827" s="25">
        <f>('Raw Price Data'!F1827-'Raw Price Data'!F1826)/'Raw Price Data'!F1826</f>
        <v>8.8130142007174905E-3</v>
      </c>
    </row>
    <row r="1828" spans="1:6" ht="15" customHeight="1" x14ac:dyDescent="0.3">
      <c r="A1828" s="24"/>
      <c r="B1828" s="24"/>
      <c r="C1828" s="24"/>
      <c r="D1828" s="24"/>
      <c r="E1828" s="24"/>
      <c r="F1828" s="2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zoomScaleNormal="100" workbookViewId="0"/>
  </sheetViews>
  <sheetFormatPr defaultColWidth="8.6640625" defaultRowHeight="14.4" x14ac:dyDescent="0.3"/>
  <cols>
    <col min="1" max="1" width="32" customWidth="1"/>
    <col min="2" max="6" width="16" customWidth="1"/>
  </cols>
  <sheetData>
    <row r="1" spans="1:6" ht="27.75" customHeight="1" x14ac:dyDescent="0.3">
      <c r="A1" s="12" t="s">
        <v>29</v>
      </c>
      <c r="B1" s="12"/>
      <c r="C1" s="12"/>
      <c r="D1" s="12"/>
      <c r="E1" s="12"/>
      <c r="F1" s="12"/>
    </row>
    <row r="2" spans="1:6" ht="18" customHeight="1" x14ac:dyDescent="0.3">
      <c r="A2" s="11" t="s">
        <v>30</v>
      </c>
      <c r="B2" s="11"/>
      <c r="C2" s="11"/>
      <c r="D2" s="11"/>
      <c r="E2" s="11"/>
      <c r="F2" s="11"/>
    </row>
    <row r="3" spans="1:6" ht="21.75" customHeight="1" x14ac:dyDescent="0.3">
      <c r="A3" s="27" t="s">
        <v>31</v>
      </c>
      <c r="B3" s="27" t="s">
        <v>19</v>
      </c>
      <c r="C3" s="27" t="s">
        <v>20</v>
      </c>
      <c r="D3" s="27" t="s">
        <v>21</v>
      </c>
      <c r="E3" s="27" t="s">
        <v>22</v>
      </c>
      <c r="F3" s="27" t="s">
        <v>23</v>
      </c>
    </row>
    <row r="4" spans="1:6" ht="21.75" customHeight="1" x14ac:dyDescent="0.3">
      <c r="A4" s="28" t="s">
        <v>32</v>
      </c>
      <c r="B4" s="29">
        <f>AVERAGE('Daily Returns'!B3:B1828)</f>
        <v>-7.0162981334367076E-5</v>
      </c>
      <c r="C4" s="29">
        <f>AVERAGE('Daily Returns'!C3:C1828)</f>
        <v>9.1411719002483982E-4</v>
      </c>
      <c r="D4" s="29">
        <f>AVERAGE('Daily Returns'!D3:D1828)</f>
        <v>1.7255881811166883E-4</v>
      </c>
      <c r="E4" s="29">
        <f>AVERAGE('Daily Returns'!E3:E1828)</f>
        <v>-4.8949980381038025E-5</v>
      </c>
      <c r="F4" s="29">
        <f>AVERAGE('Daily Returns'!F3:F1828)</f>
        <v>2.7006081028118495E-4</v>
      </c>
    </row>
    <row r="5" spans="1:6" ht="21.75" customHeight="1" x14ac:dyDescent="0.3">
      <c r="A5" s="30" t="s">
        <v>33</v>
      </c>
      <c r="B5" s="31">
        <f>B4*252</f>
        <v>-1.7681071296260502E-2</v>
      </c>
      <c r="C5" s="31">
        <f>C4*252</f>
        <v>0.23035753188625963</v>
      </c>
      <c r="D5" s="31">
        <f>D4*252</f>
        <v>4.3484822164140548E-2</v>
      </c>
      <c r="E5" s="31">
        <f>E4*252</f>
        <v>-1.2335395056021582E-2</v>
      </c>
      <c r="F5" s="31">
        <f>F4*252</f>
        <v>6.8055324190858607E-2</v>
      </c>
    </row>
    <row r="6" spans="1:6" ht="21.75" customHeight="1" x14ac:dyDescent="0.3">
      <c r="A6" s="28" t="s">
        <v>34</v>
      </c>
      <c r="B6" s="29">
        <f>STDEV('Daily Returns'!B3:B1828)</f>
        <v>1.3891798427883097E-2</v>
      </c>
      <c r="C6" s="29">
        <f>STDEV('Daily Returns'!C3:C1828)</f>
        <v>1.7757678402203474E-2</v>
      </c>
      <c r="D6" s="29">
        <f>STDEV('Daily Returns'!D3:D1828)</f>
        <v>1.5548411389649372E-2</v>
      </c>
      <c r="E6" s="29">
        <f>STDEV('Daily Returns'!E3:E1828)</f>
        <v>1.9063348846669385E-2</v>
      </c>
      <c r="F6" s="29">
        <f>STDEV('Daily Returns'!F3:F1828)</f>
        <v>1.12285923249073E-2</v>
      </c>
    </row>
    <row r="7" spans="1:6" ht="21.75" customHeight="1" x14ac:dyDescent="0.3">
      <c r="A7" s="30" t="s">
        <v>35</v>
      </c>
      <c r="B7" s="31">
        <f>B6*SQRT(252)</f>
        <v>0.22052546342170035</v>
      </c>
      <c r="C7" s="31">
        <f>C6*SQRT(252)</f>
        <v>0.28189440548455924</v>
      </c>
      <c r="D7" s="31">
        <f>D6*SQRT(252)</f>
        <v>0.24682337891481865</v>
      </c>
      <c r="E7" s="31">
        <f>E6*SQRT(252)</f>
        <v>0.30262128122614307</v>
      </c>
      <c r="F7" s="31">
        <f>F6*SQRT(252)</f>
        <v>0.17824837719019973</v>
      </c>
    </row>
    <row r="8" spans="1:6" ht="21.75" customHeight="1" x14ac:dyDescent="0.3">
      <c r="A8" s="28" t="s">
        <v>36</v>
      </c>
      <c r="B8" s="32">
        <f t="shared" ref="B8:F9" si="0">B6/ABS(B4)</f>
        <v>197.99327456854584</v>
      </c>
      <c r="C8" s="32">
        <f t="shared" si="0"/>
        <v>19.426041426615043</v>
      </c>
      <c r="D8" s="32">
        <f t="shared" si="0"/>
        <v>90.104994689911777</v>
      </c>
      <c r="E8" s="32">
        <f t="shared" si="0"/>
        <v>389.44548492718172</v>
      </c>
      <c r="F8" s="32">
        <f t="shared" si="0"/>
        <v>41.578014644983803</v>
      </c>
    </row>
    <row r="9" spans="1:6" ht="21.75" customHeight="1" x14ac:dyDescent="0.3">
      <c r="A9" s="30" t="s">
        <v>37</v>
      </c>
      <c r="B9" s="33">
        <f t="shared" si="0"/>
        <v>12.472403946945278</v>
      </c>
      <c r="C9" s="33">
        <f t="shared" si="0"/>
        <v>1.223725585077662</v>
      </c>
      <c r="D9" s="33">
        <f t="shared" si="0"/>
        <v>5.6760811389119539</v>
      </c>
      <c r="E9" s="33">
        <f t="shared" si="0"/>
        <v>24.53275957938753</v>
      </c>
      <c r="F9" s="33">
        <f t="shared" si="0"/>
        <v>2.6191687323435393</v>
      </c>
    </row>
    <row r="10" spans="1:6" ht="21.75" customHeight="1" x14ac:dyDescent="0.3">
      <c r="A10" s="28" t="s">
        <v>38</v>
      </c>
      <c r="B10" s="34">
        <f>MIN('Daily Returns'!B3:B1828)</f>
        <v>-4.3515800379899779E-2</v>
      </c>
      <c r="C10" s="34">
        <f>MIN('Daily Returns'!C3:C1828)</f>
        <v>-6.8857007911205512E-2</v>
      </c>
      <c r="D10" s="34">
        <f>MIN('Daily Returns'!D3:D1828)</f>
        <v>-5.5278104191147766E-2</v>
      </c>
      <c r="E10" s="34">
        <f>MIN('Daily Returns'!E3:E1828)</f>
        <v>-5.6405686214841516E-2</v>
      </c>
      <c r="F10" s="34">
        <f>MIN('Daily Returns'!F3:F1828)</f>
        <v>-3.9368559956866042E-2</v>
      </c>
    </row>
    <row r="11" spans="1:6" ht="21.75" customHeight="1" x14ac:dyDescent="0.3">
      <c r="A11" s="30" t="s">
        <v>39</v>
      </c>
      <c r="B11" s="31">
        <f>MAX('Daily Returns'!B3:B1828)</f>
        <v>5.2282016348773885E-2</v>
      </c>
      <c r="C11" s="31">
        <f>MAX('Daily Returns'!C3:C1828)</f>
        <v>6.4910454795381253E-2</v>
      </c>
      <c r="D11" s="31">
        <f>MAX('Daily Returns'!D3:D1828)</f>
        <v>5.06666666666667E-2</v>
      </c>
      <c r="E11" s="31">
        <f>MAX('Daily Returns'!E3:E1828)</f>
        <v>6.2786851354145259E-2</v>
      </c>
      <c r="F11" s="31">
        <f>MAX('Daily Returns'!F3:F1828)</f>
        <v>4.1050774489225457E-2</v>
      </c>
    </row>
    <row r="12" spans="1:6" ht="21.75" customHeight="1" x14ac:dyDescent="0.3">
      <c r="A12" s="28" t="s">
        <v>40</v>
      </c>
      <c r="B12" s="35">
        <f>COUNTA('Daily Returns'!B3:B1828)</f>
        <v>1825</v>
      </c>
      <c r="C12" s="35">
        <f>COUNTA('Daily Returns'!C3:C1828)</f>
        <v>1825</v>
      </c>
      <c r="D12" s="35">
        <f>COUNTA('Daily Returns'!D3:D1828)</f>
        <v>1825</v>
      </c>
      <c r="E12" s="35">
        <f>COUNTA('Daily Returns'!E3:E1828)</f>
        <v>1825</v>
      </c>
      <c r="F12" s="35">
        <f>COUNTA('Daily Returns'!F3:F1828)</f>
        <v>1825</v>
      </c>
    </row>
    <row r="14" spans="1:6" ht="19.5" customHeight="1" x14ac:dyDescent="0.3">
      <c r="A14" s="10" t="s">
        <v>41</v>
      </c>
      <c r="B14" s="10"/>
      <c r="C14" s="10"/>
      <c r="D14" s="10"/>
      <c r="E14" s="10"/>
      <c r="F14" s="10"/>
    </row>
    <row r="15" spans="1:6" ht="18" customHeight="1" x14ac:dyDescent="0.3">
      <c r="A15" s="9" t="s">
        <v>42</v>
      </c>
      <c r="B15" s="9"/>
      <c r="C15" s="9"/>
      <c r="D15" s="9"/>
      <c r="E15" s="9"/>
      <c r="F15" s="9"/>
    </row>
    <row r="16" spans="1:6" ht="18" customHeight="1" x14ac:dyDescent="0.3">
      <c r="A16" s="9" t="s">
        <v>43</v>
      </c>
      <c r="B16" s="9"/>
      <c r="C16" s="9"/>
      <c r="D16" s="9"/>
      <c r="E16" s="9"/>
      <c r="F16" s="9"/>
    </row>
    <row r="17" spans="1:6" ht="18" customHeight="1" x14ac:dyDescent="0.3">
      <c r="A17" s="9" t="s">
        <v>44</v>
      </c>
      <c r="B17" s="9"/>
      <c r="C17" s="9"/>
      <c r="D17" s="9"/>
      <c r="E17" s="9"/>
      <c r="F17" s="9"/>
    </row>
    <row r="18" spans="1:6" ht="18" customHeight="1" x14ac:dyDescent="0.3">
      <c r="A18" s="9" t="s">
        <v>45</v>
      </c>
      <c r="B18" s="9"/>
      <c r="C18" s="9"/>
      <c r="D18" s="9"/>
      <c r="E18" s="9"/>
      <c r="F18" s="9"/>
    </row>
  </sheetData>
  <mergeCells count="7">
    <mergeCell ref="A17:F17"/>
    <mergeCell ref="A18:F18"/>
    <mergeCell ref="A1:F1"/>
    <mergeCell ref="A2:F2"/>
    <mergeCell ref="A14:F14"/>
    <mergeCell ref="A15:F15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7" width="15" customWidth="1"/>
  </cols>
  <sheetData>
    <row r="1" spans="1:7" ht="27.75" customHeight="1" x14ac:dyDescent="0.3">
      <c r="A1" s="8" t="s">
        <v>46</v>
      </c>
      <c r="B1" s="8"/>
      <c r="C1" s="8"/>
      <c r="D1" s="8"/>
      <c r="E1" s="8"/>
      <c r="F1" s="8"/>
      <c r="G1" s="8"/>
    </row>
    <row r="2" spans="1:7" ht="18" customHeight="1" x14ac:dyDescent="0.3">
      <c r="A2" s="7" t="s">
        <v>47</v>
      </c>
      <c r="B2" s="7"/>
      <c r="C2" s="7"/>
      <c r="D2" s="7"/>
      <c r="E2" s="7"/>
      <c r="F2" s="7"/>
      <c r="G2" s="7"/>
    </row>
    <row r="3" spans="1:7" ht="21.75" customHeight="1" x14ac:dyDescent="0.3">
      <c r="A3" s="27" t="s">
        <v>31</v>
      </c>
      <c r="B3" s="27" t="s">
        <v>19</v>
      </c>
      <c r="C3" s="27" t="s">
        <v>20</v>
      </c>
      <c r="D3" s="27" t="s">
        <v>21</v>
      </c>
      <c r="E3" s="27" t="s">
        <v>22</v>
      </c>
      <c r="F3" s="36"/>
      <c r="G3" s="36" t="s">
        <v>48</v>
      </c>
    </row>
    <row r="4" spans="1:7" ht="24" customHeight="1" x14ac:dyDescent="0.3">
      <c r="A4" s="37" t="s">
        <v>49</v>
      </c>
      <c r="B4" s="38">
        <f>SLOPE('Daily Returns'!B3:B1828,'Daily Returns'!F3:F1828)</f>
        <v>1.5818477967621835E-3</v>
      </c>
      <c r="C4" s="38">
        <f>SLOPE('Daily Returns'!C3:C1828,'Daily Returns'!F3:F1828)</f>
        <v>-9.1847980511566008E-2</v>
      </c>
      <c r="D4" s="38">
        <f>SLOPE('Daily Returns'!D3:D1828,'Daily Returns'!F3:F1828)</f>
        <v>-8.9641799395376101E-3</v>
      </c>
      <c r="E4" s="38">
        <f>SLOPE('Daily Returns'!E3:E1828,'Daily Returns'!F3:F1828)</f>
        <v>4.9355850663361329E-3</v>
      </c>
    </row>
    <row r="5" spans="1:7" ht="24" customHeight="1" x14ac:dyDescent="0.3">
      <c r="A5" s="39" t="s">
        <v>50</v>
      </c>
      <c r="B5" s="40">
        <f>INTERCEPT('Daily Returns'!B3:B1828,'Daily Returns'!F3:F1828)</f>
        <v>-7.0590176432102177E-5</v>
      </c>
      <c r="C5" s="40">
        <f>INTERCEPT('Daily Returns'!C3:C1828,'Daily Returns'!F3:F1828)</f>
        <v>9.3892173006448381E-4</v>
      </c>
      <c r="D5" s="40">
        <f>INTERCEPT('Daily Returns'!D3:D1828,'Daily Returns'!F3:F1828)</f>
        <v>1.749796918096467E-4</v>
      </c>
      <c r="E5" s="40">
        <f>INTERCEPT('Daily Returns'!E3:E1828,'Daily Returns'!F3:F1828)</f>
        <v>-5.0282888483264477E-5</v>
      </c>
    </row>
    <row r="6" spans="1:7" ht="24" customHeight="1" x14ac:dyDescent="0.3">
      <c r="A6" s="37" t="s">
        <v>51</v>
      </c>
      <c r="B6" s="41">
        <f>CORREL('Daily Returns'!B3:B1828,'Daily Returns'!F3:F1828)</f>
        <v>1.2785906822722322E-3</v>
      </c>
      <c r="C6" s="41">
        <f>CORREL('Daily Returns'!C3:C1828,'Daily Returns'!F3:F1828)</f>
        <v>-5.8077610466379069E-2</v>
      </c>
      <c r="D6" s="41">
        <f>CORREL('Daily Returns'!D3:D1828,'Daily Returns'!F3:F1828)</f>
        <v>-6.4736595621071955E-3</v>
      </c>
      <c r="E6" s="41">
        <f>CORREL('Daily Returns'!E3:E1828,'Daily Returns'!F3:F1828)</f>
        <v>2.9071320595631619E-3</v>
      </c>
    </row>
    <row r="7" spans="1:7" ht="24" customHeight="1" x14ac:dyDescent="0.3">
      <c r="A7" s="39" t="s">
        <v>52</v>
      </c>
      <c r="B7" s="42">
        <f>CORREL('Daily Returns'!B3:B1828,'Daily Returns'!F3:F1828)^2</f>
        <v>1.6347941327933722E-6</v>
      </c>
      <c r="C7" s="42">
        <f>CORREL('Daily Returns'!C3:C1828,'Daily Returns'!F3:F1828)^2</f>
        <v>3.3730088374844635E-3</v>
      </c>
      <c r="D7" s="42">
        <f>CORREL('Daily Returns'!D3:D1828,'Daily Returns'!F3:F1828)^2</f>
        <v>4.1908268126061927E-5</v>
      </c>
      <c r="E7" s="42">
        <f>CORREL('Daily Returns'!E3:E1828,'Daily Returns'!F3:F1828)^2</f>
        <v>8.4514168117399512E-6</v>
      </c>
    </row>
    <row r="9" spans="1:7" ht="24" customHeight="1" x14ac:dyDescent="0.3">
      <c r="A9" s="10" t="s">
        <v>53</v>
      </c>
      <c r="B9" s="10"/>
      <c r="C9" s="10"/>
      <c r="D9" s="10"/>
      <c r="E9" s="10"/>
      <c r="F9" s="10"/>
      <c r="G9" s="10"/>
    </row>
    <row r="10" spans="1:7" ht="21.75" customHeight="1" x14ac:dyDescent="0.3">
      <c r="A10" s="43" t="s">
        <v>54</v>
      </c>
      <c r="B10" s="6" t="s">
        <v>55</v>
      </c>
      <c r="C10" s="6"/>
      <c r="D10" s="6"/>
      <c r="E10" s="6"/>
      <c r="F10" s="6"/>
      <c r="G10" s="6"/>
    </row>
    <row r="11" spans="1:7" ht="21.75" customHeight="1" x14ac:dyDescent="0.3">
      <c r="A11" s="43" t="s">
        <v>56</v>
      </c>
      <c r="B11" s="5" t="s">
        <v>57</v>
      </c>
      <c r="C11" s="5"/>
      <c r="D11" s="5"/>
      <c r="E11" s="5"/>
      <c r="F11" s="5"/>
      <c r="G11" s="5"/>
    </row>
    <row r="12" spans="1:7" ht="21.75" customHeight="1" x14ac:dyDescent="0.3">
      <c r="A12" s="43" t="s">
        <v>58</v>
      </c>
      <c r="B12" s="6" t="s">
        <v>59</v>
      </c>
      <c r="C12" s="6"/>
      <c r="D12" s="6"/>
      <c r="E12" s="6"/>
      <c r="F12" s="6"/>
      <c r="G12" s="6"/>
    </row>
    <row r="13" spans="1:7" ht="21.75" customHeight="1" x14ac:dyDescent="0.3">
      <c r="A13" s="43" t="s">
        <v>60</v>
      </c>
      <c r="B13" s="5" t="s">
        <v>61</v>
      </c>
      <c r="C13" s="5"/>
      <c r="D13" s="5"/>
      <c r="E13" s="5"/>
      <c r="F13" s="5"/>
      <c r="G13" s="5"/>
    </row>
    <row r="14" spans="1:7" ht="21.75" customHeight="1" x14ac:dyDescent="0.3">
      <c r="A14" s="43" t="s">
        <v>62</v>
      </c>
      <c r="B14" s="6" t="s">
        <v>63</v>
      </c>
      <c r="C14" s="6"/>
      <c r="D14" s="6"/>
      <c r="E14" s="6"/>
      <c r="F14" s="6"/>
      <c r="G14" s="6"/>
    </row>
    <row r="15" spans="1:7" ht="21.75" customHeight="1" x14ac:dyDescent="0.3">
      <c r="A15" s="43" t="s">
        <v>64</v>
      </c>
      <c r="B15" s="5" t="s">
        <v>65</v>
      </c>
      <c r="C15" s="5"/>
      <c r="D15" s="5"/>
      <c r="E15" s="5"/>
      <c r="F15" s="5"/>
      <c r="G15" s="5"/>
    </row>
  </sheetData>
  <mergeCells count="9">
    <mergeCell ref="B12:G12"/>
    <mergeCell ref="B13:G13"/>
    <mergeCell ref="B14:G14"/>
    <mergeCell ref="B15:G15"/>
    <mergeCell ref="A1:G1"/>
    <mergeCell ref="A2:G2"/>
    <mergeCell ref="A9:G9"/>
    <mergeCell ref="B10:G10"/>
    <mergeCell ref="B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showGridLines="0" zoomScaleNormal="100" workbookViewId="0"/>
  </sheetViews>
  <sheetFormatPr defaultColWidth="8.6640625" defaultRowHeight="14.4" x14ac:dyDescent="0.3"/>
  <cols>
    <col min="1" max="1" width="38" customWidth="1"/>
    <col min="2" max="6" width="18" customWidth="1"/>
  </cols>
  <sheetData>
    <row r="1" spans="1:6" ht="25.5" customHeight="1" x14ac:dyDescent="0.3">
      <c r="A1" s="12" t="s">
        <v>66</v>
      </c>
      <c r="B1" s="12"/>
      <c r="C1" s="12"/>
      <c r="D1" s="12"/>
      <c r="E1" s="12"/>
      <c r="F1" s="12"/>
    </row>
    <row r="2" spans="1:6" ht="21.75" customHeight="1" x14ac:dyDescent="0.3">
      <c r="A2" s="27" t="s">
        <v>67</v>
      </c>
      <c r="B2" s="27" t="s">
        <v>19</v>
      </c>
      <c r="C2" s="27" t="s">
        <v>20</v>
      </c>
      <c r="D2" s="27" t="s">
        <v>21</v>
      </c>
      <c r="E2" s="27" t="s">
        <v>22</v>
      </c>
      <c r="F2" s="27" t="s">
        <v>68</v>
      </c>
    </row>
    <row r="3" spans="1:6" ht="18" customHeight="1" x14ac:dyDescent="0.3">
      <c r="A3" s="4" t="s">
        <v>69</v>
      </c>
      <c r="B3" s="4"/>
      <c r="C3" s="4"/>
      <c r="D3" s="4"/>
      <c r="E3" s="4"/>
      <c r="F3" s="4"/>
    </row>
    <row r="4" spans="1:6" ht="21.75" customHeight="1" x14ac:dyDescent="0.3">
      <c r="A4" s="28" t="s">
        <v>70</v>
      </c>
      <c r="B4" s="44">
        <v>0.3</v>
      </c>
      <c r="C4" s="44">
        <v>0.3</v>
      </c>
      <c r="D4" s="44">
        <v>0.2</v>
      </c>
      <c r="E4" s="44">
        <v>0.1</v>
      </c>
      <c r="F4" s="24"/>
    </row>
    <row r="5" spans="1:6" ht="21.75" customHeight="1" x14ac:dyDescent="0.3">
      <c r="A5" s="30" t="s">
        <v>71</v>
      </c>
      <c r="B5" s="45">
        <f>'Beta &amp; Regression'!B4</f>
        <v>1.5818477967621835E-3</v>
      </c>
      <c r="C5" s="45">
        <f>'Beta &amp; Regression'!C4</f>
        <v>-9.1847980511566008E-2</v>
      </c>
      <c r="D5" s="45">
        <f>'Beta &amp; Regression'!D4</f>
        <v>-8.9641799395376101E-3</v>
      </c>
      <c r="E5" s="45">
        <f>'Beta &amp; Regression'!E4</f>
        <v>4.9355850663361329E-3</v>
      </c>
      <c r="F5" s="24"/>
    </row>
    <row r="6" spans="1:6" ht="21.75" customHeight="1" x14ac:dyDescent="0.3">
      <c r="A6" s="28" t="s">
        <v>72</v>
      </c>
      <c r="B6" s="46">
        <f>'Summary Statistics'!B5</f>
        <v>-1.7681071296260502E-2</v>
      </c>
      <c r="C6" s="46">
        <f>'Summary Statistics'!C5</f>
        <v>0.23035753188625963</v>
      </c>
      <c r="D6" s="46">
        <f>'Summary Statistics'!D5</f>
        <v>4.3484822164140548E-2</v>
      </c>
      <c r="E6" s="46">
        <f>'Summary Statistics'!E5</f>
        <v>-1.2335395056021582E-2</v>
      </c>
      <c r="F6" s="24"/>
    </row>
    <row r="7" spans="1:6" ht="24" customHeight="1" x14ac:dyDescent="0.3">
      <c r="A7" s="47" t="s">
        <v>73</v>
      </c>
      <c r="B7" s="3">
        <f>B4*B5+C4*C5+D4*D5+E4*E5</f>
        <v>-2.8379117295715059E-2</v>
      </c>
      <c r="C7" s="3"/>
      <c r="D7" s="3"/>
      <c r="E7" s="3"/>
      <c r="F7" s="24"/>
    </row>
    <row r="8" spans="1:6" ht="19.5" customHeight="1" x14ac:dyDescent="0.3">
      <c r="A8" s="48" t="s">
        <v>74</v>
      </c>
      <c r="B8" s="2">
        <v>0.1135</v>
      </c>
      <c r="C8" s="2"/>
      <c r="D8" s="2"/>
      <c r="E8" s="2"/>
      <c r="F8" s="49" t="s">
        <v>75</v>
      </c>
    </row>
    <row r="9" spans="1:6" ht="19.5" customHeight="1" x14ac:dyDescent="0.3">
      <c r="A9" s="28" t="s">
        <v>76</v>
      </c>
      <c r="B9" s="1">
        <f>'Summary Statistics'!F5</f>
        <v>6.8055324190858607E-2</v>
      </c>
      <c r="C9" s="1"/>
      <c r="D9" s="1"/>
      <c r="E9" s="1"/>
      <c r="F9" s="24"/>
    </row>
    <row r="10" spans="1:6" ht="24" customHeight="1" x14ac:dyDescent="0.3">
      <c r="A10" s="50" t="s">
        <v>77</v>
      </c>
      <c r="B10" s="80">
        <f>B8+B7*(B9-B8)</f>
        <v>0.11478967978525337</v>
      </c>
      <c r="C10" s="80"/>
      <c r="D10" s="80"/>
      <c r="E10" s="80"/>
      <c r="F10" s="24"/>
    </row>
    <row r="12" spans="1:6" ht="25.5" customHeight="1" x14ac:dyDescent="0.3">
      <c r="A12" s="8" t="s">
        <v>78</v>
      </c>
      <c r="B12" s="8"/>
      <c r="C12" s="8"/>
      <c r="D12" s="8"/>
      <c r="E12" s="8"/>
      <c r="F12" s="8"/>
    </row>
    <row r="13" spans="1:6" ht="21.75" customHeight="1" x14ac:dyDescent="0.3">
      <c r="A13" s="27" t="s">
        <v>79</v>
      </c>
      <c r="B13" s="27" t="s">
        <v>70</v>
      </c>
      <c r="C13" s="27" t="s">
        <v>71</v>
      </c>
      <c r="D13" s="27" t="s">
        <v>80</v>
      </c>
      <c r="E13" s="36"/>
      <c r="F13" s="36"/>
    </row>
    <row r="14" spans="1:6" ht="21.75" customHeight="1" x14ac:dyDescent="0.3">
      <c r="A14" s="28" t="s">
        <v>81</v>
      </c>
      <c r="B14" s="44">
        <v>0.25</v>
      </c>
      <c r="C14" s="51">
        <f>B7</f>
        <v>-2.8379117295715059E-2</v>
      </c>
      <c r="D14" s="52">
        <f>B14*C14</f>
        <v>-7.0947793239287647E-3</v>
      </c>
    </row>
    <row r="15" spans="1:6" ht="21.75" customHeight="1" x14ac:dyDescent="0.3">
      <c r="A15" s="30" t="s">
        <v>82</v>
      </c>
      <c r="B15" s="53">
        <v>0.15</v>
      </c>
      <c r="C15" s="54">
        <v>0.76900000000000002</v>
      </c>
      <c r="D15" s="55">
        <f>B15*C15</f>
        <v>0.11534999999999999</v>
      </c>
    </row>
    <row r="16" spans="1:6" ht="21.75" customHeight="1" x14ac:dyDescent="0.3">
      <c r="A16" s="28" t="s">
        <v>83</v>
      </c>
      <c r="B16" s="44">
        <v>0.4</v>
      </c>
      <c r="C16" s="56">
        <v>0.98499999999999999</v>
      </c>
      <c r="D16" s="52">
        <f>B16*C16</f>
        <v>0.39400000000000002</v>
      </c>
    </row>
    <row r="17" spans="1:6" ht="21.75" customHeight="1" x14ac:dyDescent="0.3">
      <c r="A17" s="30" t="s">
        <v>84</v>
      </c>
      <c r="B17" s="53">
        <v>0.2</v>
      </c>
      <c r="C17" s="54">
        <v>1.423</v>
      </c>
      <c r="D17" s="55">
        <f>B17*C17</f>
        <v>0.28460000000000002</v>
      </c>
    </row>
    <row r="18" spans="1:6" ht="21.75" customHeight="1" x14ac:dyDescent="0.3">
      <c r="A18" s="57" t="s">
        <v>85</v>
      </c>
      <c r="B18" s="58">
        <f>SUM(B14:B17)</f>
        <v>1</v>
      </c>
      <c r="C18" s="24"/>
      <c r="D18" s="24"/>
    </row>
    <row r="19" spans="1:6" ht="24" customHeight="1" x14ac:dyDescent="0.3">
      <c r="A19" s="47" t="s">
        <v>86</v>
      </c>
      <c r="B19" s="3">
        <f>SUM(D14:D17)</f>
        <v>0.78685522067607128</v>
      </c>
      <c r="C19" s="3"/>
      <c r="D19" s="3"/>
    </row>
    <row r="21" spans="1:6" ht="25.5" customHeight="1" x14ac:dyDescent="0.3">
      <c r="A21" s="12" t="s">
        <v>87</v>
      </c>
      <c r="B21" s="12"/>
      <c r="C21" s="12"/>
      <c r="D21" s="12"/>
      <c r="E21" s="12"/>
      <c r="F21" s="12"/>
    </row>
    <row r="22" spans="1:6" ht="21.75" customHeight="1" x14ac:dyDescent="0.3">
      <c r="A22" s="59" t="s">
        <v>88</v>
      </c>
      <c r="B22" s="46">
        <f>B8</f>
        <v>0.1135</v>
      </c>
      <c r="C22" s="81" t="s">
        <v>89</v>
      </c>
      <c r="D22" s="81"/>
      <c r="E22" s="81"/>
      <c r="F22" s="81"/>
    </row>
    <row r="23" spans="1:6" ht="21.75" customHeight="1" x14ac:dyDescent="0.3">
      <c r="A23" s="61" t="s">
        <v>90</v>
      </c>
      <c r="B23" s="62">
        <f>B9</f>
        <v>6.8055324190858607E-2</v>
      </c>
      <c r="C23" s="82" t="s">
        <v>91</v>
      </c>
      <c r="D23" s="82"/>
      <c r="E23" s="82"/>
      <c r="F23" s="82"/>
    </row>
    <row r="24" spans="1:6" ht="21.75" customHeight="1" x14ac:dyDescent="0.3">
      <c r="A24" s="59" t="s">
        <v>92</v>
      </c>
      <c r="B24" s="46">
        <f>B23-B22</f>
        <v>-4.5444675809141397E-2</v>
      </c>
      <c r="C24" s="81" t="s">
        <v>93</v>
      </c>
      <c r="D24" s="81"/>
      <c r="E24" s="81"/>
      <c r="F24" s="81"/>
    </row>
    <row r="25" spans="1:6" ht="21.75" customHeight="1" x14ac:dyDescent="0.3">
      <c r="A25" s="61" t="s">
        <v>94</v>
      </c>
      <c r="B25" s="45">
        <f>B19</f>
        <v>0.78685522067607128</v>
      </c>
      <c r="C25" s="82" t="s">
        <v>95</v>
      </c>
      <c r="D25" s="82"/>
      <c r="E25" s="82"/>
      <c r="F25" s="82"/>
    </row>
    <row r="26" spans="1:6" ht="21.75" customHeight="1" x14ac:dyDescent="0.3">
      <c r="A26" s="64" t="s">
        <v>96</v>
      </c>
      <c r="B26" s="65">
        <f>B22+B25*(B23-B22)</f>
        <v>7.7741619587645527E-2</v>
      </c>
      <c r="C26" s="81" t="s">
        <v>97</v>
      </c>
      <c r="D26" s="81"/>
      <c r="E26" s="81"/>
      <c r="F26" s="81"/>
    </row>
  </sheetData>
  <mergeCells count="14">
    <mergeCell ref="C23:F23"/>
    <mergeCell ref="C24:F24"/>
    <mergeCell ref="C25:F25"/>
    <mergeCell ref="C26:F26"/>
    <mergeCell ref="B10:E10"/>
    <mergeCell ref="A12:F12"/>
    <mergeCell ref="B19:D19"/>
    <mergeCell ref="A21:F21"/>
    <mergeCell ref="C22:F22"/>
    <mergeCell ref="A1:F1"/>
    <mergeCell ref="A3:F3"/>
    <mergeCell ref="B7:E7"/>
    <mergeCell ref="B8:E8"/>
    <mergeCell ref="B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4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5" width="14" customWidth="1"/>
    <col min="6" max="6" width="16" customWidth="1"/>
    <col min="7" max="7" width="18" customWidth="1"/>
    <col min="8" max="8" width="20" customWidth="1"/>
  </cols>
  <sheetData>
    <row r="1" spans="1:8" ht="27.75" customHeight="1" x14ac:dyDescent="0.3">
      <c r="A1" s="12" t="s">
        <v>98</v>
      </c>
      <c r="B1" s="12"/>
      <c r="C1" s="12"/>
      <c r="D1" s="12"/>
      <c r="E1" s="12"/>
      <c r="F1" s="12"/>
      <c r="G1" s="12"/>
      <c r="H1" s="12"/>
    </row>
    <row r="2" spans="1:8" ht="18" customHeight="1" x14ac:dyDescent="0.3">
      <c r="A2" s="11" t="s">
        <v>99</v>
      </c>
      <c r="B2" s="11"/>
      <c r="C2" s="11"/>
      <c r="D2" s="11"/>
      <c r="E2" s="11"/>
      <c r="F2" s="11"/>
      <c r="G2" s="11"/>
      <c r="H2" s="11"/>
    </row>
    <row r="3" spans="1:8" ht="30" customHeight="1" x14ac:dyDescent="0.3">
      <c r="A3" s="66" t="s">
        <v>100</v>
      </c>
      <c r="B3" s="66" t="s">
        <v>49</v>
      </c>
      <c r="C3" s="66" t="s">
        <v>101</v>
      </c>
      <c r="D3" s="66" t="s">
        <v>102</v>
      </c>
      <c r="E3" s="66" t="s">
        <v>103</v>
      </c>
      <c r="F3" s="66" t="s">
        <v>104</v>
      </c>
      <c r="G3" s="66" t="s">
        <v>105</v>
      </c>
      <c r="H3" s="66" t="s">
        <v>106</v>
      </c>
    </row>
    <row r="4" spans="1:8" ht="21.75" customHeight="1" x14ac:dyDescent="0.3">
      <c r="A4" s="28" t="s">
        <v>19</v>
      </c>
      <c r="B4" s="51">
        <f>'Beta &amp; Regression'!B4</f>
        <v>1.5818477967621835E-3</v>
      </c>
      <c r="C4" s="46">
        <f>'Summary Statistics'!B5</f>
        <v>-1.7681071296260502E-2</v>
      </c>
      <c r="D4" s="67">
        <f>'Portfolio Analysis'!B8+'Beta &amp; Regression'!B4*('Portfolio Analysis'!B9-'Portfolio Analysis'!B8)</f>
        <v>0.11342811343969675</v>
      </c>
      <c r="E4" s="67">
        <f t="shared" ref="E4:E11" si="0">C4-D4</f>
        <v>-0.13110918473595726</v>
      </c>
      <c r="F4" s="68" t="str">
        <f t="shared" ref="F4:F11" si="1">IF(C4&gt;D4,"✓ UNDERVALUED",IF(C4&lt;D4,"✗ OVERVALUED","FAIRLY VALUED"))</f>
        <v>✗ OVERVALUED</v>
      </c>
      <c r="G4" s="69">
        <f t="shared" ref="G4:G11" si="2">(C4-D4)*10000</f>
        <v>-1311.0918473595725</v>
      </c>
      <c r="H4" s="60" t="str">
        <f>IF(F4="✓ UNDERVALUED","Above SML",IF(F4="✗ OVERVALUED","Below SML","On SML"))</f>
        <v>Below SML</v>
      </c>
    </row>
    <row r="5" spans="1:8" ht="21.75" customHeight="1" x14ac:dyDescent="0.3">
      <c r="A5" s="30" t="s">
        <v>20</v>
      </c>
      <c r="B5" s="45">
        <f>'Beta &amp; Regression'!C4</f>
        <v>-9.1847980511566008E-2</v>
      </c>
      <c r="C5" s="62">
        <f>'Summary Statistics'!C5</f>
        <v>0.23035753188625963</v>
      </c>
      <c r="D5" s="70">
        <f>'Portfolio Analysis'!B8+'Beta &amp; Regression'!C4*('Portfolio Analysis'!B9-'Portfolio Analysis'!B8)</f>
        <v>0.11767400169807246</v>
      </c>
      <c r="E5" s="70">
        <f t="shared" si="0"/>
        <v>0.11268353018818716</v>
      </c>
      <c r="F5" s="71" t="str">
        <f t="shared" si="1"/>
        <v>✓ UNDERVALUED</v>
      </c>
      <c r="G5" s="72">
        <f t="shared" si="2"/>
        <v>1126.8353018818716</v>
      </c>
      <c r="H5" s="63" t="str">
        <f>IF(F5="✓ UNDERVALUED","Above SML",IF(F5="✗ OVERVALUED","Below SML","On SML"))</f>
        <v>Above SML</v>
      </c>
    </row>
    <row r="6" spans="1:8" ht="21.75" customHeight="1" x14ac:dyDescent="0.3">
      <c r="A6" s="28" t="s">
        <v>21</v>
      </c>
      <c r="B6" s="51">
        <f>'Beta &amp; Regression'!D4</f>
        <v>-8.9641799395376101E-3</v>
      </c>
      <c r="C6" s="46">
        <f>'Summary Statistics'!D5</f>
        <v>4.3484822164140548E-2</v>
      </c>
      <c r="D6" s="67">
        <f>'Portfolio Analysis'!B8+'Beta &amp; Regression'!D4*('Portfolio Analysis'!B9-'Portfolio Analysis'!B8)</f>
        <v>0.1139073742512471</v>
      </c>
      <c r="E6" s="67">
        <f t="shared" si="0"/>
        <v>-7.0422552087106544E-2</v>
      </c>
      <c r="F6" s="68" t="str">
        <f t="shared" si="1"/>
        <v>✗ OVERVALUED</v>
      </c>
      <c r="G6" s="69">
        <f t="shared" si="2"/>
        <v>-704.22552087106544</v>
      </c>
      <c r="H6" s="60" t="str">
        <f>IF(F6="✓ UNDERVALUED","Above SML",IF(F6="✗ OVERVALUED","Below SML","On SML"))</f>
        <v>Below SML</v>
      </c>
    </row>
    <row r="7" spans="1:8" ht="21.75" customHeight="1" x14ac:dyDescent="0.3">
      <c r="A7" s="30" t="s">
        <v>22</v>
      </c>
      <c r="B7" s="45">
        <f>'Beta &amp; Regression'!E4</f>
        <v>4.9355850663361329E-3</v>
      </c>
      <c r="C7" s="62">
        <f>'Summary Statistics'!E5</f>
        <v>-1.2335395056021582E-2</v>
      </c>
      <c r="D7" s="70">
        <f>'Portfolio Analysis'!B8+'Beta &amp; Regression'!E4*('Portfolio Analysis'!B9-'Portfolio Analysis'!B8)</f>
        <v>0.11327570393673192</v>
      </c>
      <c r="E7" s="70">
        <f t="shared" si="0"/>
        <v>-0.12561109899275349</v>
      </c>
      <c r="F7" s="71" t="str">
        <f t="shared" si="1"/>
        <v>✗ OVERVALUED</v>
      </c>
      <c r="G7" s="72">
        <f t="shared" si="2"/>
        <v>-1256.110989927535</v>
      </c>
      <c r="H7" s="63" t="str">
        <f>IF(F7="✓ UNDERVALUED","Above SML",IF(F7="✗ OVERVALUED","Below SML","On SML"))</f>
        <v>Below SML</v>
      </c>
    </row>
    <row r="8" spans="1:8" ht="21.75" customHeight="1" x14ac:dyDescent="0.3">
      <c r="A8" s="28" t="s">
        <v>107</v>
      </c>
      <c r="B8" s="51">
        <f>'Portfolio Analysis'!B7</f>
        <v>-2.8379117295715059E-2</v>
      </c>
      <c r="C8" s="46">
        <f>'Portfolio Analysis'!B10</f>
        <v>0.11478967978525337</v>
      </c>
      <c r="D8" s="67">
        <f>'Portfolio Analysis'!B10</f>
        <v>0.11478967978525337</v>
      </c>
      <c r="E8" s="67">
        <f t="shared" si="0"/>
        <v>0</v>
      </c>
      <c r="F8" s="68" t="str">
        <f t="shared" si="1"/>
        <v>FAIRLY VALUED</v>
      </c>
      <c r="G8" s="69">
        <f t="shared" si="2"/>
        <v>0</v>
      </c>
      <c r="H8" s="60" t="s">
        <v>108</v>
      </c>
    </row>
    <row r="9" spans="1:8" ht="21.75" customHeight="1" x14ac:dyDescent="0.3">
      <c r="A9" s="30" t="s">
        <v>109</v>
      </c>
      <c r="B9" s="45">
        <f>'Portfolio Analysis'!B19</f>
        <v>0.78685522067607128</v>
      </c>
      <c r="C9" s="62">
        <f>'Portfolio Analysis'!B26</f>
        <v>7.7741619587645527E-2</v>
      </c>
      <c r="D9" s="70">
        <f>'Portfolio Analysis'!B26</f>
        <v>7.7741619587645527E-2</v>
      </c>
      <c r="E9" s="70">
        <f t="shared" si="0"/>
        <v>0</v>
      </c>
      <c r="F9" s="71" t="str">
        <f t="shared" si="1"/>
        <v>FAIRLY VALUED</v>
      </c>
      <c r="G9" s="72">
        <f t="shared" si="2"/>
        <v>0</v>
      </c>
      <c r="H9" s="63" t="s">
        <v>108</v>
      </c>
    </row>
    <row r="10" spans="1:8" ht="21.75" customHeight="1" x14ac:dyDescent="0.3">
      <c r="A10" s="28" t="s">
        <v>110</v>
      </c>
      <c r="B10" s="51" t="s">
        <v>111</v>
      </c>
      <c r="C10" s="46">
        <f>'Summary Statistics'!F5</f>
        <v>6.8055324190858607E-2</v>
      </c>
      <c r="D10" s="67">
        <f>'Summary Statistics'!F5</f>
        <v>6.8055324190858607E-2</v>
      </c>
      <c r="E10" s="67">
        <f t="shared" si="0"/>
        <v>0</v>
      </c>
      <c r="F10" s="68" t="str">
        <f t="shared" si="1"/>
        <v>FAIRLY VALUED</v>
      </c>
      <c r="G10" s="69">
        <f t="shared" si="2"/>
        <v>0</v>
      </c>
      <c r="H10" s="60" t="s">
        <v>112</v>
      </c>
    </row>
    <row r="11" spans="1:8" ht="21.75" customHeight="1" x14ac:dyDescent="0.3">
      <c r="A11" s="30" t="s">
        <v>113</v>
      </c>
      <c r="B11" s="45" t="s">
        <v>114</v>
      </c>
      <c r="C11" s="62">
        <f>'Portfolio Analysis'!B8</f>
        <v>0.1135</v>
      </c>
      <c r="D11" s="70">
        <f>'Portfolio Analysis'!B8</f>
        <v>0.1135</v>
      </c>
      <c r="E11" s="70">
        <f t="shared" si="0"/>
        <v>0</v>
      </c>
      <c r="F11" s="71" t="str">
        <f t="shared" si="1"/>
        <v>FAIRLY VALUED</v>
      </c>
      <c r="G11" s="72">
        <f t="shared" si="2"/>
        <v>0</v>
      </c>
      <c r="H11" s="63" t="s">
        <v>115</v>
      </c>
    </row>
    <row r="13" spans="1:8" ht="21.75" customHeight="1" x14ac:dyDescent="0.3">
      <c r="A13" s="83" t="s">
        <v>116</v>
      </c>
      <c r="B13" s="83"/>
      <c r="C13" s="83"/>
      <c r="D13" s="83"/>
    </row>
    <row r="14" spans="1:8" ht="19.5" customHeight="1" x14ac:dyDescent="0.3">
      <c r="A14" s="73" t="s">
        <v>117</v>
      </c>
      <c r="B14" s="73" t="s">
        <v>118</v>
      </c>
      <c r="C14" s="74"/>
      <c r="D14" s="74"/>
    </row>
    <row r="15" spans="1:8" ht="18" customHeight="1" x14ac:dyDescent="0.3">
      <c r="A15" s="75">
        <v>0</v>
      </c>
      <c r="B15" s="76">
        <f>'Portfolio Analysis'!B8+A15*('Portfolio Analysis'!B9-'Portfolio Analysis'!B8)</f>
        <v>0.1135</v>
      </c>
    </row>
    <row r="16" spans="1:8" ht="18" customHeight="1" x14ac:dyDescent="0.3">
      <c r="A16" s="75">
        <v>0.2</v>
      </c>
      <c r="B16" s="76">
        <f>'Portfolio Analysis'!B8+A16*('Portfolio Analysis'!B9-'Portfolio Analysis'!B8)</f>
        <v>0.10441106483817172</v>
      </c>
    </row>
    <row r="17" spans="1:8" ht="18" customHeight="1" x14ac:dyDescent="0.3">
      <c r="A17" s="75">
        <v>0.4</v>
      </c>
      <c r="B17" s="76">
        <f>'Portfolio Analysis'!B8+A17*('Portfolio Analysis'!B9-'Portfolio Analysis'!B8)</f>
        <v>9.5322129676343445E-2</v>
      </c>
    </row>
    <row r="18" spans="1:8" ht="18" customHeight="1" x14ac:dyDescent="0.3">
      <c r="A18" s="75">
        <v>0.6</v>
      </c>
      <c r="B18" s="76">
        <f>'Portfolio Analysis'!B8+A18*('Portfolio Analysis'!B9-'Portfolio Analysis'!B8)</f>
        <v>8.6233194514515166E-2</v>
      </c>
    </row>
    <row r="19" spans="1:8" ht="18" customHeight="1" x14ac:dyDescent="0.3">
      <c r="A19" s="75">
        <v>0.8</v>
      </c>
      <c r="B19" s="76">
        <f>'Portfolio Analysis'!B8+A19*('Portfolio Analysis'!B9-'Portfolio Analysis'!B8)</f>
        <v>7.7144259352686886E-2</v>
      </c>
    </row>
    <row r="20" spans="1:8" ht="18" customHeight="1" x14ac:dyDescent="0.3">
      <c r="A20" s="75">
        <v>1</v>
      </c>
      <c r="B20" s="76">
        <f>'Portfolio Analysis'!B8+A20*('Portfolio Analysis'!B9-'Portfolio Analysis'!B8)</f>
        <v>6.8055324190858607E-2</v>
      </c>
    </row>
    <row r="21" spans="1:8" ht="18" customHeight="1" x14ac:dyDescent="0.3">
      <c r="A21" s="75">
        <v>1.2</v>
      </c>
      <c r="B21" s="76">
        <f>'Portfolio Analysis'!B8+A21*('Portfolio Analysis'!B9-'Portfolio Analysis'!B8)</f>
        <v>5.8966389029030328E-2</v>
      </c>
    </row>
    <row r="22" spans="1:8" ht="18" customHeight="1" x14ac:dyDescent="0.3">
      <c r="A22" s="75">
        <v>1.4</v>
      </c>
      <c r="B22" s="76">
        <f>'Portfolio Analysis'!B8+A22*('Portfolio Analysis'!B9-'Portfolio Analysis'!B8)</f>
        <v>4.9877453867202048E-2</v>
      </c>
    </row>
    <row r="23" spans="1:8" ht="18" customHeight="1" x14ac:dyDescent="0.3">
      <c r="A23" s="75">
        <v>1.6</v>
      </c>
      <c r="B23" s="76">
        <f>'Portfolio Analysis'!B8+A23*('Portfolio Analysis'!B9-'Portfolio Analysis'!B8)</f>
        <v>4.0788518705373769E-2</v>
      </c>
    </row>
    <row r="24" spans="1:8" ht="18" customHeight="1" x14ac:dyDescent="0.3">
      <c r="A24" s="75">
        <v>1.8</v>
      </c>
      <c r="B24" s="76">
        <f>'Portfolio Analysis'!B8+A24*('Portfolio Analysis'!B9-'Portfolio Analysis'!B8)</f>
        <v>3.169958354354549E-2</v>
      </c>
    </row>
    <row r="25" spans="1:8" ht="18" customHeight="1" x14ac:dyDescent="0.3">
      <c r="A25" s="75">
        <v>2</v>
      </c>
      <c r="B25" s="76">
        <f>'Portfolio Analysis'!B8+A25*('Portfolio Analysis'!B9-'Portfolio Analysis'!B8)</f>
        <v>2.261064838171721E-2</v>
      </c>
    </row>
    <row r="27" spans="1:8" ht="21.75" customHeight="1" x14ac:dyDescent="0.3">
      <c r="A27" s="10" t="s">
        <v>119</v>
      </c>
      <c r="B27" s="10"/>
      <c r="C27" s="10"/>
      <c r="D27" s="10"/>
      <c r="E27" s="10"/>
      <c r="F27" s="10"/>
      <c r="G27" s="10"/>
      <c r="H27" s="10"/>
    </row>
    <row r="28" spans="1:8" ht="18" customHeight="1" x14ac:dyDescent="0.3">
      <c r="A28" s="9" t="s">
        <v>120</v>
      </c>
      <c r="B28" s="9"/>
      <c r="C28" s="9"/>
      <c r="D28" s="9"/>
      <c r="E28" s="9"/>
      <c r="F28" s="9"/>
      <c r="G28" s="9"/>
      <c r="H28" s="9"/>
    </row>
    <row r="29" spans="1:8" ht="18" customHeight="1" x14ac:dyDescent="0.3">
      <c r="A29" s="5" t="s">
        <v>121</v>
      </c>
      <c r="B29" s="5"/>
      <c r="C29" s="5"/>
      <c r="D29" s="5"/>
      <c r="E29" s="5"/>
      <c r="F29" s="5"/>
      <c r="G29" s="5"/>
      <c r="H29" s="5"/>
    </row>
    <row r="30" spans="1:8" ht="18" customHeight="1" x14ac:dyDescent="0.3">
      <c r="A30" s="9" t="s">
        <v>122</v>
      </c>
      <c r="B30" s="9"/>
      <c r="C30" s="9"/>
      <c r="D30" s="9"/>
      <c r="E30" s="9"/>
      <c r="F30" s="9"/>
      <c r="G30" s="9"/>
      <c r="H30" s="9"/>
    </row>
    <row r="31" spans="1:8" ht="18" customHeight="1" x14ac:dyDescent="0.3">
      <c r="A31" s="5" t="s">
        <v>123</v>
      </c>
      <c r="B31" s="5"/>
      <c r="C31" s="5"/>
      <c r="D31" s="5"/>
      <c r="E31" s="5"/>
      <c r="F31" s="5"/>
      <c r="G31" s="5"/>
      <c r="H31" s="5"/>
    </row>
    <row r="32" spans="1:8" ht="18" customHeight="1" x14ac:dyDescent="0.3">
      <c r="A32" s="9" t="s">
        <v>124</v>
      </c>
      <c r="B32" s="9"/>
      <c r="C32" s="9"/>
      <c r="D32" s="9"/>
      <c r="E32" s="9"/>
      <c r="F32" s="9"/>
      <c r="G32" s="9"/>
      <c r="H32" s="9"/>
    </row>
    <row r="35" spans="1:4" x14ac:dyDescent="0.3">
      <c r="A35" s="77" t="s">
        <v>125</v>
      </c>
    </row>
    <row r="36" spans="1:4" x14ac:dyDescent="0.3">
      <c r="A36" t="s">
        <v>79</v>
      </c>
      <c r="B36" t="s">
        <v>126</v>
      </c>
      <c r="C36" t="s">
        <v>127</v>
      </c>
      <c r="D36" t="s">
        <v>128</v>
      </c>
    </row>
    <row r="37" spans="1:4" x14ac:dyDescent="0.3">
      <c r="A37" t="s">
        <v>19</v>
      </c>
      <c r="B37" s="78">
        <f t="shared" ref="B37:D44" si="3">B4</f>
        <v>1.5818477967621835E-3</v>
      </c>
      <c r="C37" s="79">
        <f t="shared" si="3"/>
        <v>-1.7681071296260502E-2</v>
      </c>
      <c r="D37" s="79">
        <f t="shared" si="3"/>
        <v>0.11342811343969675</v>
      </c>
    </row>
    <row r="38" spans="1:4" x14ac:dyDescent="0.3">
      <c r="A38" t="s">
        <v>20</v>
      </c>
      <c r="B38" s="78">
        <f t="shared" si="3"/>
        <v>-9.1847980511566008E-2</v>
      </c>
      <c r="C38" s="79">
        <f t="shared" si="3"/>
        <v>0.23035753188625963</v>
      </c>
      <c r="D38" s="79">
        <f t="shared" si="3"/>
        <v>0.11767400169807246</v>
      </c>
    </row>
    <row r="39" spans="1:4" x14ac:dyDescent="0.3">
      <c r="A39" t="s">
        <v>21</v>
      </c>
      <c r="B39" s="78">
        <f t="shared" si="3"/>
        <v>-8.9641799395376101E-3</v>
      </c>
      <c r="C39" s="79">
        <f t="shared" si="3"/>
        <v>4.3484822164140548E-2</v>
      </c>
      <c r="D39" s="79">
        <f t="shared" si="3"/>
        <v>0.1139073742512471</v>
      </c>
    </row>
    <row r="40" spans="1:4" x14ac:dyDescent="0.3">
      <c r="A40" t="s">
        <v>22</v>
      </c>
      <c r="B40" s="78">
        <f t="shared" si="3"/>
        <v>4.9355850663361329E-3</v>
      </c>
      <c r="C40" s="79">
        <f t="shared" si="3"/>
        <v>-1.2335395056021582E-2</v>
      </c>
      <c r="D40" s="79">
        <f t="shared" si="3"/>
        <v>0.11327570393673192</v>
      </c>
    </row>
    <row r="41" spans="1:4" x14ac:dyDescent="0.3">
      <c r="A41" t="s">
        <v>68</v>
      </c>
      <c r="B41" s="78">
        <f t="shared" si="3"/>
        <v>-2.8379117295715059E-2</v>
      </c>
      <c r="C41" s="79">
        <f t="shared" si="3"/>
        <v>0.11478967978525337</v>
      </c>
      <c r="D41" s="79">
        <f t="shared" si="3"/>
        <v>0.11478967978525337</v>
      </c>
    </row>
    <row r="42" spans="1:4" x14ac:dyDescent="0.3">
      <c r="A42" t="s">
        <v>109</v>
      </c>
      <c r="B42" s="78">
        <f t="shared" si="3"/>
        <v>0.78685522067607128</v>
      </c>
      <c r="C42" s="79">
        <f t="shared" si="3"/>
        <v>7.7741619587645527E-2</v>
      </c>
      <c r="D42" s="79">
        <f t="shared" si="3"/>
        <v>7.7741619587645527E-2</v>
      </c>
    </row>
    <row r="43" spans="1:4" x14ac:dyDescent="0.3">
      <c r="A43" t="s">
        <v>129</v>
      </c>
      <c r="B43" t="str">
        <f t="shared" si="3"/>
        <v>1</v>
      </c>
      <c r="C43" s="79">
        <f t="shared" si="3"/>
        <v>6.8055324190858607E-2</v>
      </c>
      <c r="D43" s="79">
        <f t="shared" si="3"/>
        <v>6.8055324190858607E-2</v>
      </c>
    </row>
    <row r="44" spans="1:4" x14ac:dyDescent="0.3">
      <c r="A44" t="s">
        <v>130</v>
      </c>
      <c r="B44" t="str">
        <f t="shared" si="3"/>
        <v>0</v>
      </c>
      <c r="C44" s="79">
        <f t="shared" si="3"/>
        <v>0.1135</v>
      </c>
      <c r="D44" s="79">
        <f t="shared" si="3"/>
        <v>0.1135</v>
      </c>
    </row>
  </sheetData>
  <mergeCells count="9">
    <mergeCell ref="A29:H29"/>
    <mergeCell ref="A30:H30"/>
    <mergeCell ref="A31:H31"/>
    <mergeCell ref="A32:H32"/>
    <mergeCell ref="A1:H1"/>
    <mergeCell ref="A2:H2"/>
    <mergeCell ref="A13:D13"/>
    <mergeCell ref="A27:H27"/>
    <mergeCell ref="A28:H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30"/>
  <sheetViews>
    <sheetView showGridLines="0" zoomScaleNormal="100" workbookViewId="0"/>
  </sheetViews>
  <sheetFormatPr defaultColWidth="8.6640625" defaultRowHeight="14.4" x14ac:dyDescent="0.3"/>
  <cols>
    <col min="1" max="6" width="18" customWidth="1"/>
  </cols>
  <sheetData>
    <row r="1" spans="1:6" ht="25.5" customHeight="1" x14ac:dyDescent="0.3">
      <c r="A1" s="84" t="s">
        <v>131</v>
      </c>
      <c r="B1" s="84"/>
      <c r="C1" s="84"/>
      <c r="D1" s="84"/>
      <c r="E1" s="84"/>
      <c r="F1" s="84"/>
    </row>
    <row r="2" spans="1:6" ht="21.75" customHeight="1" x14ac:dyDescent="0.3">
      <c r="A2" s="27" t="s">
        <v>132</v>
      </c>
      <c r="B2" s="27" t="s">
        <v>24</v>
      </c>
      <c r="C2" s="27" t="s">
        <v>25</v>
      </c>
      <c r="D2" s="27" t="s">
        <v>26</v>
      </c>
      <c r="E2" s="27" t="s">
        <v>27</v>
      </c>
      <c r="F2" s="36"/>
    </row>
    <row r="3" spans="1:6" ht="15" customHeight="1" x14ac:dyDescent="0.3">
      <c r="A3" s="25">
        <f>'Daily Returns'!F3</f>
        <v>1.2151351351351312E-2</v>
      </c>
      <c r="B3" s="25">
        <f>'Daily Returns'!B3</f>
        <v>-1.7142857142857792E-3</v>
      </c>
      <c r="C3" s="25">
        <f>'Daily Returns'!C3</f>
        <v>-6.800000000000017E-3</v>
      </c>
      <c r="D3" s="25">
        <f>'Daily Returns'!D3</f>
        <v>-2.0000000000000759E-3</v>
      </c>
      <c r="E3" s="25">
        <f>'Daily Returns'!E3</f>
        <v>-5.7500000000000485E-3</v>
      </c>
    </row>
    <row r="4" spans="1:6" ht="15" customHeight="1" x14ac:dyDescent="0.3">
      <c r="A4" s="26">
        <f>'Daily Returns'!F4</f>
        <v>-1.2763821242415309E-3</v>
      </c>
      <c r="B4" s="26">
        <f>'Daily Returns'!B4</f>
        <v>-2.0749856897538071E-3</v>
      </c>
      <c r="C4" s="26">
        <f>'Daily Returns'!C4</f>
        <v>5.3472705305166103E-2</v>
      </c>
      <c r="D4" s="26">
        <f>'Daily Returns'!D4</f>
        <v>-4.0080160320642806E-4</v>
      </c>
      <c r="E4" s="26">
        <f>'Daily Returns'!E4</f>
        <v>-3.7465426200653788E-2</v>
      </c>
    </row>
    <row r="5" spans="1:6" ht="15" customHeight="1" x14ac:dyDescent="0.3">
      <c r="A5" s="25">
        <f>'Daily Returns'!F5</f>
        <v>8.0338379436282713E-3</v>
      </c>
      <c r="B5" s="25">
        <f>'Daily Returns'!B5</f>
        <v>-1.2189001218899226E-3</v>
      </c>
      <c r="C5" s="25">
        <f>'Daily Returns'!C5</f>
        <v>-2.863746155316527E-2</v>
      </c>
      <c r="D5" s="25">
        <f>'Daily Returns'!D5</f>
        <v>2.004811547714591E-4</v>
      </c>
      <c r="E5" s="25">
        <f>'Daily Returns'!E5</f>
        <v>1.3882669055082951E-2</v>
      </c>
    </row>
    <row r="6" spans="1:6" ht="15" customHeight="1" x14ac:dyDescent="0.3">
      <c r="A6" s="26">
        <f>'Daily Returns'!F6</f>
        <v>4.234757155270278E-3</v>
      </c>
      <c r="B6" s="26">
        <f>'Daily Returns'!B6</f>
        <v>1.0050251256281242E-2</v>
      </c>
      <c r="C6" s="26">
        <f>'Daily Returns'!C6</f>
        <v>-1.5850015205996555E-2</v>
      </c>
      <c r="D6" s="26">
        <f>'Daily Returns'!D6</f>
        <v>2.2315761341618251E-2</v>
      </c>
      <c r="E6" s="26">
        <f>'Daily Returns'!E6</f>
        <v>1.6526796230859869E-2</v>
      </c>
    </row>
    <row r="7" spans="1:6" ht="15" customHeight="1" x14ac:dyDescent="0.3">
      <c r="A7" s="25">
        <f>'Daily Returns'!F7</f>
        <v>5.3647541568127609E-3</v>
      </c>
      <c r="B7" s="25">
        <f>'Daily Returns'!B7</f>
        <v>-1.4214641080311915E-3</v>
      </c>
      <c r="C7" s="25">
        <f>'Daily Returns'!C7</f>
        <v>1.3033283042189954E-2</v>
      </c>
      <c r="D7" s="25">
        <f>'Daily Returns'!D7</f>
        <v>6.5355205542121436E-3</v>
      </c>
      <c r="E7" s="25">
        <f>'Daily Returns'!E7</f>
        <v>2.2232682767860324E-2</v>
      </c>
    </row>
    <row r="8" spans="1:6" ht="15" customHeight="1" x14ac:dyDescent="0.3">
      <c r="A8" s="26">
        <f>'Daily Returns'!F8</f>
        <v>8.7621036194346965E-3</v>
      </c>
      <c r="B8" s="26">
        <f>'Daily Returns'!B8</f>
        <v>-2.0427046263345228E-2</v>
      </c>
      <c r="C8" s="26">
        <f>'Daily Returns'!C8</f>
        <v>4.2185537412524662E-2</v>
      </c>
      <c r="D8" s="26">
        <f>'Daily Returns'!D8</f>
        <v>-3.0842153106941109E-2</v>
      </c>
      <c r="E8" s="26">
        <f>'Daily Returns'!E8</f>
        <v>2.5964365413906641E-2</v>
      </c>
    </row>
    <row r="9" spans="1:6" ht="15" customHeight="1" x14ac:dyDescent="0.3">
      <c r="A9" s="25">
        <f>'Daily Returns'!F9</f>
        <v>-3.2368376026305551E-3</v>
      </c>
      <c r="B9" s="25">
        <f>'Daily Returns'!B9</f>
        <v>4.9407832594638296E-3</v>
      </c>
      <c r="C9" s="25">
        <f>'Daily Returns'!C9</f>
        <v>-1.6907422392865027E-2</v>
      </c>
      <c r="D9" s="25">
        <f>'Daily Returns'!D9</f>
        <v>1.7084282460136751E-2</v>
      </c>
      <c r="E9" s="25">
        <f>'Daily Returns'!E9</f>
        <v>-1.0944620908714125E-2</v>
      </c>
    </row>
    <row r="10" spans="1:6" ht="15" customHeight="1" x14ac:dyDescent="0.3">
      <c r="A10" s="26">
        <f>'Daily Returns'!F10</f>
        <v>-3.281836637116827E-3</v>
      </c>
      <c r="B10" s="26">
        <f>'Daily Returns'!B10</f>
        <v>-3.3981635456582955E-3</v>
      </c>
      <c r="C10" s="26">
        <f>'Daily Returns'!C10</f>
        <v>3.2855216378570536E-2</v>
      </c>
      <c r="D10" s="26">
        <f>'Daily Returns'!D10</f>
        <v>-2.9971675120216135E-2</v>
      </c>
      <c r="E10" s="26">
        <f>'Daily Returns'!E10</f>
        <v>-2.548259852689699E-3</v>
      </c>
    </row>
    <row r="11" spans="1:6" ht="15" customHeight="1" x14ac:dyDescent="0.3">
      <c r="A11" s="25">
        <f>'Daily Returns'!F11</f>
        <v>-2.0081685635863347E-2</v>
      </c>
      <c r="B11" s="25">
        <f>'Daily Returns'!B11</f>
        <v>-2.6842716192687502E-3</v>
      </c>
      <c r="C11" s="25">
        <f>'Daily Returns'!C11</f>
        <v>-1.5565917761763375E-2</v>
      </c>
      <c r="D11" s="25">
        <f>'Daily Returns'!D11</f>
        <v>-5.9758250713024281E-3</v>
      </c>
      <c r="E11" s="25">
        <f>'Daily Returns'!E11</f>
        <v>2.9642332190102788E-2</v>
      </c>
    </row>
    <row r="12" spans="1:6" ht="15" customHeight="1" x14ac:dyDescent="0.3">
      <c r="A12" s="26">
        <f>'Daily Returns'!F12</f>
        <v>2.9436154788591721E-3</v>
      </c>
      <c r="B12" s="26">
        <f>'Daily Returns'!B12</f>
        <v>1.8913217429256631E-3</v>
      </c>
      <c r="C12" s="26">
        <f>'Daily Returns'!C12</f>
        <v>2.3408030039443851E-2</v>
      </c>
      <c r="D12" s="26">
        <f>'Daily Returns'!D12</f>
        <v>-2.1451017898619938E-2</v>
      </c>
      <c r="E12" s="26">
        <f>'Daily Returns'!E12</f>
        <v>2.0869446993644142E-2</v>
      </c>
    </row>
    <row r="13" spans="1:6" ht="15" customHeight="1" x14ac:dyDescent="0.3">
      <c r="A13" s="25">
        <f>'Daily Returns'!F13</f>
        <v>-1.2938272684985546E-2</v>
      </c>
      <c r="B13" s="25">
        <f>'Daily Returns'!B13</f>
        <v>3.5576853263632408E-3</v>
      </c>
      <c r="C13" s="25">
        <f>'Daily Returns'!C13</f>
        <v>1.918675104348974E-3</v>
      </c>
      <c r="D13" s="25">
        <f>'Daily Returns'!D13</f>
        <v>1.047193521362589E-3</v>
      </c>
      <c r="E13" s="25">
        <f>'Daily Returns'!E13</f>
        <v>-1.3450973863825605E-2</v>
      </c>
    </row>
    <row r="14" spans="1:6" ht="15" customHeight="1" x14ac:dyDescent="0.3">
      <c r="A14" s="26">
        <f>'Daily Returns'!F14</f>
        <v>-8.3799116666734928E-3</v>
      </c>
      <c r="B14" s="26">
        <f>'Daily Returns'!B14</f>
        <v>1.6423093618868546E-2</v>
      </c>
      <c r="C14" s="26">
        <f>'Daily Returns'!C14</f>
        <v>3.9929447337477067E-2</v>
      </c>
      <c r="D14" s="26">
        <f>'Daily Returns'!D14</f>
        <v>-1.9387683938907684E-2</v>
      </c>
      <c r="E14" s="26">
        <f>'Daily Returns'!E14</f>
        <v>-4.4142958388174496E-2</v>
      </c>
    </row>
    <row r="15" spans="1:6" ht="15" customHeight="1" x14ac:dyDescent="0.3">
      <c r="A15" s="25">
        <f>'Daily Returns'!F15</f>
        <v>-3.9926501665102105E-3</v>
      </c>
      <c r="B15" s="25">
        <f>'Daily Returns'!B15</f>
        <v>9.3956865257313199E-3</v>
      </c>
      <c r="C15" s="25">
        <f>'Daily Returns'!C15</f>
        <v>3.203191884601083E-2</v>
      </c>
      <c r="D15" s="25">
        <f>'Daily Returns'!D15</f>
        <v>-2.1335609131640707E-2</v>
      </c>
      <c r="E15" s="25">
        <f>'Daily Returns'!E15</f>
        <v>-3.8484623803976691E-3</v>
      </c>
    </row>
    <row r="16" spans="1:6" ht="15" customHeight="1" x14ac:dyDescent="0.3">
      <c r="A16" s="26">
        <f>'Daily Returns'!F16</f>
        <v>7.7863998461323814E-3</v>
      </c>
      <c r="B16" s="26">
        <f>'Daily Returns'!B16</f>
        <v>1.903955997461464E-3</v>
      </c>
      <c r="C16" s="26">
        <f>'Daily Returns'!C16</f>
        <v>-1.0831115980591579E-2</v>
      </c>
      <c r="D16" s="26">
        <f>'Daily Returns'!D16</f>
        <v>-1.6059879369231943E-2</v>
      </c>
      <c r="E16" s="26">
        <f>'Daily Returns'!E16</f>
        <v>-1.9706528673708097E-2</v>
      </c>
    </row>
    <row r="17" spans="1:5" ht="15" customHeight="1" x14ac:dyDescent="0.3">
      <c r="A17" s="25">
        <f>'Daily Returns'!F17</f>
        <v>6.8762452318428839E-3</v>
      </c>
      <c r="B17" s="25">
        <f>'Daily Returns'!B17</f>
        <v>-9.9239864864866609E-3</v>
      </c>
      <c r="C17" s="25">
        <f>'Daily Returns'!C17</f>
        <v>5.2375075160606382E-2</v>
      </c>
      <c r="D17" s="25">
        <f>'Daily Returns'!D17</f>
        <v>1.3220088626292408E-2</v>
      </c>
      <c r="E17" s="25">
        <f>'Daily Returns'!E17</f>
        <v>1.6631715959217457E-3</v>
      </c>
    </row>
    <row r="18" spans="1:5" ht="15" customHeight="1" x14ac:dyDescent="0.3">
      <c r="A18" s="26">
        <f>'Daily Returns'!F18</f>
        <v>5.6027695692498977E-3</v>
      </c>
      <c r="B18" s="26">
        <f>'Daily Returns'!B18</f>
        <v>-1.3791142389990744E-2</v>
      </c>
      <c r="C18" s="26">
        <f>'Daily Returns'!C18</f>
        <v>-1.9230769230769346E-2</v>
      </c>
      <c r="D18" s="26">
        <f>'Daily Returns'!D18</f>
        <v>-2.5512063561483659E-3</v>
      </c>
      <c r="E18" s="26">
        <f>'Daily Returns'!E18</f>
        <v>1.8805948599480145E-2</v>
      </c>
    </row>
    <row r="19" spans="1:5" ht="15" customHeight="1" x14ac:dyDescent="0.3">
      <c r="A19" s="25">
        <f>'Daily Returns'!F19</f>
        <v>-1.6918432243153141E-3</v>
      </c>
      <c r="B19" s="25">
        <f>'Daily Returns'!B19</f>
        <v>3.7482880415195723E-3</v>
      </c>
      <c r="C19" s="25">
        <f>'Daily Returns'!C19</f>
        <v>-4.9364546444064968E-3</v>
      </c>
      <c r="D19" s="25">
        <f>'Daily Returns'!D19</f>
        <v>1.0888629055831694E-2</v>
      </c>
      <c r="E19" s="25">
        <f>'Daily Returns'!E19</f>
        <v>-2.6855624446412697E-2</v>
      </c>
    </row>
    <row r="20" spans="1:5" ht="15" customHeight="1" x14ac:dyDescent="0.3">
      <c r="A20" s="26">
        <f>'Daily Returns'!F20</f>
        <v>3.5500288718492835E-3</v>
      </c>
      <c r="B20" s="26">
        <f>'Daily Returns'!B20</f>
        <v>1.8527827648114992E-2</v>
      </c>
      <c r="C20" s="26">
        <f>'Daily Returns'!C20</f>
        <v>3.2477236661685067E-2</v>
      </c>
      <c r="D20" s="26">
        <f>'Daily Returns'!D20</f>
        <v>2.1831851369912395E-2</v>
      </c>
      <c r="E20" s="26">
        <f>'Daily Returns'!E20</f>
        <v>5.6795427239960759E-3</v>
      </c>
    </row>
    <row r="21" spans="1:5" ht="15" customHeight="1" x14ac:dyDescent="0.3">
      <c r="A21" s="25">
        <f>'Daily Returns'!F21</f>
        <v>-9.7503912681370115E-3</v>
      </c>
      <c r="B21" s="25">
        <f>'Daily Returns'!B21</f>
        <v>8.4608333920874364E-4</v>
      </c>
      <c r="C21" s="25">
        <f>'Daily Returns'!C21</f>
        <v>-1.2370364843691656E-2</v>
      </c>
      <c r="D21" s="25">
        <f>'Daily Returns'!D21</f>
        <v>4.1740360806508912E-3</v>
      </c>
      <c r="E21" s="25">
        <f>'Daily Returns'!E21</f>
        <v>-2.2517467327951443E-2</v>
      </c>
    </row>
    <row r="22" spans="1:5" ht="15" customHeight="1" x14ac:dyDescent="0.3">
      <c r="A22" s="26">
        <f>'Daily Returns'!F22</f>
        <v>1.7799350564236132E-2</v>
      </c>
      <c r="B22" s="26">
        <f>'Daily Returns'!B22</f>
        <v>-1.1271574498062458E-3</v>
      </c>
      <c r="C22" s="26">
        <f>'Daily Returns'!C22</f>
        <v>-1.0712235215906736E-2</v>
      </c>
      <c r="D22" s="26">
        <f>'Daily Returns'!D22</f>
        <v>9.3701564041145033E-3</v>
      </c>
      <c r="E22" s="26">
        <f>'Daily Returns'!E22</f>
        <v>4.7405651642531799E-2</v>
      </c>
    </row>
    <row r="23" spans="1:5" ht="15" customHeight="1" x14ac:dyDescent="0.3">
      <c r="A23" s="25">
        <f>'Daily Returns'!F23</f>
        <v>1.8743253774898869E-2</v>
      </c>
      <c r="B23" s="25">
        <f>'Daily Returns'!B23</f>
        <v>7.6874250652373471E-3</v>
      </c>
      <c r="C23" s="25">
        <f>'Daily Returns'!C23</f>
        <v>2.901782305236919E-3</v>
      </c>
      <c r="D23" s="25">
        <f>'Daily Returns'!D23</f>
        <v>-1.48670342709571E-2</v>
      </c>
      <c r="E23" s="25">
        <f>'Daily Returns'!E23</f>
        <v>1.4497365722570808E-3</v>
      </c>
    </row>
    <row r="24" spans="1:5" ht="15" customHeight="1" x14ac:dyDescent="0.3">
      <c r="A24" s="26">
        <f>'Daily Returns'!F24</f>
        <v>-6.4523578539440289E-3</v>
      </c>
      <c r="B24" s="26">
        <f>'Daily Returns'!B24</f>
        <v>-1.9806830907054762E-2</v>
      </c>
      <c r="C24" s="26">
        <f>'Daily Returns'!C24</f>
        <v>8.5735605403018198E-3</v>
      </c>
      <c r="D24" s="26">
        <f>'Daily Returns'!D24</f>
        <v>-9.9192291341920345E-4</v>
      </c>
      <c r="E24" s="26">
        <f>'Daily Returns'!E24</f>
        <v>9.4626085728407236E-3</v>
      </c>
    </row>
    <row r="25" spans="1:5" ht="15" customHeight="1" x14ac:dyDescent="0.3">
      <c r="A25" s="25">
        <f>'Daily Returns'!F25</f>
        <v>-1.3727275660726334E-2</v>
      </c>
      <c r="B25" s="25">
        <f>'Daily Returns'!B25</f>
        <v>-4.0699750089255374E-3</v>
      </c>
      <c r="C25" s="25">
        <f>'Daily Returns'!C25</f>
        <v>7.4286577079874273E-3</v>
      </c>
      <c r="D25" s="25">
        <f>'Daily Returns'!D25</f>
        <v>-1.7659574468085172E-2</v>
      </c>
      <c r="E25" s="25">
        <f>'Daily Returns'!E25</f>
        <v>-1.9272472892619765E-2</v>
      </c>
    </row>
    <row r="26" spans="1:5" ht="15" customHeight="1" x14ac:dyDescent="0.3">
      <c r="A26" s="26">
        <f>'Daily Returns'!F26</f>
        <v>-1.279691107942247E-2</v>
      </c>
      <c r="B26" s="26">
        <f>'Daily Returns'!B26</f>
        <v>7.1694866647548042E-3</v>
      </c>
      <c r="C26" s="26">
        <f>'Daily Returns'!C26</f>
        <v>-1.2559575552291591E-2</v>
      </c>
      <c r="D26" s="26">
        <f>'Daily Returns'!D26</f>
        <v>9.096816114360114E-3</v>
      </c>
      <c r="E26" s="26">
        <f>'Daily Returns'!E26</f>
        <v>-3.9837369378365704E-2</v>
      </c>
    </row>
    <row r="27" spans="1:5" ht="15" customHeight="1" x14ac:dyDescent="0.3">
      <c r="A27" s="25">
        <f>'Daily Returns'!F27</f>
        <v>-1.0165460874373141E-2</v>
      </c>
      <c r="B27" s="25">
        <f>'Daily Returns'!B27</f>
        <v>1.2386104783599155E-2</v>
      </c>
      <c r="C27" s="25">
        <f>'Daily Returns'!C27</f>
        <v>4.0677554489708424E-3</v>
      </c>
      <c r="D27" s="25">
        <f>'Daily Returns'!D27</f>
        <v>1.4666952851112419E-2</v>
      </c>
      <c r="E27" s="25">
        <f>'Daily Returns'!E27</f>
        <v>-1.7643562885372555E-2</v>
      </c>
    </row>
    <row r="28" spans="1:5" ht="15" customHeight="1" x14ac:dyDescent="0.3">
      <c r="A28" s="26">
        <f>'Daily Returns'!F28</f>
        <v>-1.0211606236064643E-2</v>
      </c>
      <c r="B28" s="26">
        <f>'Daily Returns'!B28</f>
        <v>-3.0234847419491409E-3</v>
      </c>
      <c r="C28" s="26">
        <f>'Daily Returns'!C28</f>
        <v>1.1836376829120875E-2</v>
      </c>
      <c r="D28" s="26">
        <f>'Daily Returns'!D28</f>
        <v>1.5653645466083763E-2</v>
      </c>
      <c r="E28" s="26">
        <f>'Daily Returns'!E28</f>
        <v>-1.7582334480281445E-2</v>
      </c>
    </row>
    <row r="29" spans="1:5" ht="15" customHeight="1" x14ac:dyDescent="0.3">
      <c r="A29" s="25">
        <f>'Daily Returns'!F29</f>
        <v>3.8040245325480257E-3</v>
      </c>
      <c r="B29" s="25">
        <f>'Daily Returns'!B29</f>
        <v>5.5716200014106817E-3</v>
      </c>
      <c r="C29" s="25">
        <f>'Daily Returns'!C29</f>
        <v>2.713079853589298E-2</v>
      </c>
      <c r="D29" s="25">
        <f>'Daily Returns'!D29</f>
        <v>-6.9425159677804121E-5</v>
      </c>
      <c r="E29" s="25">
        <f>'Daily Returns'!E29</f>
        <v>2.2631052266954027E-2</v>
      </c>
    </row>
    <row r="30" spans="1:5" ht="15" customHeight="1" x14ac:dyDescent="0.3">
      <c r="A30" s="26">
        <f>'Daily Returns'!F30</f>
        <v>2.4109714543719546E-3</v>
      </c>
      <c r="B30" s="26">
        <f>'Daily Returns'!B30</f>
        <v>3.7172113900967954E-3</v>
      </c>
      <c r="C30" s="26">
        <f>'Daily Returns'!C30</f>
        <v>6.3708164244883642E-3</v>
      </c>
      <c r="D30" s="26">
        <f>'Daily Returns'!D30</f>
        <v>1.4510865791848944E-2</v>
      </c>
      <c r="E30" s="26">
        <f>'Daily Returns'!E30</f>
        <v>-2.1226947685359376E-2</v>
      </c>
    </row>
    <row r="31" spans="1:5" ht="15" customHeight="1" x14ac:dyDescent="0.3">
      <c r="A31" s="25">
        <f>'Daily Returns'!F31</f>
        <v>9.9729937375316931E-3</v>
      </c>
      <c r="B31" s="25">
        <f>'Daily Returns'!B31</f>
        <v>1.1180211026483084E-2</v>
      </c>
      <c r="C31" s="25">
        <f>'Daily Returns'!C31</f>
        <v>-2.1491855641792776E-2</v>
      </c>
      <c r="D31" s="25">
        <f>'Daily Returns'!D31</f>
        <v>-1.9162332329592192E-3</v>
      </c>
      <c r="E31" s="25">
        <f>'Daily Returns'!E31</f>
        <v>1.611166653849111E-2</v>
      </c>
    </row>
    <row r="32" spans="1:5" ht="15" customHeight="1" x14ac:dyDescent="0.3">
      <c r="A32" s="26">
        <f>'Daily Returns'!F32</f>
        <v>2.401718954230679E-3</v>
      </c>
      <c r="B32" s="26">
        <f>'Daily Returns'!B32</f>
        <v>-1.5133715707276606E-2</v>
      </c>
      <c r="C32" s="26">
        <f>'Daily Returns'!C32</f>
        <v>1.0930253168296492E-3</v>
      </c>
      <c r="D32" s="26">
        <f>'Daily Returns'!D32</f>
        <v>-8.4339001645638359E-3</v>
      </c>
      <c r="E32" s="26">
        <f>'Daily Returns'!E32</f>
        <v>8.4389782403028121E-3</v>
      </c>
    </row>
    <row r="33" spans="1:5" ht="15" customHeight="1" x14ac:dyDescent="0.3">
      <c r="A33" s="25">
        <f>'Daily Returns'!F33</f>
        <v>2.7520520929931831E-3</v>
      </c>
      <c r="B33" s="25">
        <f>'Daily Returns'!B33</f>
        <v>8.2093741229300275E-3</v>
      </c>
      <c r="C33" s="25">
        <f>'Daily Returns'!C33</f>
        <v>-1.0357648725212438E-2</v>
      </c>
      <c r="D33" s="25">
        <f>'Daily Returns'!D33</f>
        <v>8.2981813152616588E-3</v>
      </c>
      <c r="E33" s="25">
        <f>'Daily Returns'!E33</f>
        <v>-1.6136295406785003E-3</v>
      </c>
    </row>
    <row r="34" spans="1:5" ht="15" customHeight="1" x14ac:dyDescent="0.3">
      <c r="A34" s="26">
        <f>'Daily Returns'!F34</f>
        <v>-3.0419948206127112E-3</v>
      </c>
      <c r="B34" s="26">
        <f>'Daily Returns'!B34</f>
        <v>-2.0669496833460914E-2</v>
      </c>
      <c r="C34" s="26">
        <f>'Daily Returns'!C34</f>
        <v>2.386915943584696E-2</v>
      </c>
      <c r="D34" s="26">
        <f>'Daily Returns'!D34</f>
        <v>1.1796173101982024E-2</v>
      </c>
      <c r="E34" s="26">
        <f>'Daily Returns'!E34</f>
        <v>-4.6532606652884882E-2</v>
      </c>
    </row>
    <row r="35" spans="1:5" ht="15" customHeight="1" x14ac:dyDescent="0.3">
      <c r="A35" s="25">
        <f>'Daily Returns'!F35</f>
        <v>1.8049764517801575E-2</v>
      </c>
      <c r="B35" s="25">
        <f>'Daily Returns'!B35</f>
        <v>-3.5957930642410478E-2</v>
      </c>
      <c r="C35" s="25">
        <f>'Daily Returns'!C35</f>
        <v>-2.8962504550418617E-2</v>
      </c>
      <c r="D35" s="25">
        <f>'Daily Returns'!D35</f>
        <v>3.5111502745204408E-2</v>
      </c>
      <c r="E35" s="25">
        <f>'Daily Returns'!E35</f>
        <v>-9.894745141325309E-3</v>
      </c>
    </row>
    <row r="36" spans="1:5" ht="15" customHeight="1" x14ac:dyDescent="0.3">
      <c r="A36" s="26">
        <f>'Daily Returns'!F36</f>
        <v>1.8622348356538788E-2</v>
      </c>
      <c r="B36" s="26">
        <f>'Daily Returns'!B36</f>
        <v>-8.1085065605189036E-3</v>
      </c>
      <c r="C36" s="26">
        <f>'Daily Returns'!C36</f>
        <v>1.0466964580271748E-2</v>
      </c>
      <c r="D36" s="26">
        <f>'Daily Returns'!D36</f>
        <v>1.1918014537358346E-2</v>
      </c>
      <c r="E36" s="26">
        <f>'Daily Returns'!E36</f>
        <v>1.8792801401497049E-2</v>
      </c>
    </row>
    <row r="37" spans="1:5" ht="15" customHeight="1" x14ac:dyDescent="0.3">
      <c r="A37" s="25">
        <f>'Daily Returns'!F37</f>
        <v>-8.6154387808806149E-3</v>
      </c>
      <c r="B37" s="25">
        <f>'Daily Returns'!B37</f>
        <v>-1.2410820451843161E-2</v>
      </c>
      <c r="C37" s="25">
        <f>'Daily Returns'!C37</f>
        <v>-1.8194230084292991E-2</v>
      </c>
      <c r="D37" s="25">
        <f>'Daily Returns'!D37</f>
        <v>-1.6954636640134631E-2</v>
      </c>
      <c r="E37" s="25">
        <f>'Daily Returns'!E37</f>
        <v>1.0629982804439688E-2</v>
      </c>
    </row>
    <row r="38" spans="1:5" ht="15" customHeight="1" x14ac:dyDescent="0.3">
      <c r="A38" s="26">
        <f>'Daily Returns'!F38</f>
        <v>3.7851336446371158E-3</v>
      </c>
      <c r="B38" s="26">
        <f>'Daily Returns'!B38</f>
        <v>1.2491534351719657E-2</v>
      </c>
      <c r="C38" s="26">
        <f>'Daily Returns'!C38</f>
        <v>2.3035762870703479E-2</v>
      </c>
      <c r="D38" s="26">
        <f>'Daily Returns'!D38</f>
        <v>-1.5008886840892641E-2</v>
      </c>
      <c r="E38" s="26">
        <f>'Daily Returns'!E38</f>
        <v>3.3255993812836685E-3</v>
      </c>
    </row>
    <row r="39" spans="1:5" ht="15" customHeight="1" x14ac:dyDescent="0.3">
      <c r="A39" s="25">
        <f>'Daily Returns'!F39</f>
        <v>-2.5786300288713824E-3</v>
      </c>
      <c r="B39" s="25">
        <f>'Daily Returns'!B39</f>
        <v>9.5131921218877813E-3</v>
      </c>
      <c r="C39" s="25">
        <f>'Daily Returns'!C39</f>
        <v>1.4198752991932713E-2</v>
      </c>
      <c r="D39" s="25">
        <f>'Daily Returns'!D39</f>
        <v>-2.0116286840874097E-2</v>
      </c>
      <c r="E39" s="25">
        <f>'Daily Returns'!E39</f>
        <v>-2.6670777769212936E-2</v>
      </c>
    </row>
    <row r="40" spans="1:5" ht="15" customHeight="1" x14ac:dyDescent="0.3">
      <c r="A40" s="26">
        <f>'Daily Returns'!F40</f>
        <v>-2.6228140483346338E-3</v>
      </c>
      <c r="B40" s="26">
        <f>'Daily Returns'!B40</f>
        <v>-1.6564823676654641E-2</v>
      </c>
      <c r="C40" s="26">
        <f>'Daily Returns'!C40</f>
        <v>4.4578471220664299E-3</v>
      </c>
      <c r="D40" s="26">
        <f>'Daily Returns'!D40</f>
        <v>1.6368844632383651E-3</v>
      </c>
      <c r="E40" s="26">
        <f>'Daily Returns'!E40</f>
        <v>2.8510334996436162E-3</v>
      </c>
    </row>
    <row r="41" spans="1:5" ht="15" customHeight="1" x14ac:dyDescent="0.3">
      <c r="A41" s="25">
        <f>'Daily Returns'!F41</f>
        <v>-6.0233199125201611E-3</v>
      </c>
      <c r="B41" s="25">
        <f>'Daily Returns'!B41</f>
        <v>1.2052702500374195E-2</v>
      </c>
      <c r="C41" s="25">
        <f>'Daily Returns'!C41</f>
        <v>9.4997751961594136E-3</v>
      </c>
      <c r="D41" s="25">
        <f>'Daily Returns'!D41</f>
        <v>-1.6954923055971734E-2</v>
      </c>
      <c r="E41" s="25">
        <f>'Daily Returns'!E41</f>
        <v>5.251520176893361E-3</v>
      </c>
    </row>
    <row r="42" spans="1:5" ht="15" customHeight="1" x14ac:dyDescent="0.3">
      <c r="A42" s="26">
        <f>'Daily Returns'!F42</f>
        <v>-1.2679891813499955E-2</v>
      </c>
      <c r="B42" s="26">
        <f>'Daily Returns'!B42</f>
        <v>-1.3610474147496141E-2</v>
      </c>
      <c r="C42" s="26">
        <f>'Daily Returns'!C42</f>
        <v>-5.3445204298602292E-3</v>
      </c>
      <c r="D42" s="26">
        <f>'Daily Returns'!D42</f>
        <v>2.1888203920482071E-2</v>
      </c>
      <c r="E42" s="26">
        <f>'Daily Returns'!E42</f>
        <v>-8.6806237479869902E-3</v>
      </c>
    </row>
    <row r="43" spans="1:5" ht="15" customHeight="1" x14ac:dyDescent="0.3">
      <c r="A43" s="25">
        <f>'Daily Returns'!F43</f>
        <v>-2.7380575525491665E-3</v>
      </c>
      <c r="B43" s="25">
        <f>'Daily Returns'!B43</f>
        <v>-8.2489688788890312E-4</v>
      </c>
      <c r="C43" s="25">
        <f>'Daily Returns'!C43</f>
        <v>1.2508666512595286E-2</v>
      </c>
      <c r="D43" s="25">
        <f>'Daily Returns'!D43</f>
        <v>-4.2025350776113638E-3</v>
      </c>
      <c r="E43" s="25">
        <f>'Daily Returns'!E43</f>
        <v>8.6377684444092512E-3</v>
      </c>
    </row>
    <row r="44" spans="1:5" ht="15" customHeight="1" x14ac:dyDescent="0.3">
      <c r="A44" s="26">
        <f>'Daily Returns'!F44</f>
        <v>1.1031755673651035E-2</v>
      </c>
      <c r="B44" s="26">
        <f>'Daily Returns'!B44</f>
        <v>-3.7526268387871506E-3</v>
      </c>
      <c r="C44" s="26">
        <f>'Daily Returns'!C44</f>
        <v>-2.7104910268489052E-4</v>
      </c>
      <c r="D44" s="26">
        <f>'Daily Returns'!D44</f>
        <v>1.0482608399700444E-2</v>
      </c>
      <c r="E44" s="26">
        <f>'Daily Returns'!E44</f>
        <v>-1.2924261470773067E-2</v>
      </c>
    </row>
    <row r="45" spans="1:5" ht="15" customHeight="1" x14ac:dyDescent="0.3">
      <c r="A45" s="25">
        <f>'Daily Returns'!F45</f>
        <v>1.5961394904688925E-2</v>
      </c>
      <c r="B45" s="25">
        <f>'Daily Returns'!B45</f>
        <v>1.8833810456531563E-3</v>
      </c>
      <c r="C45" s="25">
        <f>'Daily Returns'!C45</f>
        <v>1.3484781460922739E-2</v>
      </c>
      <c r="D45" s="25">
        <f>'Daily Returns'!D45</f>
        <v>2.8292354328057659E-3</v>
      </c>
      <c r="E45" s="25">
        <f>'Daily Returns'!E45</f>
        <v>-3.7489553070402415E-2</v>
      </c>
    </row>
    <row r="46" spans="1:5" ht="15" customHeight="1" x14ac:dyDescent="0.3">
      <c r="A46" s="26">
        <f>'Daily Returns'!F46</f>
        <v>1.1081437800134758E-2</v>
      </c>
      <c r="B46" s="26">
        <f>'Daily Returns'!B46</f>
        <v>1.1655011655011526E-2</v>
      </c>
      <c r="C46" s="26">
        <f>'Daily Returns'!C46</f>
        <v>1.6332507321468351E-3</v>
      </c>
      <c r="D46" s="26">
        <f>'Daily Returns'!D46</f>
        <v>5.7768522872303704E-3</v>
      </c>
      <c r="E46" s="26">
        <f>'Daily Returns'!E46</f>
        <v>-1.1660119909034497E-2</v>
      </c>
    </row>
    <row r="47" spans="1:5" ht="15" customHeight="1" x14ac:dyDescent="0.3">
      <c r="A47" s="25">
        <f>'Daily Returns'!F47</f>
        <v>1.9819020099820198E-3</v>
      </c>
      <c r="B47" s="25">
        <f>'Daily Returns'!B47</f>
        <v>9.1422625241565202E-3</v>
      </c>
      <c r="C47" s="25">
        <f>'Daily Returns'!C47</f>
        <v>-4.3168400337362842E-2</v>
      </c>
      <c r="D47" s="25">
        <f>'Daily Returns'!D47</f>
        <v>-1.58952781673679E-2</v>
      </c>
      <c r="E47" s="25">
        <f>'Daily Returns'!E47</f>
        <v>-1.2592561603146011E-2</v>
      </c>
    </row>
    <row r="48" spans="1:5" ht="15" customHeight="1" x14ac:dyDescent="0.3">
      <c r="A48" s="26">
        <f>'Daily Returns'!F48</f>
        <v>1.5611798979394437E-2</v>
      </c>
      <c r="B48" s="26">
        <f>'Daily Returns'!B48</f>
        <v>5.2294321278631472E-3</v>
      </c>
      <c r="C48" s="26">
        <f>'Daily Returns'!C48</f>
        <v>-8.4620017922991432E-3</v>
      </c>
      <c r="D48" s="26">
        <f>'Daily Returns'!D48</f>
        <v>-1.3573125212067738E-4</v>
      </c>
      <c r="E48" s="26">
        <f>'Daily Returns'!E48</f>
        <v>2.3514956359630468E-2</v>
      </c>
    </row>
    <row r="49" spans="1:5" ht="15" customHeight="1" x14ac:dyDescent="0.3">
      <c r="A49" s="25">
        <f>'Daily Returns'!F49</f>
        <v>-5.325444689891351E-4</v>
      </c>
      <c r="B49" s="25">
        <f>'Daily Returns'!B49</f>
        <v>9.305392731535831E-3</v>
      </c>
      <c r="C49" s="25">
        <f>'Daily Returns'!C49</f>
        <v>2.7350984546545623E-2</v>
      </c>
      <c r="D49" s="25">
        <f>'Daily Returns'!D49</f>
        <v>-6.3802348469424158E-3</v>
      </c>
      <c r="E49" s="25">
        <f>'Daily Returns'!E49</f>
        <v>1.4074595355383556E-2</v>
      </c>
    </row>
    <row r="50" spans="1:5" ht="15" customHeight="1" x14ac:dyDescent="0.3">
      <c r="A50" s="26">
        <f>'Daily Returns'!F50</f>
        <v>-1.0394476092959071E-3</v>
      </c>
      <c r="B50" s="26">
        <f>'Daily Returns'!B50</f>
        <v>6.8965517241378485E-3</v>
      </c>
      <c r="C50" s="26">
        <f>'Daily Returns'!C50</f>
        <v>2.6219010946220835E-2</v>
      </c>
      <c r="D50" s="26">
        <f>'Daily Returns'!D50</f>
        <v>-1.161281508299662E-3</v>
      </c>
      <c r="E50" s="26">
        <f>'Daily Returns'!E50</f>
        <v>-4.8985590072255598E-4</v>
      </c>
    </row>
    <row r="51" spans="1:5" ht="15" customHeight="1" x14ac:dyDescent="0.3">
      <c r="A51" s="25">
        <f>'Daily Returns'!F51</f>
        <v>-1.4698079695111095E-2</v>
      </c>
      <c r="B51" s="25">
        <f>'Daily Returns'!B51</f>
        <v>-8.3633741888968754E-3</v>
      </c>
      <c r="C51" s="25">
        <f>'Daily Returns'!C51</f>
        <v>2.4452970192671069E-3</v>
      </c>
      <c r="D51" s="25">
        <f>'Daily Returns'!D51</f>
        <v>2.3252633018739119E-3</v>
      </c>
      <c r="E51" s="25">
        <f>'Daily Returns'!E51</f>
        <v>-9.8427608740044789E-3</v>
      </c>
    </row>
    <row r="52" spans="1:5" ht="15" customHeight="1" x14ac:dyDescent="0.3">
      <c r="A52" s="26">
        <f>'Daily Returns'!F52</f>
        <v>1.381268316088384E-2</v>
      </c>
      <c r="B52" s="26">
        <f>'Daily Returns'!B52</f>
        <v>-9.5972080849207018E-3</v>
      </c>
      <c r="C52" s="26">
        <f>'Daily Returns'!C52</f>
        <v>-1.6262214184575687E-3</v>
      </c>
      <c r="D52" s="26">
        <f>'Daily Returns'!D52</f>
        <v>1.1189956331877636E-2</v>
      </c>
      <c r="E52" s="26">
        <f>'Daily Returns'!E52</f>
        <v>1.1013034152780135E-2</v>
      </c>
    </row>
    <row r="53" spans="1:5" ht="15" customHeight="1" x14ac:dyDescent="0.3">
      <c r="A53" s="25">
        <f>'Daily Returns'!F53</f>
        <v>1.1839513016834469E-2</v>
      </c>
      <c r="B53" s="25">
        <f>'Daily Returns'!B53</f>
        <v>-6.1664953751284935E-3</v>
      </c>
      <c r="C53" s="25">
        <f>'Daily Returns'!C53</f>
        <v>-5.3219125184300548E-3</v>
      </c>
      <c r="D53" s="25">
        <f>'Daily Returns'!D53</f>
        <v>-6.9500674763832739E-3</v>
      </c>
      <c r="E53" s="25">
        <f>'Daily Returns'!E53</f>
        <v>2.8721798376239206E-2</v>
      </c>
    </row>
    <row r="54" spans="1:5" ht="15" customHeight="1" x14ac:dyDescent="0.3">
      <c r="A54" s="26">
        <f>'Daily Returns'!F54</f>
        <v>-1.0433856076192806E-2</v>
      </c>
      <c r="B54" s="26">
        <f>'Daily Returns'!B54</f>
        <v>7.2388831437436713E-3</v>
      </c>
      <c r="C54" s="26">
        <f>'Daily Returns'!C54</f>
        <v>1.1717205940482176E-2</v>
      </c>
      <c r="D54" s="26">
        <f>'Daily Returns'!D54</f>
        <v>1.3317931643677436E-2</v>
      </c>
      <c r="E54" s="26">
        <f>'Daily Returns'!E54</f>
        <v>-1.780686099543926E-2</v>
      </c>
    </row>
    <row r="55" spans="1:5" ht="15" customHeight="1" x14ac:dyDescent="0.3">
      <c r="A55" s="25">
        <f>'Daily Returns'!F55</f>
        <v>-1.3899153526091678E-2</v>
      </c>
      <c r="B55" s="25">
        <f>'Daily Returns'!B55</f>
        <v>-3.153417424464702E-3</v>
      </c>
      <c r="C55" s="25">
        <f>'Daily Returns'!C55</f>
        <v>1.0814054084224039E-2</v>
      </c>
      <c r="D55" s="25">
        <f>'Daily Returns'!D55</f>
        <v>5.6326694830014313E-3</v>
      </c>
      <c r="E55" s="25">
        <f>'Daily Returns'!E55</f>
        <v>-1.158846806105146E-2</v>
      </c>
    </row>
    <row r="56" spans="1:5" ht="15" customHeight="1" x14ac:dyDescent="0.3">
      <c r="A56" s="26">
        <f>'Daily Returns'!F56</f>
        <v>2.2941505372456237E-2</v>
      </c>
      <c r="B56" s="26">
        <f>'Daily Returns'!B56</f>
        <v>3.2663871110130194E-2</v>
      </c>
      <c r="C56" s="26">
        <f>'Daily Returns'!C56</f>
        <v>-1.6675639485926378E-2</v>
      </c>
      <c r="D56" s="26">
        <f>'Daily Returns'!D56</f>
        <v>2.6205241048209687E-2</v>
      </c>
      <c r="E56" s="26">
        <f>'Daily Returns'!E56</f>
        <v>2.2223130029821472E-2</v>
      </c>
    </row>
    <row r="57" spans="1:5" ht="15" customHeight="1" x14ac:dyDescent="0.3">
      <c r="A57" s="25">
        <f>'Daily Returns'!F57</f>
        <v>2.920046373345917E-3</v>
      </c>
      <c r="B57" s="25">
        <f>'Daily Returns'!B57</f>
        <v>-1.1042245494051516E-2</v>
      </c>
      <c r="C57" s="25">
        <f>'Daily Returns'!C57</f>
        <v>1.2255555711538057E-2</v>
      </c>
      <c r="D57" s="25">
        <f>'Daily Returns'!D57</f>
        <v>-5.1786874593892127E-2</v>
      </c>
      <c r="E57" s="25">
        <f>'Daily Returns'!E57</f>
        <v>9.5512128841466447E-3</v>
      </c>
    </row>
    <row r="58" spans="1:5" ht="15" customHeight="1" x14ac:dyDescent="0.3">
      <c r="A58" s="26">
        <f>'Daily Returns'!F58</f>
        <v>-1.1852347486269264E-2</v>
      </c>
      <c r="B58" s="26">
        <f>'Daily Returns'!B58</f>
        <v>-1.4911396052441963E-2</v>
      </c>
      <c r="C58" s="26">
        <f>'Daily Returns'!C58</f>
        <v>2.2342107452916562E-2</v>
      </c>
      <c r="D58" s="26">
        <f>'Daily Returns'!D58</f>
        <v>-9.7306927979169174E-3</v>
      </c>
      <c r="E58" s="26">
        <f>'Daily Returns'!E58</f>
        <v>-7.7982740875623419E-3</v>
      </c>
    </row>
    <row r="59" spans="1:5" ht="15" customHeight="1" x14ac:dyDescent="0.3">
      <c r="A59" s="25">
        <f>'Daily Returns'!F59</f>
        <v>-3.1408432153940007E-3</v>
      </c>
      <c r="B59" s="25">
        <f>'Daily Returns'!B59</f>
        <v>1.0968921389396709E-2</v>
      </c>
      <c r="C59" s="25">
        <f>'Daily Returns'!C59</f>
        <v>-1.6237774190485117E-2</v>
      </c>
      <c r="D59" s="25">
        <f>'Daily Returns'!D59</f>
        <v>2.0206214102830366E-2</v>
      </c>
      <c r="E59" s="25">
        <f>'Daily Returns'!E59</f>
        <v>2.23020147616198E-2</v>
      </c>
    </row>
    <row r="60" spans="1:5" ht="15" customHeight="1" x14ac:dyDescent="0.3">
      <c r="A60" s="26">
        <f>'Daily Returns'!F60</f>
        <v>6.8946218422969519E-3</v>
      </c>
      <c r="B60" s="26">
        <f>'Daily Returns'!B60</f>
        <v>2.0036166365280363E-2</v>
      </c>
      <c r="C60" s="26">
        <f>'Daily Returns'!C60</f>
        <v>-2.7027027027027527E-3</v>
      </c>
      <c r="D60" s="26">
        <f>'Daily Returns'!D60</f>
        <v>-3.9272875262836737E-2</v>
      </c>
      <c r="E60" s="26">
        <f>'Daily Returns'!E60</f>
        <v>1.0927255697783371E-2</v>
      </c>
    </row>
    <row r="61" spans="1:5" ht="15" customHeight="1" x14ac:dyDescent="0.3">
      <c r="A61" s="25">
        <f>'Daily Returns'!F61</f>
        <v>1.2540516833759308E-2</v>
      </c>
      <c r="B61" s="25">
        <f>'Daily Returns'!B61</f>
        <v>7.3039285207772021E-3</v>
      </c>
      <c r="C61" s="25">
        <f>'Daily Returns'!C61</f>
        <v>8.766108069244001E-3</v>
      </c>
      <c r="D61" s="25">
        <f>'Daily Returns'!D61</f>
        <v>2.3722112397627889E-2</v>
      </c>
      <c r="E61" s="25">
        <f>'Daily Returns'!E61</f>
        <v>-1.7371834465719688E-2</v>
      </c>
    </row>
    <row r="62" spans="1:5" ht="15" customHeight="1" x14ac:dyDescent="0.3">
      <c r="A62" s="26">
        <f>'Daily Returns'!F62</f>
        <v>9.5276553921490852E-3</v>
      </c>
      <c r="B62" s="26">
        <f>'Daily Returns'!B62</f>
        <v>1.1897219288982736E-2</v>
      </c>
      <c r="C62" s="26">
        <f>'Daily Returns'!C62</f>
        <v>1.3350146659722043E-2</v>
      </c>
      <c r="D62" s="26">
        <f>'Daily Returns'!D62</f>
        <v>1.7241379310344827E-3</v>
      </c>
      <c r="E62" s="26">
        <f>'Daily Returns'!E62</f>
        <v>5.6965506403709324E-3</v>
      </c>
    </row>
    <row r="63" spans="1:5" ht="15" customHeight="1" x14ac:dyDescent="0.3">
      <c r="A63" s="25">
        <f>'Daily Returns'!F63</f>
        <v>1.8596386943695604E-2</v>
      </c>
      <c r="B63" s="25">
        <f>'Daily Returns'!B63</f>
        <v>2.0105746486712022E-2</v>
      </c>
      <c r="C63" s="25">
        <f>'Daily Returns'!C63</f>
        <v>-6.8306010928962666E-3</v>
      </c>
      <c r="D63" s="25">
        <f>'Daily Returns'!D63</f>
        <v>-3.1738382099827975E-2</v>
      </c>
      <c r="E63" s="25">
        <f>'Daily Returns'!E63</f>
        <v>3.125122075080436E-4</v>
      </c>
    </row>
    <row r="64" spans="1:5" ht="15" customHeight="1" x14ac:dyDescent="0.3">
      <c r="A64" s="26">
        <f>'Daily Returns'!F64</f>
        <v>8.5987404764835736E-3</v>
      </c>
      <c r="B64" s="26">
        <f>'Daily Returns'!B64</f>
        <v>-1.022983018481932E-3</v>
      </c>
      <c r="C64" s="26">
        <f>'Daily Returns'!C64</f>
        <v>-8.7297588080678338E-3</v>
      </c>
      <c r="D64" s="26">
        <f>'Daily Returns'!D64</f>
        <v>1.1803185437997904E-2</v>
      </c>
      <c r="E64" s="26">
        <f>'Daily Returns'!E64</f>
        <v>3.1710079275198207E-2</v>
      </c>
    </row>
    <row r="65" spans="1:5" ht="15" customHeight="1" x14ac:dyDescent="0.3">
      <c r="A65" s="25">
        <f>'Daily Returns'!F65</f>
        <v>5.4903543583027332E-3</v>
      </c>
      <c r="B65" s="25">
        <f>'Daily Returns'!B65</f>
        <v>-1.9388312397596967E-2</v>
      </c>
      <c r="C65" s="25">
        <f>'Daily Returns'!C65</f>
        <v>-7.5838760201137334E-3</v>
      </c>
      <c r="D65" s="25">
        <f>'Daily Returns'!D65</f>
        <v>-1.61630358397752E-2</v>
      </c>
      <c r="E65" s="25">
        <f>'Daily Returns'!E65</f>
        <v>1.1961088610469833E-2</v>
      </c>
    </row>
    <row r="66" spans="1:5" ht="15" customHeight="1" x14ac:dyDescent="0.3">
      <c r="A66" s="26">
        <f>'Daily Returns'!F66</f>
        <v>1.4235144893310226E-2</v>
      </c>
      <c r="B66" s="26">
        <f>'Daily Returns'!B66</f>
        <v>-7.0314675577832844E-3</v>
      </c>
      <c r="C66" s="26">
        <f>'Daily Returns'!C66</f>
        <v>7.3926405847660626E-3</v>
      </c>
      <c r="D66" s="26">
        <f>'Daily Returns'!D66</f>
        <v>-1.4000000000000058E-2</v>
      </c>
      <c r="E66" s="26">
        <f>'Daily Returns'!E66</f>
        <v>9.6128670282401088E-3</v>
      </c>
    </row>
    <row r="67" spans="1:5" ht="15" customHeight="1" x14ac:dyDescent="0.3">
      <c r="A67" s="25">
        <f>'Daily Returns'!F67</f>
        <v>-5.3154831309425834E-3</v>
      </c>
      <c r="B67" s="25">
        <f>'Daily Returns'!B67</f>
        <v>1.3531515109023395E-2</v>
      </c>
      <c r="C67" s="25">
        <f>'Daily Returns'!C67</f>
        <v>8.1629287598945343E-3</v>
      </c>
      <c r="D67" s="25">
        <f>'Daily Returns'!D67</f>
        <v>2.3471457548536724E-2</v>
      </c>
      <c r="E67" s="25">
        <f>'Daily Returns'!E67</f>
        <v>3.0008891523414429E-3</v>
      </c>
    </row>
    <row r="68" spans="1:5" ht="15" customHeight="1" x14ac:dyDescent="0.3">
      <c r="A68" s="26">
        <f>'Daily Returns'!F68</f>
        <v>-6.2730946448895895E-3</v>
      </c>
      <c r="B68" s="26">
        <f>'Daily Returns'!B68</f>
        <v>-1.9714997232982805E-2</v>
      </c>
      <c r="C68" s="26">
        <f>'Daily Returns'!C68</f>
        <v>2.5898966767528268E-4</v>
      </c>
      <c r="D68" s="26">
        <f>'Daily Returns'!D68</f>
        <v>-5.7332955832389738E-3</v>
      </c>
      <c r="E68" s="26">
        <f>'Daily Returns'!E68</f>
        <v>1.0305470394858211E-2</v>
      </c>
    </row>
    <row r="69" spans="1:5" ht="15" customHeight="1" x14ac:dyDescent="0.3">
      <c r="A69" s="25">
        <f>'Daily Returns'!F69</f>
        <v>-1.5655981751231441E-2</v>
      </c>
      <c r="B69" s="25">
        <f>'Daily Returns'!B69</f>
        <v>7.7623315221216017E-4</v>
      </c>
      <c r="C69" s="25">
        <f>'Daily Returns'!C69</f>
        <v>-2.346656491462356E-2</v>
      </c>
      <c r="D69" s="25">
        <f>'Daily Returns'!D69</f>
        <v>-1.4665053036235512E-2</v>
      </c>
      <c r="E69" s="25">
        <f>'Daily Returns'!E69</f>
        <v>-2.5775080432874947E-2</v>
      </c>
    </row>
    <row r="70" spans="1:5" ht="15" customHeight="1" x14ac:dyDescent="0.3">
      <c r="A70" s="26">
        <f>'Daily Returns'!F70</f>
        <v>9.028854922562498E-3</v>
      </c>
      <c r="B70" s="26">
        <f>'Daily Returns'!B70</f>
        <v>3.8076434917502502E-3</v>
      </c>
      <c r="C70" s="26">
        <f>'Daily Returns'!C70</f>
        <v>-1.8629899942784609E-2</v>
      </c>
      <c r="D70" s="26">
        <f>'Daily Returns'!D70</f>
        <v>3.2006357922115501E-2</v>
      </c>
      <c r="E70" s="26">
        <f>'Daily Returns'!E70</f>
        <v>-2.6982399519645942E-2</v>
      </c>
    </row>
    <row r="71" spans="1:5" ht="15" customHeight="1" x14ac:dyDescent="0.3">
      <c r="A71" s="25">
        <f>'Daily Returns'!F71</f>
        <v>-7.5996265122247652E-3</v>
      </c>
      <c r="B71" s="25">
        <f>'Daily Returns'!B71</f>
        <v>-4.0039336892387012E-3</v>
      </c>
      <c r="C71" s="25">
        <f>'Daily Returns'!C71</f>
        <v>1.1816733974176589E-2</v>
      </c>
      <c r="D71" s="25">
        <f>'Daily Returns'!D71</f>
        <v>1.5051806216746049E-2</v>
      </c>
      <c r="E71" s="25">
        <f>'Daily Returns'!E71</f>
        <v>7.8293736501081068E-3</v>
      </c>
    </row>
    <row r="72" spans="1:5" ht="15" customHeight="1" x14ac:dyDescent="0.3">
      <c r="A72" s="26">
        <f>'Daily Returns'!F72</f>
        <v>3.2429355718313077E-3</v>
      </c>
      <c r="B72" s="26">
        <f>'Daily Returns'!B72</f>
        <v>1.0296917977290416E-2</v>
      </c>
      <c r="C72" s="26">
        <f>'Daily Returns'!C72</f>
        <v>-2.0940200969713975E-2</v>
      </c>
      <c r="D72" s="26">
        <f>'Daily Returns'!D72</f>
        <v>-4.8968894406511343E-3</v>
      </c>
      <c r="E72" s="26">
        <f>'Daily Returns'!E72</f>
        <v>8.0364318242701106E-3</v>
      </c>
    </row>
    <row r="73" spans="1:5" ht="15" customHeight="1" x14ac:dyDescent="0.3">
      <c r="A73" s="25">
        <f>'Daily Returns'!F73</f>
        <v>1.5236074291136189E-3</v>
      </c>
      <c r="B73" s="25">
        <f>'Daily Returns'!B73</f>
        <v>8.3769633507852614E-3</v>
      </c>
      <c r="C73" s="25">
        <f>'Daily Returns'!C73</f>
        <v>4.5934113256298655E-3</v>
      </c>
      <c r="D73" s="25">
        <f>'Daily Returns'!D73</f>
        <v>-1.2059883559745002E-2</v>
      </c>
      <c r="E73" s="25">
        <f>'Daily Returns'!E73</f>
        <v>-7.1751262290727117E-3</v>
      </c>
    </row>
    <row r="74" spans="1:5" ht="15" customHeight="1" x14ac:dyDescent="0.3">
      <c r="A74" s="26">
        <f>'Daily Returns'!F74</f>
        <v>-3.4749507711272815E-3</v>
      </c>
      <c r="B74" s="26">
        <f>'Daily Returns'!B74</f>
        <v>3.2537210107303684E-2</v>
      </c>
      <c r="C74" s="26">
        <f>'Daily Returns'!C74</f>
        <v>-5.7726655711939374E-3</v>
      </c>
      <c r="D74" s="26">
        <f>'Daily Returns'!D74</f>
        <v>-2.8062298302231354E-3</v>
      </c>
      <c r="E74" s="26">
        <f>'Daily Returns'!E74</f>
        <v>-3.7282043438360252E-2</v>
      </c>
    </row>
    <row r="75" spans="1:5" ht="15" customHeight="1" x14ac:dyDescent="0.3">
      <c r="A75" s="25">
        <f>'Daily Returns'!F75</f>
        <v>-4.2270437513604285E-3</v>
      </c>
      <c r="B75" s="25">
        <f>'Daily Returns'!B75</f>
        <v>8.8501508548440699E-3</v>
      </c>
      <c r="C75" s="25">
        <f>'Daily Returns'!C75</f>
        <v>-1.0031474109311314E-2</v>
      </c>
      <c r="D75" s="25">
        <f>'Daily Returns'!D75</f>
        <v>2.525678908118759E-2</v>
      </c>
      <c r="E75" s="25">
        <f>'Daily Returns'!E75</f>
        <v>-2.0057989434801648E-2</v>
      </c>
    </row>
    <row r="76" spans="1:5" ht="15" customHeight="1" x14ac:dyDescent="0.3">
      <c r="A76" s="26">
        <f>'Daily Returns'!F76</f>
        <v>1.1590279661728212E-2</v>
      </c>
      <c r="B76" s="26">
        <f>'Daily Returns'!B76</f>
        <v>-8.1079284907290411E-3</v>
      </c>
      <c r="C76" s="26">
        <f>'Daily Returns'!C76</f>
        <v>1.0742853824601266E-3</v>
      </c>
      <c r="D76" s="26">
        <f>'Daily Returns'!D76</f>
        <v>-1.5096411171344189E-2</v>
      </c>
      <c r="E76" s="26">
        <f>'Daily Returns'!E76</f>
        <v>1.0619325551232184E-2</v>
      </c>
    </row>
    <row r="77" spans="1:5" ht="15" customHeight="1" x14ac:dyDescent="0.3">
      <c r="A77" s="25">
        <f>'Daily Returns'!F77</f>
        <v>1.8752863888714753E-2</v>
      </c>
      <c r="B77" s="25">
        <f>'Daily Returns'!B77</f>
        <v>-7.4371859296483329E-3</v>
      </c>
      <c r="C77" s="25">
        <f>'Daily Returns'!C77</f>
        <v>3.0163725220064611E-2</v>
      </c>
      <c r="D77" s="25">
        <f>'Daily Returns'!D77</f>
        <v>-1.9647460461227569E-2</v>
      </c>
      <c r="E77" s="25">
        <f>'Daily Returns'!E77</f>
        <v>2.8876233255795253E-3</v>
      </c>
    </row>
    <row r="78" spans="1:5" ht="15" customHeight="1" x14ac:dyDescent="0.3">
      <c r="A78" s="26">
        <f>'Daily Returns'!F78</f>
        <v>-4.397973778815365E-3</v>
      </c>
      <c r="B78" s="26">
        <f>'Daily Returns'!B78</f>
        <v>-1.1205616308896967E-2</v>
      </c>
      <c r="C78" s="26">
        <f>'Daily Returns'!C78</f>
        <v>5.6871771048889507E-3</v>
      </c>
      <c r="D78" s="26">
        <f>'Daily Returns'!D78</f>
        <v>2.0467628455688971E-2</v>
      </c>
      <c r="E78" s="26">
        <f>'Daily Returns'!E78</f>
        <v>-1.1637207070303114E-2</v>
      </c>
    </row>
    <row r="79" spans="1:5" ht="15" customHeight="1" x14ac:dyDescent="0.3">
      <c r="A79" s="25">
        <f>'Daily Returns'!F79</f>
        <v>-8.4916921086922482E-3</v>
      </c>
      <c r="B79" s="25">
        <f>'Daily Returns'!B79</f>
        <v>1.3517203713817712E-2</v>
      </c>
      <c r="C79" s="25">
        <f>'Daily Returns'!C79</f>
        <v>-4.6191962598507224E-3</v>
      </c>
      <c r="D79" s="25">
        <f>'Daily Returns'!D79</f>
        <v>-4.0392785012884772E-3</v>
      </c>
      <c r="E79" s="25">
        <f>'Daily Returns'!E79</f>
        <v>-1.7074651021646767E-2</v>
      </c>
    </row>
    <row r="80" spans="1:5" ht="15" customHeight="1" x14ac:dyDescent="0.3">
      <c r="A80" s="26">
        <f>'Daily Returns'!F80</f>
        <v>2.2228446685037977E-2</v>
      </c>
      <c r="B80" s="26">
        <f>'Daily Returns'!B80</f>
        <v>-7.5441196281827057E-3</v>
      </c>
      <c r="C80" s="26">
        <f>'Daily Returns'!C80</f>
        <v>-2.5396914682679274E-2</v>
      </c>
      <c r="D80" s="26">
        <f>'Daily Returns'!D80</f>
        <v>1.9579050416054901E-3</v>
      </c>
      <c r="E80" s="26">
        <f>'Daily Returns'!E80</f>
        <v>5.4748281397932908E-3</v>
      </c>
    </row>
    <row r="81" spans="1:5" ht="15" customHeight="1" x14ac:dyDescent="0.3">
      <c r="A81" s="25">
        <f>'Daily Returns'!F81</f>
        <v>1.3784955630554282E-3</v>
      </c>
      <c r="B81" s="25">
        <f>'Daily Returns'!B81</f>
        <v>-6.787023211618998E-4</v>
      </c>
      <c r="C81" s="25">
        <f>'Daily Returns'!C81</f>
        <v>9.6385542168675627E-3</v>
      </c>
      <c r="D81" s="25">
        <f>'Daily Returns'!D81</f>
        <v>8.6537790494801391E-3</v>
      </c>
      <c r="E81" s="25">
        <f>'Daily Returns'!E81</f>
        <v>-2.3745189552115947E-3</v>
      </c>
    </row>
    <row r="82" spans="1:5" ht="15" customHeight="1" x14ac:dyDescent="0.3">
      <c r="A82" s="26">
        <f>'Daily Returns'!F82</f>
        <v>-5.9646329595404333E-3</v>
      </c>
      <c r="B82" s="26">
        <f>'Daily Returns'!B82</f>
        <v>1.0730779679434827E-2</v>
      </c>
      <c r="C82" s="26">
        <f>'Daily Returns'!C82</f>
        <v>2.0636531233475683E-2</v>
      </c>
      <c r="D82" s="26">
        <f>'Daily Returns'!D82</f>
        <v>-5.7427523697503114E-3</v>
      </c>
      <c r="E82" s="26">
        <f>'Daily Returns'!E82</f>
        <v>-2.5032829940906665E-3</v>
      </c>
    </row>
    <row r="83" spans="1:5" ht="15" customHeight="1" x14ac:dyDescent="0.3">
      <c r="A83" s="25">
        <f>'Daily Returns'!F83</f>
        <v>-3.3874345574415841E-3</v>
      </c>
      <c r="B83" s="25">
        <f>'Daily Returns'!B83</f>
        <v>-9.7433140706893479E-3</v>
      </c>
      <c r="C83" s="25">
        <f>'Daily Returns'!C83</f>
        <v>1.1313832840920288E-2</v>
      </c>
      <c r="D83" s="25">
        <f>'Daily Returns'!D83</f>
        <v>-3.7787056367432001E-2</v>
      </c>
      <c r="E83" s="25">
        <f>'Daily Returns'!E83</f>
        <v>-9.0508906899246667E-3</v>
      </c>
    </row>
    <row r="84" spans="1:5" ht="15" customHeight="1" x14ac:dyDescent="0.3">
      <c r="A84" s="26">
        <f>'Daily Returns'!F84</f>
        <v>1.0050226300949591E-2</v>
      </c>
      <c r="B84" s="26">
        <f>'Daily Returns'!B84</f>
        <v>-3.7321028703264664E-3</v>
      </c>
      <c r="C84" s="26">
        <f>'Daily Returns'!C84</f>
        <v>2.1156109380408409E-2</v>
      </c>
      <c r="D84" s="26">
        <f>'Daily Returns'!D84</f>
        <v>-2.8928907210530532E-3</v>
      </c>
      <c r="E84" s="26">
        <f>'Daily Returns'!E84</f>
        <v>3.2797774733258275E-3</v>
      </c>
    </row>
    <row r="85" spans="1:5" ht="15" customHeight="1" x14ac:dyDescent="0.3">
      <c r="A85" s="25">
        <f>'Daily Returns'!F85</f>
        <v>-6.2395227526015082E-4</v>
      </c>
      <c r="B85" s="25">
        <f>'Daily Returns'!B85</f>
        <v>-2.5200926304318135E-2</v>
      </c>
      <c r="C85" s="25">
        <f>'Daily Returns'!C85</f>
        <v>9.0030236058194057E-3</v>
      </c>
      <c r="D85" s="25">
        <f>'Daily Returns'!D85</f>
        <v>1.9873794153913171E-2</v>
      </c>
      <c r="E85" s="25">
        <f>'Daily Returns'!E85</f>
        <v>5.8346437143093465E-3</v>
      </c>
    </row>
    <row r="86" spans="1:5" ht="15" customHeight="1" x14ac:dyDescent="0.3">
      <c r="A86" s="26">
        <f>'Daily Returns'!F86</f>
        <v>1.4173613884987566E-3</v>
      </c>
      <c r="B86" s="26">
        <f>'Daily Returns'!B86</f>
        <v>-1.4673001676914437E-2</v>
      </c>
      <c r="C86" s="26">
        <f>'Daily Returns'!C86</f>
        <v>-2.2387357727400956E-2</v>
      </c>
      <c r="D86" s="26">
        <f>'Daily Returns'!D86</f>
        <v>3.4634805490363241E-2</v>
      </c>
      <c r="E86" s="26">
        <f>'Daily Returns'!E86</f>
        <v>-1.1354753774632785E-2</v>
      </c>
    </row>
    <row r="87" spans="1:5" ht="15" customHeight="1" x14ac:dyDescent="0.3">
      <c r="A87" s="25">
        <f>'Daily Returns'!F87</f>
        <v>-1.4262804579200787E-2</v>
      </c>
      <c r="B87" s="25">
        <f>'Daily Returns'!B87</f>
        <v>-7.5875762303220925E-3</v>
      </c>
      <c r="C87" s="25">
        <f>'Daily Returns'!C87</f>
        <v>-2.0618273288336555E-4</v>
      </c>
      <c r="D87" s="25">
        <f>'Daily Returns'!D87</f>
        <v>-1.4434973879569669E-3</v>
      </c>
      <c r="E87" s="25">
        <f>'Daily Returns'!E87</f>
        <v>3.1875494153385198E-2</v>
      </c>
    </row>
    <row r="88" spans="1:5" ht="15" customHeight="1" x14ac:dyDescent="0.3">
      <c r="A88" s="26">
        <f>'Daily Returns'!F88</f>
        <v>-8.4685746887799805E-3</v>
      </c>
      <c r="B88" s="26">
        <f>'Daily Returns'!B88</f>
        <v>6.0735977134692594E-3</v>
      </c>
      <c r="C88" s="26">
        <f>'Daily Returns'!C88</f>
        <v>9.8575670919489097E-3</v>
      </c>
      <c r="D88" s="26">
        <f>'Daily Returns'!D88</f>
        <v>-6.8837337371923494E-5</v>
      </c>
      <c r="E88" s="26">
        <f>'Daily Returns'!E88</f>
        <v>-1.0646449167237917E-2</v>
      </c>
    </row>
    <row r="89" spans="1:5" ht="15" customHeight="1" x14ac:dyDescent="0.3">
      <c r="A89" s="25">
        <f>'Daily Returns'!F89</f>
        <v>1.2979742190744529E-2</v>
      </c>
      <c r="B89" s="25">
        <f>'Daily Returns'!B89</f>
        <v>1.6903409090909056E-2</v>
      </c>
      <c r="C89" s="25">
        <f>'Daily Returns'!C89</f>
        <v>1.3314636570323843E-2</v>
      </c>
      <c r="D89" s="25">
        <f>'Daily Returns'!D89</f>
        <v>2.1891780256092574E-2</v>
      </c>
      <c r="E89" s="25">
        <f>'Daily Returns'!E89</f>
        <v>3.6277666816124663E-3</v>
      </c>
    </row>
    <row r="90" spans="1:5" ht="15" customHeight="1" x14ac:dyDescent="0.3">
      <c r="A90" s="26">
        <f>'Daily Returns'!F90</f>
        <v>5.1102011921675431E-3</v>
      </c>
      <c r="B90" s="26">
        <f>'Daily Returns'!B90</f>
        <v>6.9842156725736162E-5</v>
      </c>
      <c r="C90" s="26">
        <f>'Daily Returns'!C90</f>
        <v>-8.1014631000523619E-3</v>
      </c>
      <c r="D90" s="26">
        <f>'Daily Returns'!D90</f>
        <v>9.7682565346267087E-3</v>
      </c>
      <c r="E90" s="26">
        <f>'Daily Returns'!E90</f>
        <v>-2.8836000324912656E-2</v>
      </c>
    </row>
    <row r="91" spans="1:5" ht="15" customHeight="1" x14ac:dyDescent="0.3">
      <c r="A91" s="25">
        <f>'Daily Returns'!F91</f>
        <v>1.1797355274757608E-2</v>
      </c>
      <c r="B91" s="25">
        <f>'Daily Returns'!B91</f>
        <v>3.9108876318178802E-3</v>
      </c>
      <c r="C91" s="25">
        <f>'Daily Returns'!C91</f>
        <v>-5.2825486265371726E-4</v>
      </c>
      <c r="D91" s="25">
        <f>'Daily Returns'!D91</f>
        <v>5.0703849489627017E-3</v>
      </c>
      <c r="E91" s="25">
        <f>'Daily Returns'!E91</f>
        <v>-1.8400802944128495E-2</v>
      </c>
    </row>
    <row r="92" spans="1:5" ht="15" customHeight="1" x14ac:dyDescent="0.3">
      <c r="A92" s="26">
        <f>'Daily Returns'!F92</f>
        <v>-1.8938724185529852E-2</v>
      </c>
      <c r="B92" s="26">
        <f>'Daily Returns'!B92</f>
        <v>2.6434782608695338E-3</v>
      </c>
      <c r="C92" s="26">
        <f>'Daily Returns'!C92</f>
        <v>7.0471208445703907E-3</v>
      </c>
      <c r="D92" s="26">
        <f>'Daily Returns'!D92</f>
        <v>-3.0733488217723169E-2</v>
      </c>
      <c r="E92" s="26">
        <f>'Daily Returns'!E92</f>
        <v>1.7851056578050434E-2</v>
      </c>
    </row>
    <row r="93" spans="1:5" ht="15" customHeight="1" x14ac:dyDescent="0.3">
      <c r="A93" s="25">
        <f>'Daily Returns'!F93</f>
        <v>-6.241204692472681E-3</v>
      </c>
      <c r="B93" s="25">
        <f>'Daily Returns'!B93</f>
        <v>1.5333379587872115E-2</v>
      </c>
      <c r="C93" s="25">
        <f>'Daily Returns'!C93</f>
        <v>2.3025474706966871E-2</v>
      </c>
      <c r="D93" s="25">
        <f>'Daily Returns'!D93</f>
        <v>-6.1635392411998743E-3</v>
      </c>
      <c r="E93" s="25">
        <f>'Daily Returns'!E93</f>
        <v>1.4231300489724187E-2</v>
      </c>
    </row>
    <row r="94" spans="1:5" ht="15" customHeight="1" x14ac:dyDescent="0.3">
      <c r="A94" s="26">
        <f>'Daily Returns'!F94</f>
        <v>3.8741021656221015E-3</v>
      </c>
      <c r="B94" s="26">
        <f>'Daily Returns'!B94</f>
        <v>1.2710127101270912E-2</v>
      </c>
      <c r="C94" s="26">
        <f>'Daily Returns'!C94</f>
        <v>1.832412523020251E-2</v>
      </c>
      <c r="D94" s="26">
        <f>'Daily Returns'!D94</f>
        <v>3.7210584343990629E-3</v>
      </c>
      <c r="E94" s="26">
        <f>'Daily Returns'!E94</f>
        <v>4.539639305022468E-3</v>
      </c>
    </row>
    <row r="95" spans="1:5" ht="15" customHeight="1" x14ac:dyDescent="0.3">
      <c r="A95" s="25">
        <f>'Daily Returns'!F95</f>
        <v>7.9651973672496025E-3</v>
      </c>
      <c r="B95" s="25">
        <f>'Daily Returns'!B95</f>
        <v>4.1160593792173667E-3</v>
      </c>
      <c r="C95" s="25">
        <f>'Daily Returns'!C95</f>
        <v>1.200056837998781E-2</v>
      </c>
      <c r="D95" s="25">
        <f>'Daily Returns'!D95</f>
        <v>-2.3410682411094307E-2</v>
      </c>
      <c r="E95" s="25">
        <f>'Daily Returns'!E95</f>
        <v>-1.2242718047738342E-2</v>
      </c>
    </row>
    <row r="96" spans="1:5" ht="15" customHeight="1" x14ac:dyDescent="0.3">
      <c r="A96" s="26">
        <f>'Daily Returns'!F96</f>
        <v>2.3959007762118501E-2</v>
      </c>
      <c r="B96" s="26">
        <f>'Daily Returns'!B96</f>
        <v>-1.3708756131980323E-2</v>
      </c>
      <c r="C96" s="26">
        <f>'Daily Returns'!C96</f>
        <v>7.5821398483572732E-3</v>
      </c>
      <c r="D96" s="26">
        <f>'Daily Returns'!D96</f>
        <v>-5.4130052724078049E-3</v>
      </c>
      <c r="E96" s="26">
        <f>'Daily Returns'!E96</f>
        <v>7.1538493532421026E-3</v>
      </c>
    </row>
    <row r="97" spans="1:5" ht="15" customHeight="1" x14ac:dyDescent="0.3">
      <c r="A97" s="25">
        <f>'Daily Returns'!F97</f>
        <v>2.635244608294585E-3</v>
      </c>
      <c r="B97" s="25">
        <f>'Daily Returns'!B97</f>
        <v>1.2877290999522969E-2</v>
      </c>
      <c r="C97" s="25">
        <f>'Daily Returns'!C97</f>
        <v>-1.7495185973446917E-2</v>
      </c>
      <c r="D97" s="25">
        <f>'Daily Returns'!D97</f>
        <v>2.7353689567430058E-2</v>
      </c>
      <c r="E97" s="25">
        <f>'Daily Returns'!E97</f>
        <v>-1.8294445591575496E-2</v>
      </c>
    </row>
    <row r="98" spans="1:5" ht="15" customHeight="1" x14ac:dyDescent="0.3">
      <c r="A98" s="26">
        <f>'Daily Returns'!F98</f>
        <v>-9.7553119811812205E-3</v>
      </c>
      <c r="B98" s="26">
        <f>'Daily Returns'!B98</f>
        <v>5.5832100094175465E-3</v>
      </c>
      <c r="C98" s="26">
        <f>'Daily Returns'!C98</f>
        <v>-1.8825349751788938E-2</v>
      </c>
      <c r="D98" s="26">
        <f>'Daily Returns'!D98</f>
        <v>-3.6463708290333757E-3</v>
      </c>
      <c r="E98" s="26">
        <f>'Daily Returns'!E98</f>
        <v>2.0696617869762693E-2</v>
      </c>
    </row>
    <row r="99" spans="1:5" ht="15" customHeight="1" x14ac:dyDescent="0.3">
      <c r="A99" s="25">
        <f>'Daily Returns'!F99</f>
        <v>-8.2635686894379536E-3</v>
      </c>
      <c r="B99" s="25">
        <f>'Daily Returns'!B99</f>
        <v>1.7325573616964369E-2</v>
      </c>
      <c r="C99" s="25">
        <f>'Daily Returns'!C99</f>
        <v>-1.0250344963533562E-3</v>
      </c>
      <c r="D99" s="25">
        <f>'Daily Returns'!D99</f>
        <v>-2.223449799751415E-2</v>
      </c>
      <c r="E99" s="25">
        <f>'Daily Returns'!E99</f>
        <v>-4.9208704253214636E-2</v>
      </c>
    </row>
    <row r="100" spans="1:5" ht="15" customHeight="1" x14ac:dyDescent="0.3">
      <c r="A100" s="26">
        <f>'Daily Returns'!F100</f>
        <v>-1.4836480554055929E-2</v>
      </c>
      <c r="B100" s="26">
        <f>'Daily Returns'!B100</f>
        <v>-1.3150973172021456E-4</v>
      </c>
      <c r="C100" s="26">
        <f>'Daily Returns'!C100</f>
        <v>1.8969441046081895E-2</v>
      </c>
      <c r="D100" s="26">
        <f>'Daily Returns'!D100</f>
        <v>-2.9307909604519816E-2</v>
      </c>
      <c r="E100" s="26">
        <f>'Daily Returns'!E100</f>
        <v>-6.8053749458170491E-3</v>
      </c>
    </row>
    <row r="101" spans="1:5" ht="15" customHeight="1" x14ac:dyDescent="0.3">
      <c r="A101" s="25">
        <f>'Daily Returns'!F101</f>
        <v>1.5603148324755305E-2</v>
      </c>
      <c r="B101" s="25">
        <f>'Daily Returns'!B101</f>
        <v>2.7423385505721345E-2</v>
      </c>
      <c r="C101" s="25">
        <f>'Daily Returns'!C101</f>
        <v>7.5652926064111508E-3</v>
      </c>
      <c r="D101" s="25">
        <f>'Daily Returns'!D101</f>
        <v>2.1826118588578493E-4</v>
      </c>
      <c r="E101" s="25">
        <f>'Daily Returns'!E101</f>
        <v>-1.4576877754986268E-2</v>
      </c>
    </row>
    <row r="102" spans="1:5" ht="15" customHeight="1" x14ac:dyDescent="0.3">
      <c r="A102" s="26">
        <f>'Daily Returns'!F102</f>
        <v>-1.3819242717640191E-3</v>
      </c>
      <c r="B102" s="26">
        <f>'Daily Returns'!B102</f>
        <v>-4.6725980925557816E-3</v>
      </c>
      <c r="C102" s="26">
        <f>'Daily Returns'!C102</f>
        <v>1.0493945800499635E-2</v>
      </c>
      <c r="D102" s="26">
        <f>'Daily Returns'!D102</f>
        <v>-8.7285423334302354E-3</v>
      </c>
      <c r="E102" s="26">
        <f>'Daily Returns'!E102</f>
        <v>2.4934673811949137E-2</v>
      </c>
    </row>
    <row r="103" spans="1:5" ht="15" customHeight="1" x14ac:dyDescent="0.3">
      <c r="A103" s="25">
        <f>'Daily Returns'!F103</f>
        <v>-6.9161438021115894E-3</v>
      </c>
      <c r="B103" s="25">
        <f>'Daily Returns'!B103</f>
        <v>2.2379421221864888E-2</v>
      </c>
      <c r="C103" s="25">
        <f>'Daily Returns'!C103</f>
        <v>-2.5892675999188423E-2</v>
      </c>
      <c r="D103" s="25">
        <f>'Daily Returns'!D103</f>
        <v>-1.3281479307308499E-2</v>
      </c>
      <c r="E103" s="25">
        <f>'Daily Returns'!E103</f>
        <v>-3.2408607726212083E-3</v>
      </c>
    </row>
    <row r="104" spans="1:5" ht="15" customHeight="1" x14ac:dyDescent="0.3">
      <c r="A104" s="26">
        <f>'Daily Returns'!F104</f>
        <v>1.3364779689132205E-2</v>
      </c>
      <c r="B104" s="26">
        <f>'Daily Returns'!B104</f>
        <v>1.9499308089067952E-3</v>
      </c>
      <c r="C104" s="26">
        <f>'Daily Returns'!C104</f>
        <v>-2.5175080055192565E-2</v>
      </c>
      <c r="D104" s="26">
        <f>'Daily Returns'!D104</f>
        <v>4.0157655982746487E-3</v>
      </c>
      <c r="E104" s="26">
        <f>'Daily Returns'!E104</f>
        <v>2.3843586075345733E-2</v>
      </c>
    </row>
    <row r="105" spans="1:5" ht="15" customHeight="1" x14ac:dyDescent="0.3">
      <c r="A105" s="25">
        <f>'Daily Returns'!F105</f>
        <v>1.5626706092751956E-2</v>
      </c>
      <c r="B105" s="25">
        <f>'Daily Returns'!B105</f>
        <v>-6.8428652143888722E-3</v>
      </c>
      <c r="C105" s="25">
        <f>'Daily Returns'!C105</f>
        <v>2.0337036641384493E-2</v>
      </c>
      <c r="D105" s="25">
        <f>'Daily Returns'!D105</f>
        <v>4.8885267757943609E-3</v>
      </c>
      <c r="E105" s="25">
        <f>'Daily Returns'!E105</f>
        <v>2.7776601600541993E-2</v>
      </c>
    </row>
    <row r="106" spans="1:5" ht="15" customHeight="1" x14ac:dyDescent="0.3">
      <c r="A106" s="26">
        <f>'Daily Returns'!F106</f>
        <v>-3.2516029270145286E-3</v>
      </c>
      <c r="B106" s="26">
        <f>'Daily Returns'!B106</f>
        <v>-1.5360303413400623E-2</v>
      </c>
      <c r="C106" s="26">
        <f>'Daily Returns'!C106</f>
        <v>-1.3087120964247169E-5</v>
      </c>
      <c r="D106" s="26">
        <f>'Daily Returns'!D106</f>
        <v>3.1694552959387252E-3</v>
      </c>
      <c r="E106" s="26">
        <f>'Daily Returns'!E106</f>
        <v>9.1047666131092494E-3</v>
      </c>
    </row>
    <row r="107" spans="1:5" ht="15" customHeight="1" x14ac:dyDescent="0.3">
      <c r="A107" s="25">
        <f>'Daily Returns'!F107</f>
        <v>-5.5291195015462003E-3</v>
      </c>
      <c r="B107" s="25">
        <f>'Daily Returns'!B107</f>
        <v>-1.7333247737048867E-3</v>
      </c>
      <c r="C107" s="25">
        <f>'Daily Returns'!C107</f>
        <v>-2.2575579112681585E-2</v>
      </c>
      <c r="D107" s="25">
        <f>'Daily Returns'!D107</f>
        <v>5.878030859662097E-3</v>
      </c>
      <c r="E107" s="25">
        <f>'Daily Returns'!E107</f>
        <v>-3.0497264636237441E-2</v>
      </c>
    </row>
    <row r="108" spans="1:5" ht="15" customHeight="1" x14ac:dyDescent="0.3">
      <c r="A108" s="26">
        <f>'Daily Returns'!F108</f>
        <v>3.6562666296209826E-3</v>
      </c>
      <c r="B108" s="26">
        <f>'Daily Returns'!B108</f>
        <v>2.0000000000000087E-2</v>
      </c>
      <c r="C108" s="26">
        <f>'Daily Returns'!C108</f>
        <v>1.6161210417085004E-2</v>
      </c>
      <c r="D108" s="26">
        <f>'Daily Returns'!D108</f>
        <v>-1.8918918918918944E-2</v>
      </c>
      <c r="E108" s="26">
        <f>'Daily Returns'!E108</f>
        <v>-1.3770160441318947E-2</v>
      </c>
    </row>
    <row r="109" spans="1:5" ht="15" customHeight="1" x14ac:dyDescent="0.3">
      <c r="A109" s="25">
        <f>'Daily Returns'!F109</f>
        <v>-1.8831626592869601E-2</v>
      </c>
      <c r="B109" s="25">
        <f>'Daily Returns'!B109</f>
        <v>1.1663829518945805E-2</v>
      </c>
      <c r="C109" s="25">
        <f>'Daily Returns'!C109</f>
        <v>5.138881568544894E-3</v>
      </c>
      <c r="D109" s="25">
        <f>'Daily Returns'!D109</f>
        <v>-9.7535552081006796E-3</v>
      </c>
      <c r="E109" s="25">
        <f>'Daily Returns'!E109</f>
        <v>-8.9666951323654764E-3</v>
      </c>
    </row>
    <row r="110" spans="1:5" ht="15" customHeight="1" x14ac:dyDescent="0.3">
      <c r="A110" s="26">
        <f>'Daily Returns'!F110</f>
        <v>6.0232140852707616E-3</v>
      </c>
      <c r="B110" s="26">
        <f>'Daily Returns'!B110</f>
        <v>9.8466907640532477E-3</v>
      </c>
      <c r="C110" s="26">
        <f>'Daily Returns'!C110</f>
        <v>5.2659867334364535E-2</v>
      </c>
      <c r="D110" s="26">
        <f>'Daily Returns'!D110</f>
        <v>-4.7368421052631235E-3</v>
      </c>
      <c r="E110" s="26">
        <f>'Daily Returns'!E110</f>
        <v>8.0568720379147109E-3</v>
      </c>
    </row>
    <row r="111" spans="1:5" ht="15" customHeight="1" x14ac:dyDescent="0.3">
      <c r="A111" s="25">
        <f>'Daily Returns'!F111</f>
        <v>8.0593502112495455E-3</v>
      </c>
      <c r="B111" s="25">
        <f>'Daily Returns'!B111</f>
        <v>-3.2584547025425827E-2</v>
      </c>
      <c r="C111" s="25">
        <f>'Daily Returns'!C111</f>
        <v>2.2640381573867607E-2</v>
      </c>
      <c r="D111" s="25">
        <f>'Daily Returns'!D111</f>
        <v>-4.532749112336804E-4</v>
      </c>
      <c r="E111" s="25">
        <f>'Daily Returns'!E111</f>
        <v>7.6505534897636108E-3</v>
      </c>
    </row>
    <row r="112" spans="1:5" ht="15" customHeight="1" x14ac:dyDescent="0.3">
      <c r="A112" s="26">
        <f>'Daily Returns'!F112</f>
        <v>2.4482250657114949E-3</v>
      </c>
      <c r="B112" s="26">
        <f>'Daily Returns'!B112</f>
        <v>1.0142893595304948E-2</v>
      </c>
      <c r="C112" s="26">
        <f>'Daily Returns'!C112</f>
        <v>6.709938258825811E-3</v>
      </c>
      <c r="D112" s="26">
        <f>'Daily Returns'!D112</f>
        <v>1.6022976343435906E-2</v>
      </c>
      <c r="E112" s="26">
        <f>'Daily Returns'!E112</f>
        <v>-2.4643705463182907E-2</v>
      </c>
    </row>
    <row r="113" spans="1:5" ht="15" customHeight="1" x14ac:dyDescent="0.3">
      <c r="A113" s="25">
        <f>'Daily Returns'!F113</f>
        <v>8.4103618534790911E-3</v>
      </c>
      <c r="B113" s="25">
        <f>'Daily Returns'!B113</f>
        <v>8.0202083991159478E-3</v>
      </c>
      <c r="C113" s="25">
        <f>'Daily Returns'!C113</f>
        <v>-2.0685150239511331E-3</v>
      </c>
      <c r="D113" s="25">
        <f>'Daily Returns'!D113</f>
        <v>-1.1083835453395887E-2</v>
      </c>
      <c r="E113" s="25">
        <f>'Daily Returns'!E113</f>
        <v>1.5307675581648229E-2</v>
      </c>
    </row>
    <row r="114" spans="1:5" ht="15" customHeight="1" x14ac:dyDescent="0.3">
      <c r="A114" s="26">
        <f>'Daily Returns'!F114</f>
        <v>5.4426514604649884E-4</v>
      </c>
      <c r="B114" s="26">
        <f>'Daily Returns'!B114</f>
        <v>-7.2672597418869597E-3</v>
      </c>
      <c r="C114" s="26">
        <f>'Daily Returns'!C114</f>
        <v>4.6910796756245736E-3</v>
      </c>
      <c r="D114" s="26">
        <f>'Daily Returns'!D114</f>
        <v>-1.1809839025124065E-2</v>
      </c>
      <c r="E114" s="26">
        <f>'Daily Returns'!E114</f>
        <v>-1.8717608258020321E-2</v>
      </c>
    </row>
    <row r="115" spans="1:5" ht="15" customHeight="1" x14ac:dyDescent="0.3">
      <c r="A115" s="25">
        <f>'Daily Returns'!F115</f>
        <v>2.3175230467202285E-3</v>
      </c>
      <c r="B115" s="25">
        <f>'Daily Returns'!B115</f>
        <v>-8.3932853717027158E-3</v>
      </c>
      <c r="C115" s="25">
        <f>'Daily Returns'!C115</f>
        <v>-1.2185705323102057E-3</v>
      </c>
      <c r="D115" s="25">
        <f>'Daily Returns'!D115</f>
        <v>2.3749714546700194E-2</v>
      </c>
      <c r="E115" s="25">
        <f>'Daily Returns'!E115</f>
        <v>-6.198166739415048E-3</v>
      </c>
    </row>
    <row r="116" spans="1:5" ht="15" customHeight="1" x14ac:dyDescent="0.3">
      <c r="A116" s="26">
        <f>'Daily Returns'!F116</f>
        <v>1.6093294380897721E-2</v>
      </c>
      <c r="B116" s="26">
        <f>'Daily Returns'!B116</f>
        <v>2.5456628269580629E-4</v>
      </c>
      <c r="C116" s="26">
        <f>'Daily Returns'!C116</f>
        <v>-2.4775618182477067E-2</v>
      </c>
      <c r="D116" s="26">
        <f>'Daily Returns'!D116</f>
        <v>2.8998438545615756E-3</v>
      </c>
      <c r="E116" s="26">
        <f>'Daily Returns'!E116</f>
        <v>5.358397751229791E-3</v>
      </c>
    </row>
    <row r="117" spans="1:5" ht="15" customHeight="1" x14ac:dyDescent="0.3">
      <c r="A117" s="25">
        <f>'Daily Returns'!F117</f>
        <v>1.6303874794855685E-3</v>
      </c>
      <c r="B117" s="25">
        <f>'Daily Returns'!B117</f>
        <v>2.4241267417446095E-2</v>
      </c>
      <c r="C117" s="25">
        <f>'Daily Returns'!C117</f>
        <v>1.6957340335926201E-2</v>
      </c>
      <c r="D117" s="25">
        <f>'Daily Returns'!D117</f>
        <v>-2.1574733096085385E-2</v>
      </c>
      <c r="E117" s="25">
        <f>'Daily Returns'!E117</f>
        <v>-2.0096111839231451E-3</v>
      </c>
    </row>
    <row r="118" spans="1:5" ht="15" customHeight="1" x14ac:dyDescent="0.3">
      <c r="A118" s="26">
        <f>'Daily Returns'!F118</f>
        <v>1.8781869358474011E-2</v>
      </c>
      <c r="B118" s="26">
        <f>'Daily Returns'!B118</f>
        <v>-1.4287489129084254E-2</v>
      </c>
      <c r="C118" s="26">
        <f>'Daily Returns'!C118</f>
        <v>5.4445134651222608E-3</v>
      </c>
      <c r="D118" s="26">
        <f>'Daily Returns'!D118</f>
        <v>-4.5464878381449901E-3</v>
      </c>
      <c r="E118" s="26">
        <f>'Daily Returns'!E118</f>
        <v>3.0117317457538064E-2</v>
      </c>
    </row>
    <row r="119" spans="1:5" ht="15" customHeight="1" x14ac:dyDescent="0.3">
      <c r="A119" s="25">
        <f>'Daily Returns'!F119</f>
        <v>1.0085586463915892E-2</v>
      </c>
      <c r="B119" s="25">
        <f>'Daily Returns'!B119</f>
        <v>-5.6087723720696665E-3</v>
      </c>
      <c r="C119" s="25">
        <f>'Daily Returns'!C119</f>
        <v>-4.7996317294180357E-2</v>
      </c>
      <c r="D119" s="25">
        <f>'Daily Returns'!D119</f>
        <v>-1.9030219989343077E-2</v>
      </c>
      <c r="E119" s="25">
        <f>'Daily Returns'!E119</f>
        <v>2.2012578616352231E-2</v>
      </c>
    </row>
    <row r="120" spans="1:5" ht="15" customHeight="1" x14ac:dyDescent="0.3">
      <c r="A120" s="26">
        <f>'Daily Returns'!F120</f>
        <v>-2.6299031567107258E-3</v>
      </c>
      <c r="B120" s="26">
        <f>'Daily Returns'!B120</f>
        <v>1.9139362443754422E-2</v>
      </c>
      <c r="C120" s="26">
        <f>'Daily Returns'!C120</f>
        <v>-1.0612577303845509E-2</v>
      </c>
      <c r="D120" s="26">
        <f>'Daily Returns'!D120</f>
        <v>-1.7537052843951309E-2</v>
      </c>
      <c r="E120" s="26">
        <f>'Daily Returns'!E120</f>
        <v>-2.4449064449064431E-2</v>
      </c>
    </row>
    <row r="121" spans="1:5" ht="15" customHeight="1" x14ac:dyDescent="0.3">
      <c r="A121" s="25">
        <f>'Daily Returns'!F121</f>
        <v>-1.2154242354282654E-4</v>
      </c>
      <c r="B121" s="25">
        <f>'Daily Returns'!B121</f>
        <v>-5.8454076239039723E-3</v>
      </c>
      <c r="C121" s="25">
        <f>'Daily Returns'!C121</f>
        <v>-1.4031793394382097E-2</v>
      </c>
      <c r="D121" s="25">
        <f>'Daily Returns'!D121</f>
        <v>-2.0614485427691332E-2</v>
      </c>
      <c r="E121" s="25">
        <f>'Daily Returns'!E121</f>
        <v>-2.0799590827721402E-2</v>
      </c>
    </row>
    <row r="122" spans="1:5" ht="15" customHeight="1" x14ac:dyDescent="0.3">
      <c r="A122" s="26">
        <f>'Daily Returns'!F122</f>
        <v>-7.3152554283364528E-3</v>
      </c>
      <c r="B122" s="26">
        <f>'Daily Returns'!B122</f>
        <v>-4.6913116907487335E-3</v>
      </c>
      <c r="C122" s="26">
        <f>'Daily Returns'!C122</f>
        <v>1.7896974993803924E-2</v>
      </c>
      <c r="D122" s="26">
        <f>'Daily Returns'!D122</f>
        <v>-1.2096774193548387E-2</v>
      </c>
      <c r="E122" s="26">
        <f>'Daily Returns'!E122</f>
        <v>2.2199007573779028E-2</v>
      </c>
    </row>
    <row r="123" spans="1:5" ht="15" customHeight="1" x14ac:dyDescent="0.3">
      <c r="A123" s="25">
        <f>'Daily Returns'!F123</f>
        <v>1.415529982841205E-2</v>
      </c>
      <c r="B123" s="25">
        <f>'Daily Returns'!B123</f>
        <v>1.633986928104518E-3</v>
      </c>
      <c r="C123" s="25">
        <f>'Daily Returns'!C123</f>
        <v>-1.7941127471708936E-4</v>
      </c>
      <c r="D123" s="25">
        <f>'Daily Returns'!D123</f>
        <v>3.2816326530612214E-2</v>
      </c>
      <c r="E123" s="25">
        <f>'Daily Returns'!E123</f>
        <v>2.6400953840913155E-3</v>
      </c>
    </row>
    <row r="124" spans="1:5" ht="15" customHeight="1" x14ac:dyDescent="0.3">
      <c r="A124" s="26">
        <f>'Daily Returns'!F124</f>
        <v>3.1832359904124585E-2</v>
      </c>
      <c r="B124" s="26">
        <f>'Daily Returns'!B124</f>
        <v>-1.6877901869745249E-2</v>
      </c>
      <c r="C124" s="26">
        <f>'Daily Returns'!C124</f>
        <v>2.6826798600340877E-2</v>
      </c>
      <c r="D124" s="26">
        <f>'Daily Returns'!D124</f>
        <v>1.628201074928878E-2</v>
      </c>
      <c r="E124" s="26">
        <f>'Daily Returns'!E124</f>
        <v>1.2358787055126122E-2</v>
      </c>
    </row>
    <row r="125" spans="1:5" ht="15" customHeight="1" x14ac:dyDescent="0.3">
      <c r="A125" s="25">
        <f>'Daily Returns'!F125</f>
        <v>-2.5317663035372045E-3</v>
      </c>
      <c r="B125" s="25">
        <f>'Daily Returns'!B125</f>
        <v>3.3824749505392887E-3</v>
      </c>
      <c r="C125" s="25">
        <f>'Daily Returns'!C125</f>
        <v>-2.7474036349111233E-2</v>
      </c>
      <c r="D125" s="25">
        <f>'Daily Returns'!D125</f>
        <v>2.2165188987400792E-2</v>
      </c>
      <c r="E125" s="25">
        <f>'Daily Returns'!E125</f>
        <v>9.2293493308721257E-4</v>
      </c>
    </row>
    <row r="126" spans="1:5" ht="15" customHeight="1" x14ac:dyDescent="0.3">
      <c r="A126" s="26">
        <f>'Daily Returns'!F126</f>
        <v>3.7258836441711922E-3</v>
      </c>
      <c r="B126" s="26">
        <f>'Daily Returns'!B126</f>
        <v>-1.647373107747108E-2</v>
      </c>
      <c r="C126" s="26">
        <f>'Daily Returns'!C126</f>
        <v>-1.8379946349039351E-2</v>
      </c>
      <c r="D126" s="26">
        <f>'Daily Returns'!D126</f>
        <v>1.7499809784676124E-2</v>
      </c>
      <c r="E126" s="26">
        <f>'Daily Returns'!E126</f>
        <v>2.3764617125612925E-2</v>
      </c>
    </row>
    <row r="127" spans="1:5" ht="15" customHeight="1" x14ac:dyDescent="0.3">
      <c r="A127" s="25">
        <f>'Daily Returns'!F127</f>
        <v>5.8675197883479857E-3</v>
      </c>
      <c r="B127" s="25">
        <f>'Daily Returns'!B127</f>
        <v>1.2610748237728883E-2</v>
      </c>
      <c r="C127" s="25">
        <f>'Daily Returns'!C127</f>
        <v>1.9417094888793032E-2</v>
      </c>
      <c r="D127" s="25">
        <f>'Daily Returns'!D127</f>
        <v>-1.719883347042472E-3</v>
      </c>
      <c r="E127" s="25">
        <f>'Daily Returns'!E127</f>
        <v>1.5024973389011775E-2</v>
      </c>
    </row>
    <row r="128" spans="1:5" ht="15" customHeight="1" x14ac:dyDescent="0.3">
      <c r="A128" s="26">
        <f>'Daily Returns'!F128</f>
        <v>1.4089857576448715E-3</v>
      </c>
      <c r="B128" s="26">
        <f>'Daily Returns'!B128</f>
        <v>3.1932558436571047E-4</v>
      </c>
      <c r="C128" s="26">
        <f>'Daily Returns'!C128</f>
        <v>-1.0953773536503982E-2</v>
      </c>
      <c r="D128" s="26">
        <f>'Daily Returns'!D128</f>
        <v>6.7415730337079078E-3</v>
      </c>
      <c r="E128" s="26">
        <f>'Daily Returns'!E128</f>
        <v>1.5367240753438479E-2</v>
      </c>
    </row>
    <row r="129" spans="1:5" ht="15" customHeight="1" x14ac:dyDescent="0.3">
      <c r="A129" s="25">
        <f>'Daily Returns'!F129</f>
        <v>-1.5232466986774005E-3</v>
      </c>
      <c r="B129" s="25">
        <f>'Daily Returns'!B129</f>
        <v>3.1986209538402546E-2</v>
      </c>
      <c r="C129" s="25">
        <f>'Daily Returns'!C129</f>
        <v>-1.8078070289197321E-2</v>
      </c>
      <c r="D129" s="25">
        <f>'Daily Returns'!D129</f>
        <v>2.0833333333333415E-3</v>
      </c>
      <c r="E129" s="25">
        <f>'Daily Returns'!E129</f>
        <v>-1.2314292524032822E-2</v>
      </c>
    </row>
    <row r="130" spans="1:5" ht="15" customHeight="1" x14ac:dyDescent="0.3">
      <c r="A130" s="26">
        <f>'Daily Returns'!F130</f>
        <v>7.5717286245391147E-3</v>
      </c>
      <c r="B130" s="26">
        <f>'Daily Returns'!B130</f>
        <v>4.2068794852759646E-3</v>
      </c>
      <c r="C130" s="26">
        <f>'Daily Returns'!C130</f>
        <v>-8.703576522795603E-3</v>
      </c>
      <c r="D130" s="26">
        <f>'Daily Returns'!D130</f>
        <v>-1.6483516483516474E-2</v>
      </c>
      <c r="E130" s="26">
        <f>'Daily Returns'!E130</f>
        <v>1.1944980694980805E-2</v>
      </c>
    </row>
    <row r="131" spans="1:5" ht="15" customHeight="1" x14ac:dyDescent="0.3">
      <c r="A131" s="25">
        <f>'Daily Returns'!F131</f>
        <v>-1.6223216349032919E-2</v>
      </c>
      <c r="B131" s="25">
        <f>'Daily Returns'!B131</f>
        <v>1.928289797930012E-2</v>
      </c>
      <c r="C131" s="25">
        <f>'Daily Returns'!C131</f>
        <v>-1.2803602595360876E-2</v>
      </c>
      <c r="D131" s="25">
        <f>'Daily Returns'!D131</f>
        <v>-1.7892193869847535E-2</v>
      </c>
      <c r="E131" s="25">
        <f>'Daily Returns'!E131</f>
        <v>-2.9967012439887208E-2</v>
      </c>
    </row>
    <row r="132" spans="1:5" ht="15" customHeight="1" x14ac:dyDescent="0.3">
      <c r="A132" s="26">
        <f>'Daily Returns'!F132</f>
        <v>-9.5453372472534288E-3</v>
      </c>
      <c r="B132" s="26">
        <f>'Daily Returns'!B132</f>
        <v>-1.7769718948322744E-2</v>
      </c>
      <c r="C132" s="26">
        <f>'Daily Returns'!C132</f>
        <v>1.0108507881667039E-2</v>
      </c>
      <c r="D132" s="26">
        <f>'Daily Returns'!D132</f>
        <v>1.4605273272349955E-2</v>
      </c>
      <c r="E132" s="26">
        <f>'Daily Returns'!E132</f>
        <v>-4.0562133814068943E-3</v>
      </c>
    </row>
    <row r="133" spans="1:5" ht="15" customHeight="1" x14ac:dyDescent="0.3">
      <c r="A133" s="25">
        <f>'Daily Returns'!F133</f>
        <v>3.0355598710206633E-3</v>
      </c>
      <c r="B133" s="25">
        <f>'Daily Returns'!B133</f>
        <v>-1.3537628453633554E-3</v>
      </c>
      <c r="C133" s="25">
        <f>'Daily Returns'!C133</f>
        <v>2.032199879751476E-2</v>
      </c>
      <c r="D133" s="25">
        <f>'Daily Returns'!D133</f>
        <v>-1.878930221986528E-2</v>
      </c>
      <c r="E133" s="25">
        <f>'Daily Returns'!E133</f>
        <v>-1.1518841533651519E-2</v>
      </c>
    </row>
    <row r="134" spans="1:5" ht="15" customHeight="1" x14ac:dyDescent="0.3">
      <c r="A134" s="26">
        <f>'Daily Returns'!F134</f>
        <v>1.115503679043302E-3</v>
      </c>
      <c r="B134" s="26">
        <f>'Daily Returns'!B134</f>
        <v>4.7445930125085359E-3</v>
      </c>
      <c r="C134" s="26">
        <f>'Daily Returns'!C134</f>
        <v>-2.7394390173637432E-2</v>
      </c>
      <c r="D134" s="26">
        <f>'Daily Returns'!D134</f>
        <v>3.551849278048089E-3</v>
      </c>
      <c r="E134" s="26">
        <f>'Daily Returns'!E134</f>
        <v>-1.4233394373231179E-2</v>
      </c>
    </row>
    <row r="135" spans="1:5" ht="15" customHeight="1" x14ac:dyDescent="0.3">
      <c r="A135" s="25">
        <f>'Daily Returns'!F135</f>
        <v>2.6156026975903564E-3</v>
      </c>
      <c r="B135" s="25">
        <f>'Daily Returns'!B135</f>
        <v>2.4530847540782535E-2</v>
      </c>
      <c r="C135" s="25">
        <f>'Daily Returns'!C135</f>
        <v>-4.5372539515846789E-3</v>
      </c>
      <c r="D135" s="25">
        <f>'Daily Returns'!D135</f>
        <v>1.0617834884973421E-2</v>
      </c>
      <c r="E135" s="25">
        <f>'Daily Returns'!E135</f>
        <v>-1.7225365194629791E-2</v>
      </c>
    </row>
    <row r="136" spans="1:5" ht="15" customHeight="1" x14ac:dyDescent="0.3">
      <c r="A136" s="26">
        <f>'Daily Returns'!F136</f>
        <v>6.9980464235619433E-3</v>
      </c>
      <c r="B136" s="26">
        <f>'Daily Returns'!B136</f>
        <v>-2.298575362145339E-2</v>
      </c>
      <c r="C136" s="26">
        <f>'Daily Returns'!C136</f>
        <v>8.5207676805928762E-4</v>
      </c>
      <c r="D136" s="26">
        <f>'Daily Returns'!D136</f>
        <v>1.2257327750285601E-2</v>
      </c>
      <c r="E136" s="26">
        <f>'Daily Returns'!E136</f>
        <v>-3.7460262909184631E-2</v>
      </c>
    </row>
    <row r="137" spans="1:5" ht="15" customHeight="1" x14ac:dyDescent="0.3">
      <c r="A137" s="25">
        <f>'Daily Returns'!F137</f>
        <v>1.3934882231190987E-2</v>
      </c>
      <c r="B137" s="25">
        <f>'Daily Returns'!B137</f>
        <v>1.409141036637674E-2</v>
      </c>
      <c r="C137" s="25">
        <f>'Daily Returns'!C137</f>
        <v>2.0405405405405281E-3</v>
      </c>
      <c r="D137" s="25">
        <f>'Daily Returns'!D137</f>
        <v>6.242478941034778E-3</v>
      </c>
      <c r="E137" s="25">
        <f>'Daily Returns'!E137</f>
        <v>2.3877532803713266E-2</v>
      </c>
    </row>
    <row r="138" spans="1:5" ht="15" customHeight="1" x14ac:dyDescent="0.3">
      <c r="A138" s="26">
        <f>'Daily Returns'!F138</f>
        <v>-1.1555487011214933E-2</v>
      </c>
      <c r="B138" s="26">
        <f>'Daily Returns'!B138</f>
        <v>8.4581923634604716E-3</v>
      </c>
      <c r="C138" s="26">
        <f>'Daily Returns'!C138</f>
        <v>1.5293118096856458E-2</v>
      </c>
      <c r="D138" s="26">
        <f>'Daily Returns'!D138</f>
        <v>-1.8536512444876224E-2</v>
      </c>
      <c r="E138" s="26">
        <f>'Daily Returns'!E138</f>
        <v>-3.530796390741477E-3</v>
      </c>
    </row>
    <row r="139" spans="1:5" ht="15" customHeight="1" x14ac:dyDescent="0.3">
      <c r="A139" s="25">
        <f>'Daily Returns'!F139</f>
        <v>-7.3552649219308184E-3</v>
      </c>
      <c r="B139" s="25">
        <f>'Daily Returns'!B139</f>
        <v>2.1567217828900209E-2</v>
      </c>
      <c r="C139" s="25">
        <f>'Daily Returns'!C139</f>
        <v>2.7097031281131216E-3</v>
      </c>
      <c r="D139" s="25">
        <f>'Daily Returns'!D139</f>
        <v>8.9102124742973694E-3</v>
      </c>
      <c r="E139" s="25">
        <f>'Daily Returns'!E139</f>
        <v>-2.8871391076115338E-3</v>
      </c>
    </row>
    <row r="140" spans="1:5" ht="15" customHeight="1" x14ac:dyDescent="0.3">
      <c r="A140" s="26">
        <f>'Daily Returns'!F140</f>
        <v>1.2540786686315404E-2</v>
      </c>
      <c r="B140" s="26">
        <f>'Daily Returns'!B140</f>
        <v>1.0204081632652948E-2</v>
      </c>
      <c r="C140" s="26">
        <f>'Daily Returns'!C140</f>
        <v>-9.6305421982010378E-3</v>
      </c>
      <c r="D140" s="26">
        <f>'Daily Returns'!D140</f>
        <v>-1.736111111111034E-3</v>
      </c>
      <c r="E140" s="26">
        <f>'Daily Returns'!E140</f>
        <v>9.9587610774765738E-3</v>
      </c>
    </row>
    <row r="141" spans="1:5" ht="15" customHeight="1" x14ac:dyDescent="0.3">
      <c r="A141" s="25">
        <f>'Daily Returns'!F141</f>
        <v>1.3829833944188968E-3</v>
      </c>
      <c r="B141" s="25">
        <f>'Daily Returns'!B141</f>
        <v>1.0449320794148776E-3</v>
      </c>
      <c r="C141" s="25">
        <f>'Daily Returns'!C141</f>
        <v>-1.9020357935849799E-2</v>
      </c>
      <c r="D141" s="25">
        <f>'Daily Returns'!D141</f>
        <v>-1.5047258979206118E-2</v>
      </c>
      <c r="E141" s="25">
        <f>'Daily Returns'!E141</f>
        <v>2.0589896181747017E-2</v>
      </c>
    </row>
    <row r="142" spans="1:5" ht="15" customHeight="1" x14ac:dyDescent="0.3">
      <c r="A142" s="26">
        <f>'Daily Returns'!F142</f>
        <v>2.4865970837865078E-3</v>
      </c>
      <c r="B142" s="26">
        <f>'Daily Returns'!B142</f>
        <v>-6.9009510554395598E-3</v>
      </c>
      <c r="C142" s="26">
        <f>'Daily Returns'!C142</f>
        <v>-3.1592582492500625E-2</v>
      </c>
      <c r="D142" s="26">
        <f>'Daily Returns'!D142</f>
        <v>-3.0861354214647599E-2</v>
      </c>
      <c r="E142" s="26">
        <f>'Daily Returns'!E142</f>
        <v>2.5750159608427376E-2</v>
      </c>
    </row>
    <row r="143" spans="1:5" ht="15" customHeight="1" x14ac:dyDescent="0.3">
      <c r="A143" s="25">
        <f>'Daily Returns'!F143</f>
        <v>1.4089070336524566E-2</v>
      </c>
      <c r="B143" s="25">
        <f>'Daily Returns'!B143</f>
        <v>-1.6992700729926986E-2</v>
      </c>
      <c r="C143" s="25">
        <f>'Daily Returns'!C143</f>
        <v>-5.9417371837292531E-3</v>
      </c>
      <c r="D143" s="25">
        <f>'Daily Returns'!D143</f>
        <v>7.4461343472751263E-3</v>
      </c>
      <c r="E143" s="25">
        <f>'Daily Returns'!E143</f>
        <v>-7.6763485477178185E-3</v>
      </c>
    </row>
    <row r="144" spans="1:5" ht="15" customHeight="1" x14ac:dyDescent="0.3">
      <c r="A144" s="26">
        <f>'Daily Returns'!F144</f>
        <v>-2.0438937371490135E-2</v>
      </c>
      <c r="B144" s="26">
        <f>'Daily Returns'!B144</f>
        <v>3.0295829868123496E-3</v>
      </c>
      <c r="C144" s="26">
        <f>'Daily Returns'!C144</f>
        <v>8.4984631945726372E-4</v>
      </c>
      <c r="D144" s="26">
        <f>'Daily Returns'!D144</f>
        <v>-2.4060386853278833E-2</v>
      </c>
      <c r="E144" s="26">
        <f>'Daily Returns'!E144</f>
        <v>4.014217018607602E-3</v>
      </c>
    </row>
    <row r="145" spans="1:5" ht="15" customHeight="1" x14ac:dyDescent="0.3">
      <c r="A145" s="25">
        <f>'Daily Returns'!F145</f>
        <v>1.7266387918724469E-2</v>
      </c>
      <c r="B145" s="25">
        <f>'Daily Returns'!B145</f>
        <v>-2.3097423748888739E-3</v>
      </c>
      <c r="C145" s="25">
        <f>'Daily Returns'!C145</f>
        <v>1.6840973096899248E-2</v>
      </c>
      <c r="D145" s="25">
        <f>'Daily Returns'!D145</f>
        <v>-2.6426039316790211E-2</v>
      </c>
      <c r="E145" s="25">
        <f>'Daily Returns'!E145</f>
        <v>-1.6617383699137931E-2</v>
      </c>
    </row>
    <row r="146" spans="1:5" ht="15" customHeight="1" x14ac:dyDescent="0.3">
      <c r="A146" s="26">
        <f>'Daily Returns'!F146</f>
        <v>2.6006762004280475E-3</v>
      </c>
      <c r="B146" s="26">
        <f>'Daily Returns'!B146</f>
        <v>2.8315327080612501E-2</v>
      </c>
      <c r="C146" s="26">
        <f>'Daily Returns'!C146</f>
        <v>-6.0681131786614155E-3</v>
      </c>
      <c r="D146" s="26">
        <f>'Daily Returns'!D146</f>
        <v>2.7888116517709286E-2</v>
      </c>
      <c r="E146" s="26">
        <f>'Daily Returns'!E146</f>
        <v>1.4314755209215633E-2</v>
      </c>
    </row>
    <row r="147" spans="1:5" ht="15" customHeight="1" x14ac:dyDescent="0.3">
      <c r="A147" s="25">
        <f>'Daily Returns'!F147</f>
        <v>-1.4095979101245468E-2</v>
      </c>
      <c r="B147" s="25">
        <f>'Daily Returns'!B147</f>
        <v>-8.1971944813253334E-3</v>
      </c>
      <c r="C147" s="25">
        <f>'Daily Returns'!C147</f>
        <v>4.1587901701323315E-2</v>
      </c>
      <c r="D147" s="25">
        <f>'Daily Returns'!D147</f>
        <v>-1.8517027614523767E-2</v>
      </c>
      <c r="E147" s="25">
        <f>'Daily Returns'!E147</f>
        <v>8.7682672233823787E-4</v>
      </c>
    </row>
    <row r="148" spans="1:5" ht="15" customHeight="1" x14ac:dyDescent="0.3">
      <c r="A148" s="26">
        <f>'Daily Returns'!F148</f>
        <v>1.411468602636951E-2</v>
      </c>
      <c r="B148" s="26">
        <f>'Daily Returns'!B148</f>
        <v>4.7727140445840942E-3</v>
      </c>
      <c r="C148" s="26">
        <f>'Daily Returns'!C148</f>
        <v>-7.5283995429193935E-4</v>
      </c>
      <c r="D148" s="26">
        <f>'Daily Returns'!D148</f>
        <v>-6.2341071282092601E-3</v>
      </c>
      <c r="E148" s="26">
        <f>'Daily Returns'!E148</f>
        <v>1.7646322639856452E-2</v>
      </c>
    </row>
    <row r="149" spans="1:5" ht="15" customHeight="1" x14ac:dyDescent="0.3">
      <c r="A149" s="25">
        <f>'Daily Returns'!F149</f>
        <v>2.0745769676486048E-2</v>
      </c>
      <c r="B149" s="25">
        <f>'Daily Returns'!B149</f>
        <v>-2.1433122863928566E-2</v>
      </c>
      <c r="C149" s="25">
        <f>'Daily Returns'!C149</f>
        <v>-7.9242287666993864E-3</v>
      </c>
      <c r="D149" s="25">
        <f>'Daily Returns'!D149</f>
        <v>1.5683037556747646E-3</v>
      </c>
      <c r="E149" s="25">
        <f>'Daily Returns'!E149</f>
        <v>1.6110518980077097E-2</v>
      </c>
    </row>
    <row r="150" spans="1:5" ht="15" customHeight="1" x14ac:dyDescent="0.3">
      <c r="A150" s="26">
        <f>'Daily Returns'!F150</f>
        <v>1.7434028974385087E-2</v>
      </c>
      <c r="B150" s="26">
        <f>'Daily Returns'!B150</f>
        <v>-5.1500621559225981E-3</v>
      </c>
      <c r="C150" s="26">
        <f>'Daily Returns'!C150</f>
        <v>7.2959045294277132E-3</v>
      </c>
      <c r="D150" s="26">
        <f>'Daily Returns'!D150</f>
        <v>1.4834349761001532E-3</v>
      </c>
      <c r="E150" s="26">
        <f>'Daily Returns'!E150</f>
        <v>1.5249929398475011E-2</v>
      </c>
    </row>
    <row r="151" spans="1:5" ht="15" customHeight="1" x14ac:dyDescent="0.3">
      <c r="A151" s="25">
        <f>'Daily Returns'!F151</f>
        <v>-2.4929936278122104E-3</v>
      </c>
      <c r="B151" s="25">
        <f>'Daily Returns'!B151</f>
        <v>3.9271688682613153E-3</v>
      </c>
      <c r="C151" s="25">
        <f>'Daily Returns'!C151</f>
        <v>-1.6519023129324944E-2</v>
      </c>
      <c r="D151" s="25">
        <f>'Daily Returns'!D151</f>
        <v>-1.563528637261349E-2</v>
      </c>
      <c r="E151" s="25">
        <f>'Daily Returns'!E151</f>
        <v>1.0609974170474816E-2</v>
      </c>
    </row>
    <row r="152" spans="1:5" ht="15" customHeight="1" x14ac:dyDescent="0.3">
      <c r="A152" s="26">
        <f>'Daily Returns'!F152</f>
        <v>8.262531529198449E-3</v>
      </c>
      <c r="B152" s="26">
        <f>'Daily Returns'!B152</f>
        <v>1.1735419630156412E-2</v>
      </c>
      <c r="C152" s="26">
        <f>'Daily Returns'!C152</f>
        <v>4.2846778278189147E-3</v>
      </c>
      <c r="D152" s="26">
        <f>'Daily Returns'!D152</f>
        <v>-1.0784149807724512E-2</v>
      </c>
      <c r="E152" s="26">
        <f>'Daily Returns'!E152</f>
        <v>2.1233092167349029E-3</v>
      </c>
    </row>
    <row r="153" spans="1:5" ht="15" customHeight="1" x14ac:dyDescent="0.3">
      <c r="A153" s="25">
        <f>'Daily Returns'!F153</f>
        <v>6.4460652885987421E-3</v>
      </c>
      <c r="B153" s="25">
        <f>'Daily Returns'!B153</f>
        <v>2.0386643233743517E-2</v>
      </c>
      <c r="C153" s="25">
        <f>'Daily Returns'!C153</f>
        <v>-3.5821383784962614E-2</v>
      </c>
      <c r="D153" s="25">
        <f>'Daily Returns'!D153</f>
        <v>1.3098960534099528E-2</v>
      </c>
      <c r="E153" s="25">
        <f>'Daily Returns'!E153</f>
        <v>-2.2993015773365821E-2</v>
      </c>
    </row>
    <row r="154" spans="1:5" ht="15" customHeight="1" x14ac:dyDescent="0.3">
      <c r="A154" s="26">
        <f>'Daily Returns'!F154</f>
        <v>-1.5167698668957457E-2</v>
      </c>
      <c r="B154" s="26">
        <f>'Daily Returns'!B154</f>
        <v>-2.870593638765149E-4</v>
      </c>
      <c r="C154" s="26">
        <f>'Daily Returns'!C154</f>
        <v>1.2525446731508728E-2</v>
      </c>
      <c r="D154" s="26">
        <f>'Daily Returns'!D154</f>
        <v>-4.004004004003919E-3</v>
      </c>
      <c r="E154" s="26">
        <f>'Daily Returns'!E154</f>
        <v>6.7068273092368976E-3</v>
      </c>
    </row>
    <row r="155" spans="1:5" ht="15" customHeight="1" x14ac:dyDescent="0.3">
      <c r="A155" s="25">
        <f>'Daily Returns'!F155</f>
        <v>2.9415026102040512E-2</v>
      </c>
      <c r="B155" s="25">
        <f>'Daily Returns'!B155</f>
        <v>-1.5161086544535613E-2</v>
      </c>
      <c r="C155" s="25">
        <f>'Daily Returns'!C155</f>
        <v>1.7731981793303478E-3</v>
      </c>
      <c r="D155" s="25">
        <f>'Daily Returns'!D155</f>
        <v>0</v>
      </c>
      <c r="E155" s="25">
        <f>'Daily Returns'!E155</f>
        <v>3.2273507001236698E-2</v>
      </c>
    </row>
    <row r="156" spans="1:5" ht="15" customHeight="1" x14ac:dyDescent="0.3">
      <c r="A156" s="26">
        <f>'Daily Returns'!F156</f>
        <v>-1.0903035887679597E-2</v>
      </c>
      <c r="B156" s="26">
        <f>'Daily Returns'!B156</f>
        <v>6.6476179369058625E-3</v>
      </c>
      <c r="C156" s="26">
        <f>'Daily Returns'!C156</f>
        <v>4.3066802324771523E-3</v>
      </c>
      <c r="D156" s="26">
        <f>'Daily Returns'!D156</f>
        <v>-3.3668341708542798E-2</v>
      </c>
      <c r="E156" s="26">
        <f>'Daily Returns'!E156</f>
        <v>-7.7291698871541203E-3</v>
      </c>
    </row>
    <row r="157" spans="1:5" ht="15" customHeight="1" x14ac:dyDescent="0.3">
      <c r="A157" s="25">
        <f>'Daily Returns'!F157</f>
        <v>2.378118098716879E-2</v>
      </c>
      <c r="B157" s="25">
        <f>'Daily Returns'!B157</f>
        <v>7.472629322829126E-3</v>
      </c>
      <c r="C157" s="25">
        <f>'Daily Returns'!C157</f>
        <v>3.3306503094728927E-3</v>
      </c>
      <c r="D157" s="25">
        <f>'Daily Returns'!D157</f>
        <v>-8.5803432137285043E-3</v>
      </c>
      <c r="E157" s="25">
        <f>'Daily Returns'!E157</f>
        <v>-1.2307212961520474E-2</v>
      </c>
    </row>
    <row r="158" spans="1:5" ht="15" customHeight="1" x14ac:dyDescent="0.3">
      <c r="A158" s="26">
        <f>'Daily Returns'!F158</f>
        <v>1.8013856637709669E-5</v>
      </c>
      <c r="B158" s="26">
        <f>'Daily Returns'!B158</f>
        <v>7.1297148114075962E-3</v>
      </c>
      <c r="C158" s="26">
        <f>'Daily Returns'!C158</f>
        <v>-2.1867824836095132E-2</v>
      </c>
      <c r="D158" s="26">
        <f>'Daily Returns'!D158</f>
        <v>1.3899816417519044E-2</v>
      </c>
      <c r="E158" s="26">
        <f>'Daily Returns'!E158</f>
        <v>1.2145110410094686E-2</v>
      </c>
    </row>
    <row r="159" spans="1:5" ht="15" customHeight="1" x14ac:dyDescent="0.3">
      <c r="A159" s="25">
        <f>'Daily Returns'!F159</f>
        <v>3.3675824303972444E-3</v>
      </c>
      <c r="B159" s="25">
        <f>'Daily Returns'!B159</f>
        <v>-9.3628682347567157E-3</v>
      </c>
      <c r="C159" s="25">
        <f>'Daily Returns'!C159</f>
        <v>-1.5258000197972148E-2</v>
      </c>
      <c r="D159" s="25">
        <f>'Daily Returns'!D159</f>
        <v>-1.1122607346094208E-2</v>
      </c>
      <c r="E159" s="25">
        <f>'Daily Returns'!E159</f>
        <v>3.2102228455664676E-2</v>
      </c>
    </row>
    <row r="160" spans="1:5" ht="15" customHeight="1" x14ac:dyDescent="0.3">
      <c r="A160" s="26">
        <f>'Daily Returns'!F160</f>
        <v>-2.5277927754186144E-3</v>
      </c>
      <c r="B160" s="26">
        <f>'Daily Returns'!B160</f>
        <v>1.6021207929921628E-2</v>
      </c>
      <c r="C160" s="26">
        <f>'Daily Returns'!C160</f>
        <v>2.821735259484761E-2</v>
      </c>
      <c r="D160" s="26">
        <f>'Daily Returns'!D160</f>
        <v>-1.456099049611999E-2</v>
      </c>
      <c r="E160" s="26">
        <f>'Daily Returns'!E160</f>
        <v>-1.9175600181186928E-2</v>
      </c>
    </row>
    <row r="161" spans="1:5" ht="15" customHeight="1" x14ac:dyDescent="0.3">
      <c r="A161" s="25">
        <f>'Daily Returns'!F161</f>
        <v>1.6213491084171333E-2</v>
      </c>
      <c r="B161" s="25">
        <f>'Daily Returns'!B161</f>
        <v>1.5314804310832774E-3</v>
      </c>
      <c r="C161" s="25">
        <f>'Daily Returns'!C161</f>
        <v>9.3152521542394489E-3</v>
      </c>
      <c r="D161" s="25">
        <f>'Daily Returns'!D161</f>
        <v>6.2820739692090602E-3</v>
      </c>
      <c r="E161" s="25">
        <f>'Daily Returns'!E161</f>
        <v>-4.5181650246305348E-2</v>
      </c>
    </row>
    <row r="162" spans="1:5" ht="15" customHeight="1" x14ac:dyDescent="0.3">
      <c r="A162" s="26">
        <f>'Daily Returns'!F162</f>
        <v>2.0649076443363112E-2</v>
      </c>
      <c r="B162" s="26">
        <f>'Daily Returns'!B162</f>
        <v>1.0024352947839443E-2</v>
      </c>
      <c r="C162" s="26">
        <f>'Daily Returns'!C162</f>
        <v>-9.9349660993497488E-3</v>
      </c>
      <c r="D162" s="26">
        <f>'Daily Returns'!D162</f>
        <v>9.8478853424777135E-3</v>
      </c>
      <c r="E162" s="26">
        <f>'Daily Returns'!E162</f>
        <v>-1.1164852881902386E-2</v>
      </c>
    </row>
    <row r="163" spans="1:5" ht="15" customHeight="1" x14ac:dyDescent="0.3">
      <c r="A163" s="25">
        <f>'Daily Returns'!F163</f>
        <v>2.4164622656329504E-3</v>
      </c>
      <c r="B163" s="25">
        <f>'Daily Returns'!B163</f>
        <v>1.7999327127957876E-2</v>
      </c>
      <c r="C163" s="25">
        <f>'Daily Returns'!C163</f>
        <v>8.0221377459749679E-3</v>
      </c>
      <c r="D163" s="25">
        <f>'Daily Returns'!D163</f>
        <v>5.659555942533789E-3</v>
      </c>
      <c r="E163" s="25">
        <f>'Daily Returns'!E163</f>
        <v>2.3641625565564098E-3</v>
      </c>
    </row>
    <row r="164" spans="1:5" ht="15" customHeight="1" x14ac:dyDescent="0.3">
      <c r="A164" s="26">
        <f>'Daily Returns'!F164</f>
        <v>-6.7477428408417002E-3</v>
      </c>
      <c r="B164" s="26">
        <f>'Daily Returns'!B164</f>
        <v>8.757917928945055E-3</v>
      </c>
      <c r="C164" s="26">
        <f>'Daily Returns'!C164</f>
        <v>7.7919196960874086E-3</v>
      </c>
      <c r="D164" s="26">
        <f>'Daily Returns'!D164</f>
        <v>-8.5714285714285268E-3</v>
      </c>
      <c r="E164" s="26">
        <f>'Daily Returns'!E164</f>
        <v>-2.1959253385384573E-3</v>
      </c>
    </row>
    <row r="165" spans="1:5" ht="15" customHeight="1" x14ac:dyDescent="0.3">
      <c r="A165" s="25">
        <f>'Daily Returns'!F165</f>
        <v>-7.5610042029224597E-3</v>
      </c>
      <c r="B165" s="25">
        <f>'Daily Returns'!B165</f>
        <v>4.2590368024462222E-3</v>
      </c>
      <c r="C165" s="25">
        <f>'Daily Returns'!C165</f>
        <v>3.5067686550737408E-2</v>
      </c>
      <c r="D165" s="25">
        <f>'Daily Returns'!D165</f>
        <v>1.2226006462317626E-2</v>
      </c>
      <c r="E165" s="25">
        <f>'Daily Returns'!E165</f>
        <v>-4.44227085625791E-3</v>
      </c>
    </row>
    <row r="166" spans="1:5" ht="15" customHeight="1" x14ac:dyDescent="0.3">
      <c r="A166" s="26">
        <f>'Daily Returns'!F166</f>
        <v>7.9635560876218699E-3</v>
      </c>
      <c r="B166" s="26">
        <f>'Daily Returns'!B166</f>
        <v>3.0176163549369354E-2</v>
      </c>
      <c r="C166" s="26">
        <f>'Daily Returns'!C166</f>
        <v>2.0176243071892752E-2</v>
      </c>
      <c r="D166" s="26">
        <f>'Daily Returns'!D166</f>
        <v>2.6054697610214912E-2</v>
      </c>
      <c r="E166" s="26">
        <f>'Daily Returns'!E166</f>
        <v>-9.0469952513509422E-3</v>
      </c>
    </row>
    <row r="167" spans="1:5" ht="15" customHeight="1" x14ac:dyDescent="0.3">
      <c r="A167" s="25">
        <f>'Daily Returns'!F167</f>
        <v>-2.4888874053960043E-2</v>
      </c>
      <c r="B167" s="25">
        <f>'Daily Returns'!B167</f>
        <v>3.6945162822609838E-3</v>
      </c>
      <c r="C167" s="25">
        <f>'Daily Returns'!C167</f>
        <v>7.856165722102907E-3</v>
      </c>
      <c r="D167" s="25">
        <f>'Daily Returns'!D167</f>
        <v>1.8834608593290128E-2</v>
      </c>
      <c r="E167" s="25">
        <f>'Daily Returns'!E167</f>
        <v>-1.1732143594827956E-2</v>
      </c>
    </row>
    <row r="168" spans="1:5" ht="15" customHeight="1" x14ac:dyDescent="0.3">
      <c r="A168" s="26">
        <f>'Daily Returns'!F168</f>
        <v>-1.7876058325847696E-2</v>
      </c>
      <c r="B168" s="26">
        <f>'Daily Returns'!B168</f>
        <v>-3.7860861334595305E-3</v>
      </c>
      <c r="C168" s="26">
        <f>'Daily Returns'!C168</f>
        <v>-7.3295586752502298E-3</v>
      </c>
      <c r="D168" s="26">
        <f>'Daily Returns'!D168</f>
        <v>-2.4263431542460988E-2</v>
      </c>
      <c r="E168" s="26">
        <f>'Daily Returns'!E168</f>
        <v>-1.5173682230489469E-2</v>
      </c>
    </row>
    <row r="169" spans="1:5" ht="15" customHeight="1" x14ac:dyDescent="0.3">
      <c r="A169" s="25">
        <f>'Daily Returns'!F169</f>
        <v>4.7665163429845396E-4</v>
      </c>
      <c r="B169" s="25">
        <f>'Daily Returns'!B169</f>
        <v>1.8474531538665757E-3</v>
      </c>
      <c r="C169" s="25">
        <f>'Daily Returns'!C169</f>
        <v>3.2048026461434301E-2</v>
      </c>
      <c r="D169" s="25">
        <f>'Daily Returns'!D169</f>
        <v>4.6519495897826273E-2</v>
      </c>
      <c r="E169" s="25">
        <f>'Daily Returns'!E169</f>
        <v>7.300509337860776E-3</v>
      </c>
    </row>
    <row r="170" spans="1:5" ht="15" customHeight="1" x14ac:dyDescent="0.3">
      <c r="A170" s="26">
        <f>'Daily Returns'!F170</f>
        <v>3.8424051151419543E-3</v>
      </c>
      <c r="B170" s="26">
        <f>'Daily Returns'!B170</f>
        <v>2.0864067439409797E-2</v>
      </c>
      <c r="C170" s="26">
        <f>'Daily Returns'!C170</f>
        <v>-1.186089940947788E-3</v>
      </c>
      <c r="D170" s="26">
        <f>'Daily Returns'!D170</f>
        <v>-2.0447749131172723E-2</v>
      </c>
      <c r="E170" s="26">
        <f>'Daily Returns'!E170</f>
        <v>1.1292769256699843E-2</v>
      </c>
    </row>
    <row r="171" spans="1:5" ht="15" customHeight="1" x14ac:dyDescent="0.3">
      <c r="A171" s="25">
        <f>'Daily Returns'!F171</f>
        <v>-5.1184061645875682E-3</v>
      </c>
      <c r="B171" s="25">
        <f>'Daily Returns'!B171</f>
        <v>1.9611890999174002E-3</v>
      </c>
      <c r="C171" s="25">
        <f>'Daily Returns'!C171</f>
        <v>-1.4767932489451545E-2</v>
      </c>
      <c r="D171" s="25">
        <f>'Daily Returns'!D171</f>
        <v>-1.8894389438943945E-2</v>
      </c>
      <c r="E171" s="25">
        <f>'Daily Returns'!E171</f>
        <v>-2.950000000000005E-2</v>
      </c>
    </row>
    <row r="172" spans="1:5" ht="15" customHeight="1" x14ac:dyDescent="0.3">
      <c r="A172" s="26">
        <f>'Daily Returns'!F172</f>
        <v>-4.5335341422806184E-3</v>
      </c>
      <c r="B172" s="26">
        <f>'Daily Returns'!B172</f>
        <v>7.5203461419594527E-3</v>
      </c>
      <c r="C172" s="26">
        <f>'Daily Returns'!C172</f>
        <v>-2.0926028029593837E-2</v>
      </c>
      <c r="D172" s="26">
        <f>'Daily Returns'!D172</f>
        <v>5.1299301993103985E-3</v>
      </c>
      <c r="E172" s="26">
        <f>'Daily Returns'!E172</f>
        <v>3.0396702730551318E-2</v>
      </c>
    </row>
    <row r="173" spans="1:5" ht="15" customHeight="1" x14ac:dyDescent="0.3">
      <c r="A173" s="25">
        <f>'Daily Returns'!F173</f>
        <v>-1.9167836787282906E-2</v>
      </c>
      <c r="B173" s="25">
        <f>'Daily Returns'!B173</f>
        <v>1.6922290388548068E-2</v>
      </c>
      <c r="C173" s="25">
        <f>'Daily Returns'!C173</f>
        <v>-1.4615555875689303E-2</v>
      </c>
      <c r="D173" s="25">
        <f>'Daily Returns'!D173</f>
        <v>-1.0876840696117424E-3</v>
      </c>
      <c r="E173" s="25">
        <f>'Daily Returns'!E173</f>
        <v>8.7916666666667236E-3</v>
      </c>
    </row>
    <row r="174" spans="1:5" ht="15" customHeight="1" x14ac:dyDescent="0.3">
      <c r="A174" s="26">
        <f>'Daily Returns'!F174</f>
        <v>-4.0676411705274675E-3</v>
      </c>
      <c r="B174" s="26">
        <f>'Daily Returns'!B174</f>
        <v>-6.8372630838066722E-3</v>
      </c>
      <c r="C174" s="26">
        <f>'Daily Returns'!C174</f>
        <v>-5.8212942411716958E-3</v>
      </c>
      <c r="D174" s="26">
        <f>'Daily Returns'!D174</f>
        <v>6.1144149426250434E-3</v>
      </c>
      <c r="E174" s="26">
        <f>'Daily Returns'!E174</f>
        <v>1.0945438024038566E-2</v>
      </c>
    </row>
    <row r="175" spans="1:5" ht="15" customHeight="1" x14ac:dyDescent="0.3">
      <c r="A175" s="25">
        <f>'Daily Returns'!F175</f>
        <v>-1.401954537095768E-3</v>
      </c>
      <c r="B175" s="25">
        <f>'Daily Returns'!B175</f>
        <v>-2.3588964819033283E-2</v>
      </c>
      <c r="C175" s="25">
        <f>'Daily Returns'!C175</f>
        <v>1.4090343970161729E-2</v>
      </c>
      <c r="D175" s="25">
        <f>'Daily Returns'!D175</f>
        <v>2.1062271062271071E-2</v>
      </c>
      <c r="E175" s="25">
        <f>'Daily Returns'!E175</f>
        <v>-4.861905540120926E-3</v>
      </c>
    </row>
    <row r="176" spans="1:5" ht="15" customHeight="1" x14ac:dyDescent="0.3">
      <c r="A176" s="26">
        <f>'Daily Returns'!F176</f>
        <v>3.670568228515149E-3</v>
      </c>
      <c r="B176" s="26">
        <f>'Daily Returns'!B176</f>
        <v>4.4584996630204453E-3</v>
      </c>
      <c r="C176" s="26">
        <f>'Daily Returns'!C176</f>
        <v>1.6702479665686696E-2</v>
      </c>
      <c r="D176" s="26">
        <f>'Daily Returns'!D176</f>
        <v>1.508357113738275E-2</v>
      </c>
      <c r="E176" s="26">
        <f>'Daily Returns'!E176</f>
        <v>5.2962187461510881E-3</v>
      </c>
    </row>
    <row r="177" spans="1:5" ht="15" customHeight="1" x14ac:dyDescent="0.3">
      <c r="A177" s="25">
        <f>'Daily Returns'!F177</f>
        <v>6.8669046816049401E-3</v>
      </c>
      <c r="B177" s="25">
        <f>'Daily Returns'!B177</f>
        <v>3.5096774193548739E-3</v>
      </c>
      <c r="C177" s="25">
        <f>'Daily Returns'!C177</f>
        <v>2.0901405528758889E-2</v>
      </c>
      <c r="D177" s="25">
        <f>'Daily Returns'!D177</f>
        <v>-1.3734939759036094E-2</v>
      </c>
      <c r="E177" s="25">
        <f>'Daily Returns'!E177</f>
        <v>-2.074654904843589E-2</v>
      </c>
    </row>
    <row r="178" spans="1:5" ht="15" customHeight="1" x14ac:dyDescent="0.3">
      <c r="A178" s="26">
        <f>'Daily Returns'!F178</f>
        <v>-2.173247287029733E-2</v>
      </c>
      <c r="B178" s="26">
        <f>'Daily Returns'!B178</f>
        <v>-8.1263179550481526E-3</v>
      </c>
      <c r="C178" s="26">
        <f>'Daily Returns'!C178</f>
        <v>3.2894736842105669E-3</v>
      </c>
      <c r="D178" s="26">
        <f>'Daily Returns'!D178</f>
        <v>1.5473572766511745E-3</v>
      </c>
      <c r="E178" s="26">
        <f>'Daily Returns'!E178</f>
        <v>3.0402869296855418E-2</v>
      </c>
    </row>
    <row r="179" spans="1:5" ht="15" customHeight="1" x14ac:dyDescent="0.3">
      <c r="A179" s="25">
        <f>'Daily Returns'!F179</f>
        <v>1.8101475354294135E-2</v>
      </c>
      <c r="B179" s="25">
        <f>'Daily Returns'!B179</f>
        <v>1.2393051594503577E-2</v>
      </c>
      <c r="C179" s="25">
        <f>'Daily Returns'!C179</f>
        <v>1.526678903728077E-2</v>
      </c>
      <c r="D179" s="25">
        <f>'Daily Returns'!D179</f>
        <v>1.634412099528371E-2</v>
      </c>
      <c r="E179" s="25">
        <f>'Daily Returns'!E179</f>
        <v>2.7198769579471403E-2</v>
      </c>
    </row>
    <row r="180" spans="1:5" ht="15" customHeight="1" x14ac:dyDescent="0.3">
      <c r="A180" s="26">
        <f>'Daily Returns'!F180</f>
        <v>-2.3587150639806882E-2</v>
      </c>
      <c r="B180" s="26">
        <f>'Daily Returns'!B180</f>
        <v>8.7584511370619716E-3</v>
      </c>
      <c r="C180" s="26">
        <f>'Daily Returns'!C180</f>
        <v>4.0435904789217172E-2</v>
      </c>
      <c r="D180" s="26">
        <f>'Daily Returns'!D180</f>
        <v>1.6961356908552723E-2</v>
      </c>
      <c r="E180" s="26">
        <f>'Daily Returns'!E180</f>
        <v>-4.0584735411166757E-3</v>
      </c>
    </row>
    <row r="181" spans="1:5" ht="15" customHeight="1" x14ac:dyDescent="0.3">
      <c r="A181" s="25">
        <f>'Daily Returns'!F181</f>
        <v>6.2121069709114417E-3</v>
      </c>
      <c r="B181" s="25">
        <f>'Daily Returns'!B181</f>
        <v>-1.3455191673013341E-2</v>
      </c>
      <c r="C181" s="25">
        <f>'Daily Returns'!C181</f>
        <v>1.6657878337567683E-2</v>
      </c>
      <c r="D181" s="25">
        <f>'Daily Returns'!D181</f>
        <v>1.809456376366924E-2</v>
      </c>
      <c r="E181" s="25">
        <f>'Daily Returns'!E181</f>
        <v>-2.4450071213799569E-2</v>
      </c>
    </row>
    <row r="182" spans="1:5" ht="15" customHeight="1" x14ac:dyDescent="0.3">
      <c r="A182" s="26">
        <f>'Daily Returns'!F182</f>
        <v>-4.7504240951090791E-3</v>
      </c>
      <c r="B182" s="26">
        <f>'Daily Returns'!B182</f>
        <v>7.46268656716412E-3</v>
      </c>
      <c r="C182" s="26">
        <f>'Daily Returns'!C182</f>
        <v>2.886814249003938E-2</v>
      </c>
      <c r="D182" s="26">
        <f>'Daily Returns'!D182</f>
        <v>1.3291090333049987E-2</v>
      </c>
      <c r="E182" s="26">
        <f>'Daily Returns'!E182</f>
        <v>-5.2721226376835559E-3</v>
      </c>
    </row>
    <row r="183" spans="1:5" ht="15" customHeight="1" x14ac:dyDescent="0.3">
      <c r="A183" s="25">
        <f>'Daily Returns'!F183</f>
        <v>1.1509985702765494E-2</v>
      </c>
      <c r="B183" s="25">
        <f>'Daily Returns'!B183</f>
        <v>-2.4010217113665331E-3</v>
      </c>
      <c r="C183" s="25">
        <f>'Daily Returns'!C183</f>
        <v>-2.6053183323213006E-2</v>
      </c>
      <c r="D183" s="25">
        <f>'Daily Returns'!D183</f>
        <v>1.1515290170060177E-2</v>
      </c>
      <c r="E183" s="25">
        <f>'Daily Returns'!E183</f>
        <v>1.1619373776908E-2</v>
      </c>
    </row>
    <row r="184" spans="1:5" ht="15" customHeight="1" x14ac:dyDescent="0.3">
      <c r="A184" s="26">
        <f>'Daily Returns'!F184</f>
        <v>6.6176005532479036E-3</v>
      </c>
      <c r="B184" s="26">
        <f>'Daily Returns'!B184</f>
        <v>-2.0227365833674665E-2</v>
      </c>
      <c r="C184" s="26">
        <f>'Daily Returns'!C184</f>
        <v>-1.2492794880542064E-2</v>
      </c>
      <c r="D184" s="26">
        <f>'Daily Returns'!D184</f>
        <v>-7.6899879372736872E-3</v>
      </c>
      <c r="E184" s="26">
        <f>'Daily Returns'!E184</f>
        <v>-6.9721516946761363E-3</v>
      </c>
    </row>
    <row r="185" spans="1:5" ht="15" customHeight="1" x14ac:dyDescent="0.3">
      <c r="A185" s="25">
        <f>'Daily Returns'!F185</f>
        <v>-1.7906074553560157E-3</v>
      </c>
      <c r="B185" s="25">
        <f>'Daily Returns'!B185</f>
        <v>6.5854805832853752E-3</v>
      </c>
      <c r="C185" s="25">
        <f>'Daily Returns'!C185</f>
        <v>-1.2650839219984042E-2</v>
      </c>
      <c r="D185" s="25">
        <f>'Daily Returns'!D185</f>
        <v>-2.0361647166084233E-2</v>
      </c>
      <c r="E185" s="25">
        <f>'Daily Returns'!E185</f>
        <v>-1.4529220779220829E-2</v>
      </c>
    </row>
    <row r="186" spans="1:5" ht="15" customHeight="1" x14ac:dyDescent="0.3">
      <c r="A186" s="26">
        <f>'Daily Returns'!F186</f>
        <v>-3.1973436238705434E-3</v>
      </c>
      <c r="B186" s="26">
        <f>'Daily Returns'!B186</f>
        <v>-3.1154265538191117E-4</v>
      </c>
      <c r="C186" s="26">
        <f>'Daily Returns'!C186</f>
        <v>-4.66188091934608E-2</v>
      </c>
      <c r="D186" s="26">
        <f>'Daily Returns'!D186</f>
        <v>7.0575461454940019E-3</v>
      </c>
      <c r="E186" s="26">
        <f>'Daily Returns'!E186</f>
        <v>3.5005353759986588E-3</v>
      </c>
    </row>
    <row r="187" spans="1:5" ht="15" customHeight="1" x14ac:dyDescent="0.3">
      <c r="A187" s="25">
        <f>'Daily Returns'!F187</f>
        <v>-1.8531389004965131E-2</v>
      </c>
      <c r="B187" s="25">
        <f>'Daily Returns'!B187</f>
        <v>-9.972471822573041E-3</v>
      </c>
      <c r="C187" s="25">
        <f>'Daily Returns'!C187</f>
        <v>1.8982295845408181E-3</v>
      </c>
      <c r="D187" s="25">
        <f>'Daily Returns'!D187</f>
        <v>-6.70003850596846E-3</v>
      </c>
      <c r="E187" s="25">
        <f>'Daily Returns'!E187</f>
        <v>-1.6046292116386904E-2</v>
      </c>
    </row>
    <row r="188" spans="1:5" ht="15" customHeight="1" x14ac:dyDescent="0.3">
      <c r="A188" s="26">
        <f>'Daily Returns'!F188</f>
        <v>-6.6617763889957279E-4</v>
      </c>
      <c r="B188" s="26">
        <f>'Daily Returns'!B188</f>
        <v>7.5546928282881152E-3</v>
      </c>
      <c r="C188" s="26">
        <f>'Daily Returns'!C188</f>
        <v>2.5148097156787168E-2</v>
      </c>
      <c r="D188" s="26">
        <f>'Daily Returns'!D188</f>
        <v>1.9925569855791764E-2</v>
      </c>
      <c r="E188" s="26">
        <f>'Daily Returns'!E188</f>
        <v>2.5734067400734136E-2</v>
      </c>
    </row>
    <row r="189" spans="1:5" ht="15" customHeight="1" x14ac:dyDescent="0.3">
      <c r="A189" s="25">
        <f>'Daily Returns'!F189</f>
        <v>-7.929226286894726E-3</v>
      </c>
      <c r="B189" s="25">
        <f>'Daily Returns'!B189</f>
        <v>7.0814891955219223E-3</v>
      </c>
      <c r="C189" s="25">
        <f>'Daily Returns'!C189</f>
        <v>-8.8465045218204946E-3</v>
      </c>
      <c r="D189" s="25">
        <f>'Daily Returns'!D189</f>
        <v>-1.3302926643861648E-2</v>
      </c>
      <c r="E189" s="25">
        <f>'Daily Returns'!E189</f>
        <v>1.8338551620379746E-2</v>
      </c>
    </row>
    <row r="190" spans="1:5" ht="15" customHeight="1" x14ac:dyDescent="0.3">
      <c r="A190" s="26">
        <f>'Daily Returns'!F190</f>
        <v>-1.0335169277227775E-2</v>
      </c>
      <c r="B190" s="26">
        <f>'Daily Returns'!B190</f>
        <v>-7.7038415800631255E-3</v>
      </c>
      <c r="C190" s="26">
        <f>'Daily Returns'!C190</f>
        <v>4.0400775694893337E-3</v>
      </c>
      <c r="D190" s="26">
        <f>'Daily Returns'!D190</f>
        <v>-5.6240369799693234E-3</v>
      </c>
      <c r="E190" s="26">
        <f>'Daily Returns'!E190</f>
        <v>1.3017089921737706E-2</v>
      </c>
    </row>
    <row r="191" spans="1:5" ht="15" customHeight="1" x14ac:dyDescent="0.3">
      <c r="A191" s="25">
        <f>'Daily Returns'!F191</f>
        <v>-1.2310825052834228E-2</v>
      </c>
      <c r="B191" s="25">
        <f>'Daily Returns'!B191</f>
        <v>5.8878699458108788E-3</v>
      </c>
      <c r="C191" s="25">
        <f>'Daily Returns'!C191</f>
        <v>-1.446099369807731E-2</v>
      </c>
      <c r="D191" s="25">
        <f>'Daily Returns'!D191</f>
        <v>-6.3531417060509274E-3</v>
      </c>
      <c r="E191" s="25">
        <f>'Daily Returns'!E191</f>
        <v>-1.2889239258967213E-2</v>
      </c>
    </row>
    <row r="192" spans="1:5" ht="15" customHeight="1" x14ac:dyDescent="0.3">
      <c r="A192" s="26">
        <f>'Daily Returns'!F192</f>
        <v>4.6952519264888528E-4</v>
      </c>
      <c r="B192" s="26">
        <f>'Daily Returns'!B192</f>
        <v>1.4348614348614253E-2</v>
      </c>
      <c r="C192" s="26">
        <f>'Daily Returns'!C192</f>
        <v>-8.0777879674877821E-3</v>
      </c>
      <c r="D192" s="26">
        <f>'Daily Returns'!D192</f>
        <v>1.567251461988297E-2</v>
      </c>
      <c r="E192" s="26">
        <f>'Daily Returns'!E192</f>
        <v>4.3924449946092488E-3</v>
      </c>
    </row>
    <row r="193" spans="1:5" ht="15" customHeight="1" x14ac:dyDescent="0.3">
      <c r="A193" s="25">
        <f>'Daily Returns'!F193</f>
        <v>-4.4282323475018327E-3</v>
      </c>
      <c r="B193" s="25">
        <f>'Daily Returns'!B193</f>
        <v>-9.5495863548156704E-3</v>
      </c>
      <c r="C193" s="25">
        <f>'Daily Returns'!C193</f>
        <v>5.6232427366447232E-3</v>
      </c>
      <c r="D193" s="25">
        <f>'Daily Returns'!D193</f>
        <v>1.220635651773379E-2</v>
      </c>
      <c r="E193" s="25">
        <f>'Daily Returns'!E193</f>
        <v>2.1428855404921936E-2</v>
      </c>
    </row>
    <row r="194" spans="1:5" ht="15" customHeight="1" x14ac:dyDescent="0.3">
      <c r="A194" s="26">
        <f>'Daily Returns'!F194</f>
        <v>1.0231260119732679E-2</v>
      </c>
      <c r="B194" s="26">
        <f>'Daily Returns'!B194</f>
        <v>5.6200051559680509E-3</v>
      </c>
      <c r="C194" s="26">
        <f>'Daily Returns'!C194</f>
        <v>-2.0490667741366694E-2</v>
      </c>
      <c r="D194" s="26">
        <f>'Daily Returns'!D194</f>
        <v>7.5843761850583481E-4</v>
      </c>
      <c r="E194" s="26">
        <f>'Daily Returns'!E194</f>
        <v>-3.9078312315117623E-2</v>
      </c>
    </row>
    <row r="195" spans="1:5" ht="15" customHeight="1" x14ac:dyDescent="0.3">
      <c r="A195" s="25">
        <f>'Daily Returns'!F195</f>
        <v>-5.786189590939665E-3</v>
      </c>
      <c r="B195" s="25">
        <f>'Daily Returns'!B195</f>
        <v>3.58900738310201E-4</v>
      </c>
      <c r="C195" s="25">
        <f>'Daily Returns'!C195</f>
        <v>2.1292189006750169E-2</v>
      </c>
      <c r="D195" s="25">
        <f>'Daily Returns'!D195</f>
        <v>5.0018946570672606E-3</v>
      </c>
      <c r="E195" s="25">
        <f>'Daily Returns'!E195</f>
        <v>4.3745949449125587E-3</v>
      </c>
    </row>
    <row r="196" spans="1:5" ht="15" customHeight="1" x14ac:dyDescent="0.3">
      <c r="A196" s="26">
        <f>'Daily Returns'!F196</f>
        <v>-1.6543393720537893E-2</v>
      </c>
      <c r="B196" s="26">
        <f>'Daily Returns'!B196</f>
        <v>3.172569319870841E-2</v>
      </c>
      <c r="C196" s="26">
        <f>'Daily Returns'!C196</f>
        <v>-3.3248983394392577E-2</v>
      </c>
      <c r="D196" s="26">
        <f>'Daily Returns'!D196</f>
        <v>2.5789910263177642E-2</v>
      </c>
      <c r="E196" s="26">
        <f>'Daily Returns'!E196</f>
        <v>2.7020487175350816E-2</v>
      </c>
    </row>
    <row r="197" spans="1:5" ht="15" customHeight="1" x14ac:dyDescent="0.3">
      <c r="A197" s="25">
        <f>'Daily Returns'!F197</f>
        <v>-8.6013303176533332E-3</v>
      </c>
      <c r="B197" s="25">
        <f>'Daily Returns'!B197</f>
        <v>-2.5534028812717411E-2</v>
      </c>
      <c r="C197" s="25">
        <f>'Daily Returns'!C197</f>
        <v>6.2898814949863798E-3</v>
      </c>
      <c r="D197" s="25">
        <f>'Daily Returns'!D197</f>
        <v>-2.7346908770124228E-2</v>
      </c>
      <c r="E197" s="25">
        <f>'Daily Returns'!E197</f>
        <v>3.4712950600801082E-2</v>
      </c>
    </row>
    <row r="198" spans="1:5" ht="15" customHeight="1" x14ac:dyDescent="0.3">
      <c r="A198" s="26">
        <f>'Daily Returns'!F198</f>
        <v>6.5036056817793428E-4</v>
      </c>
      <c r="B198" s="26">
        <f>'Daily Returns'!B198</f>
        <v>9.9918433931484914E-3</v>
      </c>
      <c r="C198" s="26">
        <f>'Daily Returns'!C198</f>
        <v>-8.0752656167095999E-3</v>
      </c>
      <c r="D198" s="26">
        <f>'Daily Returns'!D198</f>
        <v>1.2168392411760149E-2</v>
      </c>
      <c r="E198" s="26">
        <f>'Daily Returns'!E198</f>
        <v>-1.7495256166982973E-2</v>
      </c>
    </row>
    <row r="199" spans="1:5" ht="15" customHeight="1" x14ac:dyDescent="0.3">
      <c r="A199" s="25">
        <f>'Daily Returns'!F199</f>
        <v>-2.0410138945543995E-2</v>
      </c>
      <c r="B199" s="25">
        <f>'Daily Returns'!B199</f>
        <v>-3.937007874015754E-3</v>
      </c>
      <c r="C199" s="25">
        <f>'Daily Returns'!C199</f>
        <v>2.6862711842294135E-2</v>
      </c>
      <c r="D199" s="25">
        <f>'Daily Returns'!D199</f>
        <v>1.7398446833930801E-2</v>
      </c>
      <c r="E199" s="25">
        <f>'Daily Returns'!E199</f>
        <v>5.7167136621731939E-3</v>
      </c>
    </row>
    <row r="200" spans="1:5" ht="15" customHeight="1" x14ac:dyDescent="0.3">
      <c r="A200" s="26">
        <f>'Daily Returns'!F200</f>
        <v>1.5257636001342638E-2</v>
      </c>
      <c r="B200" s="26">
        <f>'Daily Returns'!B200</f>
        <v>-1.0641532380663218E-3</v>
      </c>
      <c r="C200" s="26">
        <f>'Daily Returns'!C200</f>
        <v>1.4026528434212485E-2</v>
      </c>
      <c r="D200" s="26">
        <f>'Daily Returns'!D200</f>
        <v>1.9522935779816487E-2</v>
      </c>
      <c r="E200" s="26">
        <f>'Daily Returns'!E200</f>
        <v>2.0202020202020166E-2</v>
      </c>
    </row>
    <row r="201" spans="1:5" ht="15" customHeight="1" x14ac:dyDescent="0.3">
      <c r="A201" s="25">
        <f>'Daily Returns'!F201</f>
        <v>-2.3183688871594491E-3</v>
      </c>
      <c r="B201" s="25">
        <f>'Daily Returns'!B201</f>
        <v>2.668289960939477E-2</v>
      </c>
      <c r="C201" s="25">
        <f>'Daily Returns'!C201</f>
        <v>-3.6159975943467162E-2</v>
      </c>
      <c r="D201" s="25">
        <f>'Daily Returns'!D201</f>
        <v>1.3030019437045586E-2</v>
      </c>
      <c r="E201" s="25">
        <f>'Daily Returns'!E201</f>
        <v>2.3265444415163976E-2</v>
      </c>
    </row>
    <row r="202" spans="1:5" ht="15" customHeight="1" x14ac:dyDescent="0.3">
      <c r="A202" s="26">
        <f>'Daily Returns'!F202</f>
        <v>-1.2019576888543577E-3</v>
      </c>
      <c r="B202" s="26">
        <f>'Daily Returns'!B202</f>
        <v>1.9763822323247426E-4</v>
      </c>
      <c r="C202" s="26">
        <f>'Daily Returns'!C202</f>
        <v>-4.2131399006837697E-2</v>
      </c>
      <c r="D202" s="26">
        <f>'Daily Returns'!D202</f>
        <v>-1.1796475270039771E-2</v>
      </c>
      <c r="E202" s="26">
        <f>'Daily Returns'!E202</f>
        <v>-3.4288657518119249E-2</v>
      </c>
    </row>
    <row r="203" spans="1:5" ht="15" customHeight="1" x14ac:dyDescent="0.3">
      <c r="A203" s="25">
        <f>'Daily Returns'!F203</f>
        <v>1.8105928395195389E-3</v>
      </c>
      <c r="B203" s="25">
        <f>'Daily Returns'!B203</f>
        <v>3.1368868250753315E-2</v>
      </c>
      <c r="C203" s="25">
        <f>'Daily Returns'!C203</f>
        <v>-1.7072674221347683E-2</v>
      </c>
      <c r="D203" s="25">
        <f>'Daily Returns'!D203</f>
        <v>-8.0540773766719729E-3</v>
      </c>
      <c r="E203" s="25">
        <f>'Daily Returns'!E203</f>
        <v>-3.7487142367328294E-2</v>
      </c>
    </row>
    <row r="204" spans="1:5" ht="15" customHeight="1" x14ac:dyDescent="0.3">
      <c r="A204" s="26">
        <f>'Daily Returns'!F204</f>
        <v>7.8562064438976974E-3</v>
      </c>
      <c r="B204" s="26">
        <f>'Daily Returns'!B204</f>
        <v>-5.8434715968962488E-3</v>
      </c>
      <c r="C204" s="26">
        <f>'Daily Returns'!C204</f>
        <v>-8.2565893934582659E-3</v>
      </c>
      <c r="D204" s="26">
        <f>'Daily Returns'!D204</f>
        <v>1.0801797883137662E-2</v>
      </c>
      <c r="E204" s="26">
        <f>'Daily Returns'!E204</f>
        <v>3.3643380170195699E-3</v>
      </c>
    </row>
    <row r="205" spans="1:5" ht="15" customHeight="1" x14ac:dyDescent="0.3">
      <c r="A205" s="25">
        <f>'Daily Returns'!F205</f>
        <v>7.7868697874523213E-3</v>
      </c>
      <c r="B205" s="25">
        <f>'Daily Returns'!B205</f>
        <v>5.2033147041818462E-3</v>
      </c>
      <c r="C205" s="25">
        <f>'Daily Returns'!C205</f>
        <v>-2.7426248451181468E-3</v>
      </c>
      <c r="D205" s="25">
        <f>'Daily Returns'!D205</f>
        <v>-8.8933515025461461E-3</v>
      </c>
      <c r="E205" s="25">
        <f>'Daily Returns'!E205</f>
        <v>9.9013806706114045E-3</v>
      </c>
    </row>
    <row r="206" spans="1:5" ht="15" customHeight="1" x14ac:dyDescent="0.3">
      <c r="A206" s="26">
        <f>'Daily Returns'!F206</f>
        <v>-8.268445465433337E-3</v>
      </c>
      <c r="B206" s="26">
        <f>'Daily Returns'!B206</f>
        <v>-6.5184049079753895E-3</v>
      </c>
      <c r="C206" s="26">
        <f>'Daily Returns'!C206</f>
        <v>1.1307795398703727E-3</v>
      </c>
      <c r="D206" s="26">
        <f>'Daily Returns'!D206</f>
        <v>-2.6774730443592486E-3</v>
      </c>
      <c r="E206" s="26">
        <f>'Daily Returns'!E206</f>
        <v>-1.8749267606733714E-3</v>
      </c>
    </row>
    <row r="207" spans="1:5" ht="15" customHeight="1" x14ac:dyDescent="0.3">
      <c r="A207" s="25">
        <f>'Daily Returns'!F207</f>
        <v>-7.8318476802426169E-3</v>
      </c>
      <c r="B207" s="25">
        <f>'Daily Returns'!B207</f>
        <v>-9.2145889617907973E-3</v>
      </c>
      <c r="C207" s="25">
        <f>'Daily Returns'!C207</f>
        <v>1.2466358958626824E-2</v>
      </c>
      <c r="D207" s="25">
        <f>'Daily Returns'!D207</f>
        <v>-2.3363807865331584E-2</v>
      </c>
      <c r="E207" s="25">
        <f>'Daily Returns'!E207</f>
        <v>-5.7136148397448749E-3</v>
      </c>
    </row>
    <row r="208" spans="1:5" ht="15" customHeight="1" x14ac:dyDescent="0.3">
      <c r="A208" s="26">
        <f>'Daily Returns'!F208</f>
        <v>2.2662387884510811E-2</v>
      </c>
      <c r="B208" s="26">
        <f>'Daily Returns'!B208</f>
        <v>1.1686224862443838E-3</v>
      </c>
      <c r="C208" s="26">
        <f>'Daily Returns'!C208</f>
        <v>-2.3496357100555122E-2</v>
      </c>
      <c r="D208" s="26">
        <f>'Daily Returns'!D208</f>
        <v>-1.8350668647845462E-2</v>
      </c>
      <c r="E208" s="26">
        <f>'Daily Returns'!E208</f>
        <v>2.4638879049080926E-2</v>
      </c>
    </row>
    <row r="209" spans="1:5" ht="15" customHeight="1" x14ac:dyDescent="0.3">
      <c r="A209" s="25">
        <f>'Daily Returns'!F209</f>
        <v>-2.3566840835041569E-2</v>
      </c>
      <c r="B209" s="25">
        <f>'Daily Returns'!B209</f>
        <v>-3.599046738971884E-3</v>
      </c>
      <c r="C209" s="25">
        <f>'Daily Returns'!C209</f>
        <v>-3.1156119095640446E-2</v>
      </c>
      <c r="D209" s="25">
        <f>'Daily Returns'!D209</f>
        <v>5.8275940361765706E-3</v>
      </c>
      <c r="E209" s="25">
        <f>'Daily Returns'!E209</f>
        <v>2.8387047209311428E-2</v>
      </c>
    </row>
    <row r="210" spans="1:5" ht="15" customHeight="1" x14ac:dyDescent="0.3">
      <c r="A210" s="26">
        <f>'Daily Returns'!F210</f>
        <v>-1.1153184387478733E-2</v>
      </c>
      <c r="B210" s="26">
        <f>'Daily Returns'!B210</f>
        <v>3.1239322497192677E-3</v>
      </c>
      <c r="C210" s="26">
        <f>'Daily Returns'!C210</f>
        <v>5.0515343853724266E-3</v>
      </c>
      <c r="D210" s="26">
        <f>'Daily Returns'!D210</f>
        <v>-6.2452972159519372E-3</v>
      </c>
      <c r="E210" s="26">
        <f>'Daily Returns'!E210</f>
        <v>-1.0720155386224429E-2</v>
      </c>
    </row>
    <row r="211" spans="1:5" ht="15" customHeight="1" x14ac:dyDescent="0.3">
      <c r="A211" s="25">
        <f>'Daily Returns'!F211</f>
        <v>-9.7259311008241738E-3</v>
      </c>
      <c r="B211" s="25">
        <f>'Daily Returns'!B211</f>
        <v>-2.8855043550192101E-2</v>
      </c>
      <c r="C211" s="25">
        <f>'Daily Returns'!C211</f>
        <v>-5.7793421109807635E-3</v>
      </c>
      <c r="D211" s="25">
        <f>'Daily Returns'!D211</f>
        <v>-1.1584765654577127E-2</v>
      </c>
      <c r="E211" s="25">
        <f>'Daily Returns'!E211</f>
        <v>3.4736643383045458E-3</v>
      </c>
    </row>
    <row r="212" spans="1:5" ht="15" customHeight="1" x14ac:dyDescent="0.3">
      <c r="A212" s="26">
        <f>'Daily Returns'!F212</f>
        <v>1.0553958657544762E-2</v>
      </c>
      <c r="B212" s="26">
        <f>'Daily Returns'!B212</f>
        <v>2.8058923739853664E-2</v>
      </c>
      <c r="C212" s="26">
        <f>'Daily Returns'!C212</f>
        <v>-1.2237762237762703E-3</v>
      </c>
      <c r="D212" s="26">
        <f>'Daily Returns'!D212</f>
        <v>-2.5279607783053786E-3</v>
      </c>
      <c r="E212" s="26">
        <f>'Daily Returns'!E212</f>
        <v>-2.1409489408134846E-2</v>
      </c>
    </row>
    <row r="213" spans="1:5" ht="15" customHeight="1" x14ac:dyDescent="0.3">
      <c r="A213" s="25">
        <f>'Daily Returns'!F213</f>
        <v>3.5137945305549131E-3</v>
      </c>
      <c r="B213" s="25">
        <f>'Daily Returns'!B213</f>
        <v>-1.9982454430256193E-3</v>
      </c>
      <c r="C213" s="25">
        <f>'Daily Returns'!C213</f>
        <v>-1.0735748876830474E-2</v>
      </c>
      <c r="D213" s="25">
        <f>'Daily Returns'!D213</f>
        <v>5.0687351201904353E-3</v>
      </c>
      <c r="E213" s="25">
        <f>'Daily Returns'!E213</f>
        <v>3.3297446939403362E-2</v>
      </c>
    </row>
    <row r="214" spans="1:5" ht="15" customHeight="1" x14ac:dyDescent="0.3">
      <c r="A214" s="26">
        <f>'Daily Returns'!F214</f>
        <v>3.9074013072349324E-3</v>
      </c>
      <c r="B214" s="26">
        <f>'Daily Returns'!B214</f>
        <v>2.4466474581237439E-2</v>
      </c>
      <c r="C214" s="26">
        <f>'Daily Returns'!C214</f>
        <v>-2.4476555588323233E-3</v>
      </c>
      <c r="D214" s="26">
        <f>'Daily Returns'!D214</f>
        <v>-3.667761901123391E-3</v>
      </c>
      <c r="E214" s="26">
        <f>'Daily Returns'!E214</f>
        <v>-2.6084691523405486E-2</v>
      </c>
    </row>
    <row r="215" spans="1:5" ht="15" customHeight="1" x14ac:dyDescent="0.3">
      <c r="A215" s="25">
        <f>'Daily Returns'!F215</f>
        <v>-9.5621013092706091E-3</v>
      </c>
      <c r="B215" s="25">
        <f>'Daily Returns'!B215</f>
        <v>-1.3633330155400962E-2</v>
      </c>
      <c r="C215" s="25">
        <f>'Daily Returns'!C215</f>
        <v>2.6812900937121215E-2</v>
      </c>
      <c r="D215" s="25">
        <f>'Daily Returns'!D215</f>
        <v>3.067719917171606E-3</v>
      </c>
      <c r="E215" s="25">
        <f>'Daily Returns'!E215</f>
        <v>-1.9753180758797294E-2</v>
      </c>
    </row>
    <row r="216" spans="1:5" ht="15" customHeight="1" x14ac:dyDescent="0.3">
      <c r="A216" s="26">
        <f>'Daily Returns'!F216</f>
        <v>3.9631172686463972E-3</v>
      </c>
      <c r="B216" s="26">
        <f>'Daily Returns'!B216</f>
        <v>4.3978349120434232E-3</v>
      </c>
      <c r="C216" s="26">
        <f>'Daily Returns'!C216</f>
        <v>-2.8041688259342296E-2</v>
      </c>
      <c r="D216" s="26">
        <f>'Daily Returns'!D216</f>
        <v>1.8350026760456388E-3</v>
      </c>
      <c r="E216" s="26">
        <f>'Daily Returns'!E216</f>
        <v>-1.633146242594324E-2</v>
      </c>
    </row>
    <row r="217" spans="1:5" ht="15" customHeight="1" x14ac:dyDescent="0.3">
      <c r="A217" s="25">
        <f>'Daily Returns'!F217</f>
        <v>-1.0604966569248007E-2</v>
      </c>
      <c r="B217" s="25">
        <f>'Daily Returns'!B217</f>
        <v>4.4170716450945377E-2</v>
      </c>
      <c r="C217" s="25">
        <f>'Daily Returns'!C217</f>
        <v>-2.1015995260663587E-2</v>
      </c>
      <c r="D217" s="25">
        <f>'Daily Returns'!D217</f>
        <v>-3.5869648172174224E-3</v>
      </c>
      <c r="E217" s="25">
        <f>'Daily Returns'!E217</f>
        <v>-1.9336688195902823E-2</v>
      </c>
    </row>
    <row r="218" spans="1:5" ht="15" customHeight="1" x14ac:dyDescent="0.3">
      <c r="A218" s="26">
        <f>'Daily Returns'!F218</f>
        <v>-6.0297683607873484E-3</v>
      </c>
      <c r="B218" s="26">
        <f>'Daily Returns'!B218</f>
        <v>-1.1750610570941353E-2</v>
      </c>
      <c r="C218" s="26">
        <f>'Daily Returns'!C218</f>
        <v>1.1906022601776077E-2</v>
      </c>
      <c r="D218" s="26">
        <f>'Daily Returns'!D218</f>
        <v>2.2977941176471458E-4</v>
      </c>
      <c r="E218" s="26">
        <f>'Daily Returns'!E218</f>
        <v>2.4647460503454663E-2</v>
      </c>
    </row>
    <row r="219" spans="1:5" ht="15" customHeight="1" x14ac:dyDescent="0.3">
      <c r="A219" s="25">
        <f>'Daily Returns'!F219</f>
        <v>-8.2955308815254088E-3</v>
      </c>
      <c r="B219" s="25">
        <f>'Daily Returns'!B219</f>
        <v>-2.0423388976965381E-2</v>
      </c>
      <c r="C219" s="25">
        <f>'Daily Returns'!C219</f>
        <v>2.8241239086233685E-2</v>
      </c>
      <c r="D219" s="25">
        <f>'Daily Returns'!D219</f>
        <v>-1.355387089363665E-2</v>
      </c>
      <c r="E219" s="25">
        <f>'Daily Returns'!E219</f>
        <v>4.4323514334161367E-2</v>
      </c>
    </row>
    <row r="220" spans="1:5" ht="15" customHeight="1" x14ac:dyDescent="0.3">
      <c r="A220" s="26">
        <f>'Daily Returns'!F220</f>
        <v>-7.8843255316670812E-3</v>
      </c>
      <c r="B220" s="26">
        <f>'Daily Returns'!B220</f>
        <v>-7.2353389185072833E-3</v>
      </c>
      <c r="C220" s="26">
        <f>'Daily Returns'!C220</f>
        <v>-3.0242668333889632E-3</v>
      </c>
      <c r="D220" s="26">
        <f>'Daily Returns'!D220</f>
        <v>-7.5298866635615507E-3</v>
      </c>
      <c r="E220" s="26">
        <f>'Daily Returns'!E220</f>
        <v>5.3996903674055317E-3</v>
      </c>
    </row>
    <row r="221" spans="1:5" ht="15" customHeight="1" x14ac:dyDescent="0.3">
      <c r="A221" s="25">
        <f>'Daily Returns'!F221</f>
        <v>-1.1030507221143307E-2</v>
      </c>
      <c r="B221" s="25">
        <f>'Daily Returns'!B221</f>
        <v>6.8565400843882181E-3</v>
      </c>
      <c r="C221" s="25">
        <f>'Daily Returns'!C221</f>
        <v>-2.1686184719042139E-2</v>
      </c>
      <c r="D221" s="25">
        <f>'Daily Returns'!D221</f>
        <v>-2.8549080954243189E-2</v>
      </c>
      <c r="E221" s="25">
        <f>'Daily Returns'!E221</f>
        <v>-5.8589348756854292E-3</v>
      </c>
    </row>
    <row r="222" spans="1:5" ht="15" customHeight="1" x14ac:dyDescent="0.3">
      <c r="A222" s="26">
        <f>'Daily Returns'!F222</f>
        <v>2.7115875446655732E-3</v>
      </c>
      <c r="B222" s="26">
        <f>'Daily Returns'!B222</f>
        <v>9.9528548978522948E-3</v>
      </c>
      <c r="C222" s="26">
        <f>'Daily Returns'!C222</f>
        <v>-3.4703795354938859E-2</v>
      </c>
      <c r="D222" s="26">
        <f>'Daily Returns'!D222</f>
        <v>-1.7954911433172335E-2</v>
      </c>
      <c r="E222" s="26">
        <f>'Daily Returns'!E222</f>
        <v>1.412920287117495E-2</v>
      </c>
    </row>
    <row r="223" spans="1:5" ht="15" customHeight="1" x14ac:dyDescent="0.3">
      <c r="A223" s="25">
        <f>'Daily Returns'!F223</f>
        <v>3.6821487059535969E-3</v>
      </c>
      <c r="B223" s="25">
        <f>'Daily Returns'!B223</f>
        <v>1.8200678989060661E-2</v>
      </c>
      <c r="C223" s="25">
        <f>'Daily Returns'!C223</f>
        <v>5.2043117027519605E-3</v>
      </c>
      <c r="D223" s="25">
        <f>'Daily Returns'!D223</f>
        <v>-1.8283184389604034E-2</v>
      </c>
      <c r="E223" s="25">
        <f>'Daily Returns'!E223</f>
        <v>-1.6689018030099905E-2</v>
      </c>
    </row>
    <row r="224" spans="1:5" ht="15" customHeight="1" x14ac:dyDescent="0.3">
      <c r="A224" s="26">
        <f>'Daily Returns'!F224</f>
        <v>-8.9696157057657534E-3</v>
      </c>
      <c r="B224" s="26">
        <f>'Daily Returns'!B224</f>
        <v>-3.2416411966286404E-3</v>
      </c>
      <c r="C224" s="26">
        <f>'Daily Returns'!C224</f>
        <v>-2.1446897420534211E-2</v>
      </c>
      <c r="D224" s="26">
        <f>'Daily Returns'!D224</f>
        <v>-5.9295139468848656E-3</v>
      </c>
      <c r="E224" s="26">
        <f>'Daily Returns'!E224</f>
        <v>2.5761479011971556E-2</v>
      </c>
    </row>
    <row r="225" spans="1:5" ht="15" customHeight="1" x14ac:dyDescent="0.3">
      <c r="A225" s="25">
        <f>'Daily Returns'!F225</f>
        <v>-4.9156234709762303E-3</v>
      </c>
      <c r="B225" s="25">
        <f>'Daily Returns'!B225</f>
        <v>-2.1929009477792225E-2</v>
      </c>
      <c r="C225" s="25">
        <f>'Daily Returns'!C225</f>
        <v>3.896695188005328E-2</v>
      </c>
      <c r="D225" s="25">
        <f>'Daily Returns'!D225</f>
        <v>1.8230698143325227E-2</v>
      </c>
      <c r="E225" s="25">
        <f>'Daily Returns'!E225</f>
        <v>-2.2159846358399423E-4</v>
      </c>
    </row>
    <row r="226" spans="1:5" ht="15" customHeight="1" x14ac:dyDescent="0.3">
      <c r="A226" s="26">
        <f>'Daily Returns'!F226</f>
        <v>5.1627848818298506E-3</v>
      </c>
      <c r="B226" s="26">
        <f>'Daily Returns'!B226</f>
        <v>-5.7001710051302343E-3</v>
      </c>
      <c r="C226" s="26">
        <f>'Daily Returns'!C226</f>
        <v>4.190277588890403E-2</v>
      </c>
      <c r="D226" s="26">
        <f>'Daily Returns'!D226</f>
        <v>2.4752475247525691E-4</v>
      </c>
      <c r="E226" s="26">
        <f>'Daily Returns'!E226</f>
        <v>8.4226080531955294E-3</v>
      </c>
    </row>
    <row r="227" spans="1:5" ht="15" customHeight="1" x14ac:dyDescent="0.3">
      <c r="A227" s="25">
        <f>'Daily Returns'!F227</f>
        <v>2.017210191482531E-3</v>
      </c>
      <c r="B227" s="25">
        <f>'Daily Returns'!B227</f>
        <v>1.7532963883049951E-2</v>
      </c>
      <c r="C227" s="25">
        <f>'Daily Returns'!C227</f>
        <v>4.5830311820159071E-3</v>
      </c>
      <c r="D227" s="25">
        <f>'Daily Returns'!D227</f>
        <v>2.8045863235171922E-3</v>
      </c>
      <c r="E227" s="25">
        <f>'Daily Returns'!E227</f>
        <v>-1.2565023078613843E-2</v>
      </c>
    </row>
    <row r="228" spans="1:5" ht="15" customHeight="1" x14ac:dyDescent="0.3">
      <c r="A228" s="26">
        <f>'Daily Returns'!F228</f>
        <v>1.659928933788957E-2</v>
      </c>
      <c r="B228" s="26">
        <f>'Daily Returns'!B228</f>
        <v>6.7608807925254597E-3</v>
      </c>
      <c r="C228" s="26">
        <f>'Daily Returns'!C228</f>
        <v>9.153119856784039E-3</v>
      </c>
      <c r="D228" s="26">
        <f>'Daily Returns'!D228</f>
        <v>-1.4477255901949419E-2</v>
      </c>
      <c r="E228" s="26">
        <f>'Daily Returns'!E228</f>
        <v>-3.4130959005750912E-3</v>
      </c>
    </row>
    <row r="229" spans="1:5" ht="15" customHeight="1" x14ac:dyDescent="0.3">
      <c r="A229" s="25">
        <f>'Daily Returns'!F229</f>
        <v>-2.6199056119562761E-3</v>
      </c>
      <c r="B229" s="25">
        <f>'Daily Returns'!B229</f>
        <v>-2.6815277713006576E-2</v>
      </c>
      <c r="C229" s="25">
        <f>'Daily Returns'!C229</f>
        <v>-1.4735336194563271E-3</v>
      </c>
      <c r="D229" s="25">
        <f>'Daily Returns'!D229</f>
        <v>4.924463734245918E-3</v>
      </c>
      <c r="E229" s="25">
        <f>'Daily Returns'!E229</f>
        <v>-3.0115772624055299E-2</v>
      </c>
    </row>
    <row r="230" spans="1:5" ht="15" customHeight="1" x14ac:dyDescent="0.3">
      <c r="A230" s="26">
        <f>'Daily Returns'!F230</f>
        <v>3.9978206728964729E-3</v>
      </c>
      <c r="B230" s="26">
        <f>'Daily Returns'!B230</f>
        <v>-1.4376078205865985E-4</v>
      </c>
      <c r="C230" s="26">
        <f>'Daily Returns'!C230</f>
        <v>2.0731550066621814E-2</v>
      </c>
      <c r="D230" s="26">
        <f>'Daily Returns'!D230</f>
        <v>2.7076411960132815E-2</v>
      </c>
      <c r="E230" s="26">
        <f>'Daily Returns'!E230</f>
        <v>8.4440009211626018E-4</v>
      </c>
    </row>
    <row r="231" spans="1:5" ht="15" customHeight="1" x14ac:dyDescent="0.3">
      <c r="A231" s="25">
        <f>'Daily Returns'!F231</f>
        <v>7.8300329922630953E-3</v>
      </c>
      <c r="B231" s="25">
        <f>'Daily Returns'!B231</f>
        <v>1.9698058950395329E-2</v>
      </c>
      <c r="C231" s="25">
        <f>'Daily Returns'!C231</f>
        <v>5.3337824939643399E-4</v>
      </c>
      <c r="D231" s="25">
        <f>'Daily Returns'!D231</f>
        <v>-9.7040271712752987E-4</v>
      </c>
      <c r="E231" s="25">
        <f>'Daily Returns'!E231</f>
        <v>1.7295597484276694E-2</v>
      </c>
    </row>
    <row r="232" spans="1:5" ht="15" customHeight="1" x14ac:dyDescent="0.3">
      <c r="A232" s="26">
        <f>'Daily Returns'!F232</f>
        <v>-1.1003195724993317E-2</v>
      </c>
      <c r="B232" s="26">
        <f>'Daily Returns'!B232</f>
        <v>2.9751833051325498E-2</v>
      </c>
      <c r="C232" s="26">
        <f>'Daily Returns'!C232</f>
        <v>1.7115120226703986E-3</v>
      </c>
      <c r="D232" s="26">
        <f>'Daily Returns'!D232</f>
        <v>-1.2546543629593745E-2</v>
      </c>
      <c r="E232" s="26">
        <f>'Daily Returns'!E232</f>
        <v>-3.4530855354921286E-2</v>
      </c>
    </row>
    <row r="233" spans="1:5" ht="15" customHeight="1" x14ac:dyDescent="0.3">
      <c r="A233" s="25">
        <f>'Daily Returns'!F233</f>
        <v>-1.1976714925598535E-2</v>
      </c>
      <c r="B233" s="25">
        <f>'Daily Returns'!B233</f>
        <v>8.1245150394814968E-3</v>
      </c>
      <c r="C233" s="25">
        <f>'Daily Returns'!C233</f>
        <v>2.4592459806173406E-2</v>
      </c>
      <c r="D233" s="25">
        <f>'Daily Returns'!D233</f>
        <v>-1.803426510369693E-2</v>
      </c>
      <c r="E233" s="25">
        <f>'Daily Returns'!E233</f>
        <v>-1.8585763929561593E-2</v>
      </c>
    </row>
    <row r="234" spans="1:5" ht="15" customHeight="1" x14ac:dyDescent="0.3">
      <c r="A234" s="26">
        <f>'Daily Returns'!F234</f>
        <v>-1.5269187171492065E-2</v>
      </c>
      <c r="B234" s="26">
        <f>'Daily Returns'!B234</f>
        <v>4.5728256440439666E-3</v>
      </c>
      <c r="C234" s="26">
        <f>'Daily Returns'!C234</f>
        <v>1.1645708037178761E-2</v>
      </c>
      <c r="D234" s="26">
        <f>'Daily Returns'!D234</f>
        <v>4.5913682277318405E-3</v>
      </c>
      <c r="E234" s="26">
        <f>'Daily Returns'!E234</f>
        <v>-8.5538094290829748E-3</v>
      </c>
    </row>
    <row r="235" spans="1:5" ht="15" customHeight="1" x14ac:dyDescent="0.3">
      <c r="A235" s="25">
        <f>'Daily Returns'!F235</f>
        <v>4.9792111382778699E-3</v>
      </c>
      <c r="B235" s="25">
        <f>'Daily Returns'!B235</f>
        <v>-1.6855958175590449E-2</v>
      </c>
      <c r="C235" s="25">
        <f>'Daily Returns'!C235</f>
        <v>3.8182997351780781E-2</v>
      </c>
      <c r="D235" s="25">
        <f>'Daily Returns'!D235</f>
        <v>-1.4459032740568464E-2</v>
      </c>
      <c r="E235" s="25">
        <f>'Daily Returns'!E235</f>
        <v>-5.3772070626002212E-3</v>
      </c>
    </row>
    <row r="236" spans="1:5" ht="15" customHeight="1" x14ac:dyDescent="0.3">
      <c r="A236" s="26">
        <f>'Daily Returns'!F236</f>
        <v>-1.9394497297512191E-3</v>
      </c>
      <c r="B236" s="26">
        <f>'Daily Returns'!B236</f>
        <v>-1.1368845695424911E-2</v>
      </c>
      <c r="C236" s="26">
        <f>'Daily Returns'!C236</f>
        <v>-2.8280277987454149E-2</v>
      </c>
      <c r="D236" s="26">
        <f>'Daily Returns'!D236</f>
        <v>1.1635750421585243E-2</v>
      </c>
      <c r="E236" s="26">
        <f>'Daily Returns'!E236</f>
        <v>-1.2103606874849164E-3</v>
      </c>
    </row>
    <row r="237" spans="1:5" ht="15" customHeight="1" x14ac:dyDescent="0.3">
      <c r="A237" s="25">
        <f>'Daily Returns'!F237</f>
        <v>3.2123386811189767E-3</v>
      </c>
      <c r="B237" s="25">
        <f>'Daily Returns'!B237</f>
        <v>9.737549846981729E-4</v>
      </c>
      <c r="C237" s="25">
        <f>'Daily Returns'!C237</f>
        <v>-9.2010982387999794E-3</v>
      </c>
      <c r="D237" s="25">
        <f>'Daily Returns'!D237</f>
        <v>-1.5502583763960655E-2</v>
      </c>
      <c r="E237" s="25">
        <f>'Daily Returns'!E237</f>
        <v>-3.6354823073195757E-4</v>
      </c>
    </row>
    <row r="238" spans="1:5" ht="15" customHeight="1" x14ac:dyDescent="0.3">
      <c r="A238" s="26">
        <f>'Daily Returns'!F238</f>
        <v>1.7302279249144577E-3</v>
      </c>
      <c r="B238" s="26">
        <f>'Daily Returns'!B238</f>
        <v>7.2728957242784694E-3</v>
      </c>
      <c r="C238" s="26">
        <f>'Daily Returns'!C238</f>
        <v>-1.5355916623861167E-2</v>
      </c>
      <c r="D238" s="26">
        <f>'Daily Returns'!D238</f>
        <v>-2.5736539112766729E-2</v>
      </c>
      <c r="E238" s="26">
        <f>'Daily Returns'!E238</f>
        <v>5.8188871378348798E-3</v>
      </c>
    </row>
    <row r="239" spans="1:5" ht="15" customHeight="1" x14ac:dyDescent="0.3">
      <c r="A239" s="25">
        <f>'Daily Returns'!F239</f>
        <v>2.6621336800736867E-3</v>
      </c>
      <c r="B239" s="25">
        <f>'Daily Returns'!B239</f>
        <v>8.3701250919793659E-3</v>
      </c>
      <c r="C239" s="25">
        <f>'Daily Returns'!C239</f>
        <v>1.5444386480327284E-2</v>
      </c>
      <c r="D239" s="25">
        <f>'Daily Returns'!D239</f>
        <v>7.9944386513729725E-3</v>
      </c>
      <c r="E239" s="25">
        <f>'Daily Returns'!E239</f>
        <v>-2.0087581856889216E-4</v>
      </c>
    </row>
    <row r="240" spans="1:5" ht="15" customHeight="1" x14ac:dyDescent="0.3">
      <c r="A240" s="26">
        <f>'Daily Returns'!F240</f>
        <v>7.4979669595382891E-3</v>
      </c>
      <c r="B240" s="26">
        <f>'Daily Returns'!B240</f>
        <v>-6.2938976557511423E-3</v>
      </c>
      <c r="C240" s="26">
        <f>'Daily Returns'!C240</f>
        <v>-8.1117254992091065E-3</v>
      </c>
      <c r="D240" s="26">
        <f>'Daily Returns'!D240</f>
        <v>-1.9999999999999941E-2</v>
      </c>
      <c r="E240" s="26">
        <f>'Daily Returns'!E240</f>
        <v>-3.1302740496664871E-2</v>
      </c>
    </row>
    <row r="241" spans="1:5" ht="15" customHeight="1" x14ac:dyDescent="0.3">
      <c r="A241" s="25">
        <f>'Daily Returns'!F241</f>
        <v>-4.2412804264175845E-3</v>
      </c>
      <c r="B241" s="25">
        <f>'Daily Returns'!B241</f>
        <v>-1.5650816963466114E-2</v>
      </c>
      <c r="C241" s="25">
        <f>'Daily Returns'!C241</f>
        <v>1.1231207491106369E-2</v>
      </c>
      <c r="D241" s="25">
        <f>'Daily Returns'!D241</f>
        <v>9.9401829697395791E-3</v>
      </c>
      <c r="E241" s="25">
        <f>'Daily Returns'!E241</f>
        <v>6.4296677313643814E-3</v>
      </c>
    </row>
    <row r="242" spans="1:5" ht="15" customHeight="1" x14ac:dyDescent="0.3">
      <c r="A242" s="26">
        <f>'Daily Returns'!F242</f>
        <v>8.8168565327273705E-3</v>
      </c>
      <c r="B242" s="26">
        <f>'Daily Returns'!B242</f>
        <v>-1.044435119130885E-2</v>
      </c>
      <c r="C242" s="26">
        <f>'Daily Returns'!C242</f>
        <v>-2.0029383617959071E-2</v>
      </c>
      <c r="D242" s="26">
        <f>'Daily Returns'!D242</f>
        <v>1.6723281944081542E-2</v>
      </c>
      <c r="E242" s="26">
        <f>'Daily Returns'!E242</f>
        <v>2.3205011952848055E-2</v>
      </c>
    </row>
    <row r="243" spans="1:5" ht="15" customHeight="1" x14ac:dyDescent="0.3">
      <c r="A243" s="25">
        <f>'Daily Returns'!F243</f>
        <v>7.2444696075934702E-3</v>
      </c>
      <c r="B243" s="25">
        <f>'Daily Returns'!B243</f>
        <v>-1.5737643123026921E-2</v>
      </c>
      <c r="C243" s="25">
        <f>'Daily Returns'!C243</f>
        <v>-1.0728285537445468E-3</v>
      </c>
      <c r="D243" s="25">
        <f>'Daily Returns'!D243</f>
        <v>-8.9094491561724169E-3</v>
      </c>
      <c r="E243" s="25">
        <f>'Daily Returns'!E243</f>
        <v>5.3575025176234138E-3</v>
      </c>
    </row>
    <row r="244" spans="1:5" ht="15" customHeight="1" x14ac:dyDescent="0.3">
      <c r="A244" s="26">
        <f>'Daily Returns'!F244</f>
        <v>-1.5404495763507133E-2</v>
      </c>
      <c r="B244" s="26">
        <f>'Daily Returns'!B244</f>
        <v>9.2393125568481348E-3</v>
      </c>
      <c r="C244" s="26">
        <f>'Daily Returns'!C244</f>
        <v>4.1114186184201484E-2</v>
      </c>
      <c r="D244" s="26">
        <f>'Daily Returns'!D244</f>
        <v>3.6303915636615239E-3</v>
      </c>
      <c r="E244" s="26">
        <f>'Daily Returns'!E244</f>
        <v>-3.3055533295937176E-2</v>
      </c>
    </row>
    <row r="245" spans="1:5" ht="15" customHeight="1" x14ac:dyDescent="0.3">
      <c r="A245" s="25">
        <f>'Daily Returns'!F245</f>
        <v>-2.3579084780680033E-3</v>
      </c>
      <c r="B245" s="25">
        <f>'Daily Returns'!B245</f>
        <v>-3.1733232141163067E-2</v>
      </c>
      <c r="C245" s="25">
        <f>'Daily Returns'!C245</f>
        <v>2.9492283073016486E-2</v>
      </c>
      <c r="D245" s="25">
        <f>'Daily Returns'!D245</f>
        <v>2.239255878046675E-2</v>
      </c>
      <c r="E245" s="25">
        <f>'Daily Returns'!E245</f>
        <v>4.8895702979322025E-3</v>
      </c>
    </row>
    <row r="246" spans="1:5" ht="15" customHeight="1" x14ac:dyDescent="0.3">
      <c r="A246" s="26">
        <f>'Daily Returns'!F246</f>
        <v>1.7881494717946294E-2</v>
      </c>
      <c r="B246" s="26">
        <f>'Daily Returns'!B246</f>
        <v>-4.3109782981433182E-3</v>
      </c>
      <c r="C246" s="26">
        <f>'Daily Returns'!C246</f>
        <v>-3.2539855863725611E-2</v>
      </c>
      <c r="D246" s="26">
        <f>'Daily Returns'!D246</f>
        <v>-6.9918288265520875E-3</v>
      </c>
      <c r="E246" s="26">
        <f>'Daily Returns'!E246</f>
        <v>9.4429095707394359E-3</v>
      </c>
    </row>
    <row r="247" spans="1:5" ht="15" customHeight="1" x14ac:dyDescent="0.3">
      <c r="A247" s="25">
        <f>'Daily Returns'!F247</f>
        <v>4.1050774489225457E-2</v>
      </c>
      <c r="B247" s="25">
        <f>'Daily Returns'!B247</f>
        <v>6.5436654366544285E-3</v>
      </c>
      <c r="C247" s="25">
        <f>'Daily Returns'!C247</f>
        <v>7.0242995618111318E-3</v>
      </c>
      <c r="D247" s="25">
        <f>'Daily Returns'!D247</f>
        <v>2.5619273837801243E-2</v>
      </c>
      <c r="E247" s="25">
        <f>'Daily Returns'!E247</f>
        <v>-1.8218954248366045E-2</v>
      </c>
    </row>
    <row r="248" spans="1:5" ht="15" customHeight="1" x14ac:dyDescent="0.3">
      <c r="A248" s="26">
        <f>'Daily Returns'!F248</f>
        <v>-1.5542494143695398E-4</v>
      </c>
      <c r="B248" s="26">
        <f>'Daily Returns'!B248</f>
        <v>2.1409717469938389E-2</v>
      </c>
      <c r="C248" s="26">
        <f>'Daily Returns'!C248</f>
        <v>1.5176887880905592E-2</v>
      </c>
      <c r="D248" s="26">
        <f>'Daily Returns'!D248</f>
        <v>-4.7973531844500619E-3</v>
      </c>
      <c r="E248" s="26">
        <f>'Daily Returns'!E248</f>
        <v>1.9139552300907379E-3</v>
      </c>
    </row>
    <row r="249" spans="1:5" ht="15" customHeight="1" x14ac:dyDescent="0.3">
      <c r="A249" s="25">
        <f>'Daily Returns'!F249</f>
        <v>6.3594763702363413E-4</v>
      </c>
      <c r="B249" s="25">
        <f>'Daily Returns'!B249</f>
        <v>1.3399693721286425E-3</v>
      </c>
      <c r="C249" s="25">
        <f>'Daily Returns'!C249</f>
        <v>-8.1049486946356795E-3</v>
      </c>
      <c r="D249" s="25">
        <f>'Daily Returns'!D249</f>
        <v>-1.4378324468085022E-2</v>
      </c>
      <c r="E249" s="25">
        <f>'Daily Returns'!E249</f>
        <v>2.4584717607973369E-2</v>
      </c>
    </row>
    <row r="250" spans="1:5" ht="15" customHeight="1" x14ac:dyDescent="0.3">
      <c r="A250" s="26">
        <f>'Daily Returns'!F250</f>
        <v>-1.824776852675622E-2</v>
      </c>
      <c r="B250" s="26">
        <f>'Daily Returns'!B250</f>
        <v>1.4194226725291526E-2</v>
      </c>
      <c r="C250" s="26">
        <f>'Daily Returns'!C250</f>
        <v>-1.8856559201738964E-2</v>
      </c>
      <c r="D250" s="26">
        <f>'Daily Returns'!D250</f>
        <v>1.9394552660425817E-3</v>
      </c>
      <c r="E250" s="26">
        <f>'Daily Returns'!E250</f>
        <v>3.1047341115434487E-2</v>
      </c>
    </row>
    <row r="251" spans="1:5" ht="15" customHeight="1" x14ac:dyDescent="0.3">
      <c r="A251" s="25">
        <f>'Daily Returns'!F251</f>
        <v>1.6225376016649781E-3</v>
      </c>
      <c r="B251" s="25">
        <f>'Daily Returns'!B251</f>
        <v>-5.2306677347910731E-3</v>
      </c>
      <c r="C251" s="25">
        <f>'Daily Returns'!C251</f>
        <v>1.2278781731308286E-2</v>
      </c>
      <c r="D251" s="25">
        <f>'Daily Returns'!D251</f>
        <v>3.9555630365259477E-3</v>
      </c>
      <c r="E251" s="25">
        <f>'Daily Returns'!E251</f>
        <v>2.869722462457812E-3</v>
      </c>
    </row>
    <row r="252" spans="1:5" ht="15" customHeight="1" x14ac:dyDescent="0.3">
      <c r="A252" s="26">
        <f>'Daily Returns'!F252</f>
        <v>-4.1946802302650647E-4</v>
      </c>
      <c r="B252" s="26">
        <f>'Daily Returns'!B252</f>
        <v>-9.9952629085740662E-3</v>
      </c>
      <c r="C252" s="26">
        <f>'Daily Returns'!C252</f>
        <v>2.3732299659836439E-3</v>
      </c>
      <c r="D252" s="26">
        <f>'Daily Returns'!D252</f>
        <v>1.8274792522424282E-2</v>
      </c>
      <c r="E252" s="26">
        <f>'Daily Returns'!E252</f>
        <v>1.0074085688526491E-2</v>
      </c>
    </row>
    <row r="253" spans="1:5" ht="15" customHeight="1" x14ac:dyDescent="0.3">
      <c r="A253" s="25">
        <f>'Daily Returns'!F253</f>
        <v>-6.0899616565236467E-3</v>
      </c>
      <c r="B253" s="25">
        <f>'Daily Returns'!B253</f>
        <v>-9.0434949040624664E-3</v>
      </c>
      <c r="C253" s="25">
        <f>'Daily Returns'!C253</f>
        <v>1.0338568384500058E-2</v>
      </c>
      <c r="D253" s="25">
        <f>'Daily Returns'!D253</f>
        <v>1.4324524573968839E-2</v>
      </c>
      <c r="E253" s="25">
        <f>'Daily Returns'!E253</f>
        <v>-2.6389320086929787E-3</v>
      </c>
    </row>
    <row r="254" spans="1:5" ht="15" customHeight="1" x14ac:dyDescent="0.3">
      <c r="A254" s="26">
        <f>'Daily Returns'!F254</f>
        <v>2.0424474451586141E-2</v>
      </c>
      <c r="B254" s="26">
        <f>'Daily Returns'!B254</f>
        <v>2.1487204249155081E-2</v>
      </c>
      <c r="C254" s="26">
        <f>'Daily Returns'!C254</f>
        <v>-2.2001770556684562E-3</v>
      </c>
      <c r="D254" s="26">
        <f>'Daily Returns'!D254</f>
        <v>6.2494927359793059E-3</v>
      </c>
      <c r="E254" s="26">
        <f>'Daily Returns'!E254</f>
        <v>-7.2762645914397064E-3</v>
      </c>
    </row>
    <row r="255" spans="1:5" ht="15" customHeight="1" x14ac:dyDescent="0.3">
      <c r="A255" s="25">
        <f>'Daily Returns'!F255</f>
        <v>2.7403025445329847E-3</v>
      </c>
      <c r="B255" s="25">
        <f>'Daily Returns'!B255</f>
        <v>1.4086504372488724E-2</v>
      </c>
      <c r="C255" s="25">
        <f>'Daily Returns'!C255</f>
        <v>4.1725924089610296E-2</v>
      </c>
      <c r="D255" s="25">
        <f>'Daily Returns'!D255</f>
        <v>1.0727536699467641E-2</v>
      </c>
      <c r="E255" s="25">
        <f>'Daily Returns'!E255</f>
        <v>2.6653078822561092E-2</v>
      </c>
    </row>
    <row r="256" spans="1:5" ht="15" customHeight="1" x14ac:dyDescent="0.3">
      <c r="A256" s="26">
        <f>'Daily Returns'!F256</f>
        <v>-1.0926110708004368E-2</v>
      </c>
      <c r="B256" s="26">
        <f>'Daily Returns'!B256</f>
        <v>7.0852561413322626E-3</v>
      </c>
      <c r="C256" s="26">
        <f>'Daily Returns'!C256</f>
        <v>-1.5530867599353688E-2</v>
      </c>
      <c r="D256" s="26">
        <f>'Daily Returns'!D256</f>
        <v>3.2718857234059259E-3</v>
      </c>
      <c r="E256" s="26">
        <f>'Daily Returns'!E256</f>
        <v>1.8669110067575254E-2</v>
      </c>
    </row>
    <row r="257" spans="1:5" ht="15" customHeight="1" x14ac:dyDescent="0.3">
      <c r="A257" s="25">
        <f>'Daily Returns'!F257</f>
        <v>-1.2034849939848612E-2</v>
      </c>
      <c r="B257" s="25">
        <f>'Daily Returns'!B257</f>
        <v>4.6470724369358903E-2</v>
      </c>
      <c r="C257" s="25">
        <f>'Daily Returns'!C257</f>
        <v>-8.1551125303748907E-3</v>
      </c>
      <c r="D257" s="25">
        <f>'Daily Returns'!D257</f>
        <v>1.280623608017817E-2</v>
      </c>
      <c r="E257" s="25">
        <f>'Daily Returns'!E257</f>
        <v>1.2143017764785283E-2</v>
      </c>
    </row>
    <row r="258" spans="1:5" ht="15" customHeight="1" x14ac:dyDescent="0.3">
      <c r="A258" s="26">
        <f>'Daily Returns'!F258</f>
        <v>8.692701263443757E-3</v>
      </c>
      <c r="B258" s="26">
        <f>'Daily Returns'!B258</f>
        <v>-1.3269052147375443E-4</v>
      </c>
      <c r="C258" s="26">
        <f>'Daily Returns'!C258</f>
        <v>9.6844535659311882E-3</v>
      </c>
      <c r="D258" s="26">
        <f>'Daily Returns'!D258</f>
        <v>-7.7750726458807422E-3</v>
      </c>
      <c r="E258" s="26">
        <f>'Daily Returns'!E258</f>
        <v>-9.4793749537139971E-3</v>
      </c>
    </row>
    <row r="259" spans="1:5" ht="15" customHeight="1" x14ac:dyDescent="0.3">
      <c r="A259" s="25">
        <f>'Daily Returns'!F259</f>
        <v>-6.8255971418872269E-3</v>
      </c>
      <c r="B259" s="25">
        <f>'Daily Returns'!B259</f>
        <v>8.935680792709946E-3</v>
      </c>
      <c r="C259" s="25">
        <f>'Daily Returns'!C259</f>
        <v>1.3491710601537197E-2</v>
      </c>
      <c r="D259" s="25">
        <f>'Daily Returns'!D259</f>
        <v>-1.6621814152287546E-2</v>
      </c>
      <c r="E259" s="25">
        <f>'Daily Returns'!E259</f>
        <v>2.8186915887850543E-2</v>
      </c>
    </row>
    <row r="260" spans="1:5" ht="15" customHeight="1" x14ac:dyDescent="0.3">
      <c r="A260" s="26">
        <f>'Daily Returns'!F260</f>
        <v>-1.0255988042636369E-2</v>
      </c>
      <c r="B260" s="26">
        <f>'Daily Returns'!B260</f>
        <v>4.559803577692003E-3</v>
      </c>
      <c r="C260" s="26">
        <f>'Daily Returns'!C260</f>
        <v>-2.3716108652869824E-2</v>
      </c>
      <c r="D260" s="26">
        <f>'Daily Returns'!D260</f>
        <v>3.7025112685126205E-3</v>
      </c>
      <c r="E260" s="26">
        <f>'Daily Returns'!E260</f>
        <v>2.0142524723676423E-2</v>
      </c>
    </row>
    <row r="261" spans="1:5" ht="15" customHeight="1" x14ac:dyDescent="0.3">
      <c r="A261" s="25">
        <f>'Daily Returns'!F261</f>
        <v>-1.8771231765985174E-2</v>
      </c>
      <c r="B261" s="25">
        <f>'Daily Returns'!B261</f>
        <v>-2.749650837988807E-3</v>
      </c>
      <c r="C261" s="25">
        <f>'Daily Returns'!C261</f>
        <v>2.3470501380240063E-2</v>
      </c>
      <c r="D261" s="25">
        <f>'Daily Returns'!D261</f>
        <v>4.2742582197273442E-2</v>
      </c>
      <c r="E261" s="25">
        <f>'Daily Returns'!E261</f>
        <v>-2.3914748021954452E-2</v>
      </c>
    </row>
    <row r="262" spans="1:5" ht="15" customHeight="1" x14ac:dyDescent="0.3">
      <c r="A262" s="26">
        <f>'Daily Returns'!F262</f>
        <v>-1.166123437728313E-3</v>
      </c>
      <c r="B262" s="26">
        <f>'Daily Returns'!B262</f>
        <v>3.2430303295549023E-2</v>
      </c>
      <c r="C262" s="26">
        <f>'Daily Returns'!C262</f>
        <v>-2.5115100422766653E-2</v>
      </c>
      <c r="D262" s="26">
        <f>'Daily Returns'!D262</f>
        <v>1.3150811351226701E-2</v>
      </c>
      <c r="E262" s="26">
        <f>'Daily Returns'!E262</f>
        <v>2.1031876437725895E-2</v>
      </c>
    </row>
    <row r="263" spans="1:5" ht="15" customHeight="1" x14ac:dyDescent="0.3">
      <c r="A263" s="25">
        <f>'Daily Returns'!F263</f>
        <v>7.1078429159491564E-3</v>
      </c>
      <c r="B263" s="25">
        <f>'Daily Returns'!B263</f>
        <v>2.1195421788893599E-2</v>
      </c>
      <c r="C263" s="25">
        <f>'Daily Returns'!C263</f>
        <v>7.077505115105384E-4</v>
      </c>
      <c r="D263" s="25">
        <f>'Daily Returns'!D263</f>
        <v>-1.0626992561105249E-2</v>
      </c>
      <c r="E263" s="25">
        <f>'Daily Returns'!E263</f>
        <v>3.6476772878445869E-3</v>
      </c>
    </row>
    <row r="264" spans="1:5" ht="15" customHeight="1" x14ac:dyDescent="0.3">
      <c r="A264" s="26">
        <f>'Daily Returns'!F264</f>
        <v>9.5613068538912219E-3</v>
      </c>
      <c r="B264" s="26">
        <f>'Daily Returns'!B264</f>
        <v>-1.9095060190950579E-2</v>
      </c>
      <c r="C264" s="26">
        <f>'Daily Returns'!C264</f>
        <v>-4.8221587840444414E-3</v>
      </c>
      <c r="D264" s="26">
        <f>'Daily Returns'!D264</f>
        <v>2.232622372257171E-2</v>
      </c>
      <c r="E264" s="26">
        <f>'Daily Returns'!E264</f>
        <v>5.7366827008730227E-3</v>
      </c>
    </row>
    <row r="265" spans="1:5" ht="15" customHeight="1" x14ac:dyDescent="0.3">
      <c r="A265" s="25">
        <f>'Daily Returns'!F265</f>
        <v>3.0813586129512724E-3</v>
      </c>
      <c r="B265" s="25">
        <f>'Daily Returns'!B265</f>
        <v>-5.2052475666526368E-3</v>
      </c>
      <c r="C265" s="25">
        <f>'Daily Returns'!C265</f>
        <v>-1.1887687198769795E-2</v>
      </c>
      <c r="D265" s="25">
        <f>'Daily Returns'!D265</f>
        <v>-2.8968105065666144E-2</v>
      </c>
      <c r="E265" s="25">
        <f>'Daily Returns'!E265</f>
        <v>-3.7624884857932417E-2</v>
      </c>
    </row>
    <row r="266" spans="1:5" ht="15" customHeight="1" x14ac:dyDescent="0.3">
      <c r="A266" s="26">
        <f>'Daily Returns'!F266</f>
        <v>1.9016343515503624E-2</v>
      </c>
      <c r="B266" s="26">
        <f>'Daily Returns'!B266</f>
        <v>6.253456417237414E-3</v>
      </c>
      <c r="C266" s="26">
        <f>'Daily Returns'!C266</f>
        <v>2.0582966091721056E-2</v>
      </c>
      <c r="D266" s="26">
        <f>'Daily Returns'!D266</f>
        <v>-3.5551433650203228E-3</v>
      </c>
      <c r="E266" s="26">
        <f>'Daily Returns'!E266</f>
        <v>-2.7168310999852729E-2</v>
      </c>
    </row>
    <row r="267" spans="1:5" ht="15" customHeight="1" x14ac:dyDescent="0.3">
      <c r="A267" s="25">
        <f>'Daily Returns'!F267</f>
        <v>-1.312386809841405E-2</v>
      </c>
      <c r="B267" s="25">
        <f>'Daily Returns'!B267</f>
        <v>1.1160903018517016E-2</v>
      </c>
      <c r="C267" s="25">
        <f>'Daily Returns'!C267</f>
        <v>-4.0796976103530051E-2</v>
      </c>
      <c r="D267" s="25">
        <f>'Daily Returns'!D267</f>
        <v>6.6702862018148236E-3</v>
      </c>
      <c r="E267" s="25">
        <f>'Daily Returns'!E267</f>
        <v>1.9147808976008485E-2</v>
      </c>
    </row>
    <row r="268" spans="1:5" ht="15" customHeight="1" x14ac:dyDescent="0.3">
      <c r="A268" s="26">
        <f>'Daily Returns'!F268</f>
        <v>2.5411814006474033E-3</v>
      </c>
      <c r="B268" s="26">
        <f>'Daily Returns'!B268</f>
        <v>-1.8354377456309117E-2</v>
      </c>
      <c r="C268" s="26">
        <f>'Daily Returns'!C268</f>
        <v>-1.2302801191541705E-2</v>
      </c>
      <c r="D268" s="26">
        <f>'Daily Returns'!D268</f>
        <v>-1.024732259804287E-2</v>
      </c>
      <c r="E268" s="26">
        <f>'Daily Returns'!E268</f>
        <v>-1.3998217733551099E-2</v>
      </c>
    </row>
    <row r="269" spans="1:5" ht="15" customHeight="1" x14ac:dyDescent="0.3">
      <c r="A269" s="25">
        <f>'Daily Returns'!F269</f>
        <v>4.6356810451226669E-3</v>
      </c>
      <c r="B269" s="25">
        <f>'Daily Returns'!B269</f>
        <v>-3.0963840027258323E-2</v>
      </c>
      <c r="C269" s="25">
        <f>'Daily Returns'!C269</f>
        <v>-1.5323235055450267E-2</v>
      </c>
      <c r="D269" s="25">
        <f>'Daily Returns'!D269</f>
        <v>-8.9522030203954984E-3</v>
      </c>
      <c r="E269" s="25">
        <f>'Daily Returns'!E269</f>
        <v>1.5816230465072446E-2</v>
      </c>
    </row>
    <row r="270" spans="1:5" ht="15" customHeight="1" x14ac:dyDescent="0.3">
      <c r="A270" s="26">
        <f>'Daily Returns'!F270</f>
        <v>-1.8247600966562409E-2</v>
      </c>
      <c r="B270" s="26">
        <f>'Daily Returns'!B270</f>
        <v>-2.6107594936708851E-2</v>
      </c>
      <c r="C270" s="26">
        <f>'Daily Returns'!C270</f>
        <v>1.6028678561127305E-2</v>
      </c>
      <c r="D270" s="26">
        <f>'Daily Returns'!D270</f>
        <v>-2.2779043280182721E-3</v>
      </c>
      <c r="E270" s="26">
        <f>'Daily Returns'!E270</f>
        <v>-2.4578313253012032E-2</v>
      </c>
    </row>
    <row r="271" spans="1:5" ht="15" customHeight="1" x14ac:dyDescent="0.3">
      <c r="A271" s="25">
        <f>'Daily Returns'!F271</f>
        <v>-1.8107099207093475E-3</v>
      </c>
      <c r="B271" s="25">
        <f>'Daily Returns'!B271</f>
        <v>-6.7695640400760758E-4</v>
      </c>
      <c r="C271" s="25">
        <f>'Daily Returns'!C271</f>
        <v>2.7942249979722548E-2</v>
      </c>
      <c r="D271" s="25">
        <f>'Daily Returns'!D271</f>
        <v>-8.1876869784285322E-3</v>
      </c>
      <c r="E271" s="25">
        <f>'Daily Returns'!E271</f>
        <v>-2.7401945880206779E-2</v>
      </c>
    </row>
    <row r="272" spans="1:5" ht="15" customHeight="1" x14ac:dyDescent="0.3">
      <c r="A272" s="26">
        <f>'Daily Returns'!F272</f>
        <v>-1.2069363048206588E-2</v>
      </c>
      <c r="B272" s="26">
        <f>'Daily Returns'!B272</f>
        <v>-1.0838639750711697E-3</v>
      </c>
      <c r="C272" s="26">
        <f>'Daily Returns'!C272</f>
        <v>1.4268618245420264E-2</v>
      </c>
      <c r="D272" s="26">
        <f>'Daily Returns'!D272</f>
        <v>-1.1906651849499921E-2</v>
      </c>
      <c r="E272" s="26">
        <f>'Daily Returns'!E272</f>
        <v>3.6575358524481204E-2</v>
      </c>
    </row>
    <row r="273" spans="1:5" ht="15" customHeight="1" x14ac:dyDescent="0.3">
      <c r="A273" s="25">
        <f>'Daily Returns'!F273</f>
        <v>2.9152781702635193E-3</v>
      </c>
      <c r="B273" s="25">
        <f>'Daily Returns'!B273</f>
        <v>5.1087300510872799E-3</v>
      </c>
      <c r="C273" s="25">
        <f>'Daily Returns'!C273</f>
        <v>2.5205507870238383E-2</v>
      </c>
      <c r="D273" s="25">
        <f>'Daily Returns'!D273</f>
        <v>-1.6709511568123378E-2</v>
      </c>
      <c r="E273" s="25">
        <f>'Daily Returns'!E273</f>
        <v>1.7642402080898734E-2</v>
      </c>
    </row>
    <row r="274" spans="1:5" ht="15" customHeight="1" x14ac:dyDescent="0.3">
      <c r="A274" s="26">
        <f>'Daily Returns'!F274</f>
        <v>-9.1306864522587173E-3</v>
      </c>
      <c r="B274" s="26">
        <f>'Daily Returns'!B274</f>
        <v>-1.0345448002878658E-2</v>
      </c>
      <c r="C274" s="26">
        <f>'Daily Returns'!C274</f>
        <v>-3.8636651068673408E-2</v>
      </c>
      <c r="D274" s="26">
        <f>'Daily Returns'!D274</f>
        <v>-2.4183006535947776E-2</v>
      </c>
      <c r="E274" s="26">
        <f>'Daily Returns'!E274</f>
        <v>-1.9262826449341797E-3</v>
      </c>
    </row>
    <row r="275" spans="1:5" ht="15" customHeight="1" x14ac:dyDescent="0.3">
      <c r="A275" s="25">
        <f>'Daily Returns'!F275</f>
        <v>7.7587042963824706E-3</v>
      </c>
      <c r="B275" s="25">
        <f>'Daily Returns'!B275</f>
        <v>-1.6680301790746366E-2</v>
      </c>
      <c r="C275" s="25">
        <f>'Daily Returns'!C275</f>
        <v>3.472998750246644E-3</v>
      </c>
      <c r="D275" s="25">
        <f>'Daily Returns'!D275</f>
        <v>-1.4819156061620865E-2</v>
      </c>
      <c r="E275" s="25">
        <f>'Daily Returns'!E275</f>
        <v>4.6765393608729205E-3</v>
      </c>
    </row>
    <row r="276" spans="1:5" ht="15" customHeight="1" x14ac:dyDescent="0.3">
      <c r="A276" s="26">
        <f>'Daily Returns'!F276</f>
        <v>1.8337117082721347E-2</v>
      </c>
      <c r="B276" s="26">
        <f>'Daily Returns'!B276</f>
        <v>-2.7686618904552721E-2</v>
      </c>
      <c r="C276" s="26">
        <f>'Daily Returns'!C276</f>
        <v>-2.3794229080087544E-2</v>
      </c>
      <c r="D276" s="26">
        <f>'Daily Returns'!D276</f>
        <v>-1.1897679952409328E-3</v>
      </c>
      <c r="E276" s="26">
        <f>'Daily Returns'!E276</f>
        <v>-1.2892977206398497E-2</v>
      </c>
    </row>
    <row r="277" spans="1:5" ht="15" customHeight="1" x14ac:dyDescent="0.3">
      <c r="A277" s="25">
        <f>'Daily Returns'!F277</f>
        <v>-2.1415048697325427E-3</v>
      </c>
      <c r="B277" s="25">
        <f>'Daily Returns'!B277</f>
        <v>4.8488305761550761E-3</v>
      </c>
      <c r="C277" s="25">
        <f>'Daily Returns'!C277</f>
        <v>-6.0163300386764321E-3</v>
      </c>
      <c r="D277" s="25">
        <f>'Daily Returns'!D277</f>
        <v>1.6251169914064466E-2</v>
      </c>
      <c r="E277" s="25">
        <f>'Daily Returns'!E277</f>
        <v>7.1856287425150298E-3</v>
      </c>
    </row>
    <row r="278" spans="1:5" ht="15" customHeight="1" x14ac:dyDescent="0.3">
      <c r="A278" s="26">
        <f>'Daily Returns'!F278</f>
        <v>-7.0072097097086065E-3</v>
      </c>
      <c r="B278" s="26">
        <f>'Daily Returns'!B278</f>
        <v>5.4404390197748398E-3</v>
      </c>
      <c r="C278" s="26">
        <f>'Daily Returns'!C278</f>
        <v>4.9043450064850782E-3</v>
      </c>
      <c r="D278" s="26">
        <f>'Daily Returns'!D278</f>
        <v>-1.0046885465505717E-2</v>
      </c>
      <c r="E278" s="26">
        <f>'Daily Returns'!E278</f>
        <v>2.2777942925089164E-2</v>
      </c>
    </row>
    <row r="279" spans="1:5" ht="15" customHeight="1" x14ac:dyDescent="0.3">
      <c r="A279" s="25">
        <f>'Daily Returns'!F279</f>
        <v>-1.3430945249873247E-2</v>
      </c>
      <c r="B279" s="25">
        <f>'Daily Returns'!B279</f>
        <v>1.4115654260574978E-2</v>
      </c>
      <c r="C279" s="25">
        <f>'Daily Returns'!C279</f>
        <v>2.2721467080762778E-3</v>
      </c>
      <c r="D279" s="25">
        <f>'Daily Returns'!D279</f>
        <v>-1.8690798376183981E-2</v>
      </c>
      <c r="E279" s="25">
        <f>'Daily Returns'!E279</f>
        <v>-7.375113533151581E-3</v>
      </c>
    </row>
    <row r="280" spans="1:5" ht="15" customHeight="1" x14ac:dyDescent="0.3">
      <c r="A280" s="26">
        <f>'Daily Returns'!F280</f>
        <v>4.8398000596795504E-3</v>
      </c>
      <c r="B280" s="26">
        <f>'Daily Returns'!B280</f>
        <v>1.1274532547673209E-2</v>
      </c>
      <c r="C280" s="26">
        <f>'Daily Returns'!C280</f>
        <v>2.4856468315716012E-2</v>
      </c>
      <c r="D280" s="26">
        <f>'Daily Returns'!D280</f>
        <v>2.5683013013875756E-2</v>
      </c>
      <c r="E280" s="26">
        <f>'Daily Returns'!E280</f>
        <v>9.6625430056364332E-3</v>
      </c>
    </row>
    <row r="281" spans="1:5" ht="15" customHeight="1" x14ac:dyDescent="0.3">
      <c r="A281" s="25">
        <f>'Daily Returns'!F281</f>
        <v>-1.0148041083343811E-2</v>
      </c>
      <c r="B281" s="25">
        <f>'Daily Returns'!B281</f>
        <v>-2.3398788768582276E-3</v>
      </c>
      <c r="C281" s="25">
        <f>'Daily Returns'!C281</f>
        <v>-3.4305833693276312E-2</v>
      </c>
      <c r="D281" s="25">
        <f>'Daily Returns'!D281</f>
        <v>-1.756154944962611E-2</v>
      </c>
      <c r="E281" s="25">
        <f>'Daily Returns'!E281</f>
        <v>-3.1501486261146946E-2</v>
      </c>
    </row>
    <row r="282" spans="1:5" ht="15" customHeight="1" x14ac:dyDescent="0.3">
      <c r="A282" s="26">
        <f>'Daily Returns'!F282</f>
        <v>1.0901939450361909E-2</v>
      </c>
      <c r="B282" s="26">
        <f>'Daily Returns'!B282</f>
        <v>1.8992871924580473E-2</v>
      </c>
      <c r="C282" s="26">
        <f>'Daily Returns'!C282</f>
        <v>-1.4150176199511984E-2</v>
      </c>
      <c r="D282" s="26">
        <f>'Daily Returns'!D282</f>
        <v>1.8816284639069352E-3</v>
      </c>
      <c r="E282" s="26">
        <f>'Daily Returns'!E282</f>
        <v>3.4509862634277688E-2</v>
      </c>
    </row>
    <row r="283" spans="1:5" ht="15" customHeight="1" x14ac:dyDescent="0.3">
      <c r="A283" s="25">
        <f>'Daily Returns'!F283</f>
        <v>1.9161703612802991E-2</v>
      </c>
      <c r="B283" s="25">
        <f>'Daily Returns'!B283</f>
        <v>-1.5344345157505344E-3</v>
      </c>
      <c r="C283" s="25">
        <f>'Daily Returns'!C283</f>
        <v>-2.5516937967443986E-2</v>
      </c>
      <c r="D283" s="25">
        <f>'Daily Returns'!D283</f>
        <v>-1.434181321495652E-2</v>
      </c>
      <c r="E283" s="25">
        <f>'Daily Returns'!E283</f>
        <v>1.9465248380911016E-2</v>
      </c>
    </row>
    <row r="284" spans="1:5" ht="15" customHeight="1" x14ac:dyDescent="0.3">
      <c r="A284" s="26">
        <f>'Daily Returns'!F284</f>
        <v>1.996906931786796E-2</v>
      </c>
      <c r="B284" s="26">
        <f>'Daily Returns'!B284</f>
        <v>-8.8591574760441497E-3</v>
      </c>
      <c r="C284" s="26">
        <f>'Daily Returns'!C284</f>
        <v>-2.8301354401805794E-2</v>
      </c>
      <c r="D284" s="26">
        <f>'Daily Returns'!D284</f>
        <v>-1.0999480339511486E-2</v>
      </c>
      <c r="E284" s="26">
        <f>'Daily Returns'!E284</f>
        <v>-1.0646981580712182E-4</v>
      </c>
    </row>
    <row r="285" spans="1:5" ht="15" customHeight="1" x14ac:dyDescent="0.3">
      <c r="A285" s="25">
        <f>'Daily Returns'!F285</f>
        <v>2.0997111532533991E-2</v>
      </c>
      <c r="B285" s="25">
        <f>'Daily Returns'!B285</f>
        <v>-6.8861729295877005E-3</v>
      </c>
      <c r="C285" s="25">
        <f>'Daily Returns'!C285</f>
        <v>1.8323315039056834E-2</v>
      </c>
      <c r="D285" s="25">
        <f>'Daily Returns'!D285</f>
        <v>6.4804273579123313E-3</v>
      </c>
      <c r="E285" s="25">
        <f>'Daily Returns'!E285</f>
        <v>-5.8209696883651111E-3</v>
      </c>
    </row>
    <row r="286" spans="1:5" ht="15" customHeight="1" x14ac:dyDescent="0.3">
      <c r="A286" s="26">
        <f>'Daily Returns'!F286</f>
        <v>1.6142750369094639E-3</v>
      </c>
      <c r="B286" s="26">
        <f>'Daily Returns'!B286</f>
        <v>-7.8064012490242779E-3</v>
      </c>
      <c r="C286" s="26">
        <f>'Daily Returns'!C286</f>
        <v>3.8211474848864348E-3</v>
      </c>
      <c r="D286" s="26">
        <f>'Daily Returns'!D286</f>
        <v>7.6568345949708117E-3</v>
      </c>
      <c r="E286" s="26">
        <f>'Daily Returns'!E286</f>
        <v>2.7133166726169101E-2</v>
      </c>
    </row>
    <row r="287" spans="1:5" ht="15" customHeight="1" x14ac:dyDescent="0.3">
      <c r="A287" s="25">
        <f>'Daily Returns'!F287</f>
        <v>5.5780546388826211E-3</v>
      </c>
      <c r="B287" s="25">
        <f>'Daily Returns'!B287</f>
        <v>-2.9712593141111621E-2</v>
      </c>
      <c r="C287" s="25">
        <f>'Daily Returns'!C287</f>
        <v>2.805238338730754E-2</v>
      </c>
      <c r="D287" s="25">
        <f>'Daily Returns'!D287</f>
        <v>2.0464554010879928E-2</v>
      </c>
      <c r="E287" s="25">
        <f>'Daily Returns'!E287</f>
        <v>-9.0719499478624042E-3</v>
      </c>
    </row>
    <row r="288" spans="1:5" ht="15" customHeight="1" x14ac:dyDescent="0.3">
      <c r="A288" s="26">
        <f>'Daily Returns'!F288</f>
        <v>-8.5602678453886184E-3</v>
      </c>
      <c r="B288" s="26">
        <f>'Daily Returns'!B288</f>
        <v>2.5280228953016987E-3</v>
      </c>
      <c r="C288" s="26">
        <f>'Daily Returns'!C288</f>
        <v>2.149794829992133E-2</v>
      </c>
      <c r="D288" s="26">
        <f>'Daily Returns'!D288</f>
        <v>1.0915552546962193E-2</v>
      </c>
      <c r="E288" s="26">
        <f>'Daily Returns'!E288</f>
        <v>7.4713248447860411E-3</v>
      </c>
    </row>
    <row r="289" spans="1:5" ht="15" customHeight="1" x14ac:dyDescent="0.3">
      <c r="A289" s="25">
        <f>'Daily Returns'!F289</f>
        <v>-1.4717195591554931E-2</v>
      </c>
      <c r="B289" s="25">
        <f>'Daily Returns'!B289</f>
        <v>3.7586830335902179E-3</v>
      </c>
      <c r="C289" s="25">
        <f>'Daily Returns'!C289</f>
        <v>1.7988773923039523E-3</v>
      </c>
      <c r="D289" s="25">
        <f>'Daily Returns'!D289</f>
        <v>2.8459027370888374E-3</v>
      </c>
      <c r="E289" s="25">
        <f>'Daily Returns'!E289</f>
        <v>-5.4661931620362432E-3</v>
      </c>
    </row>
    <row r="290" spans="1:5" ht="15" customHeight="1" x14ac:dyDescent="0.3">
      <c r="A290" s="26">
        <f>'Daily Returns'!F290</f>
        <v>8.7497787111143165E-3</v>
      </c>
      <c r="B290" s="26">
        <f>'Daily Returns'!B290</f>
        <v>-4.6926103237427555E-3</v>
      </c>
      <c r="C290" s="26">
        <f>'Daily Returns'!C290</f>
        <v>-1.6511853972025578E-2</v>
      </c>
      <c r="D290" s="26">
        <f>'Daily Returns'!D290</f>
        <v>1.0182789416576236E-2</v>
      </c>
      <c r="E290" s="26">
        <f>'Daily Returns'!E290</f>
        <v>-1.6943812357780415E-2</v>
      </c>
    </row>
    <row r="291" spans="1:5" ht="15" customHeight="1" x14ac:dyDescent="0.3">
      <c r="A291" s="25">
        <f>'Daily Returns'!F291</f>
        <v>-1.5815335062922861E-2</v>
      </c>
      <c r="B291" s="25">
        <f>'Daily Returns'!B291</f>
        <v>-9.5723402228783273E-3</v>
      </c>
      <c r="C291" s="25">
        <f>'Daily Returns'!C291</f>
        <v>1.8093211613700252E-2</v>
      </c>
      <c r="D291" s="25">
        <f>'Daily Returns'!D291</f>
        <v>-1.5781211269933045E-2</v>
      </c>
      <c r="E291" s="25">
        <f>'Daily Returns'!E291</f>
        <v>2.0084754816423869E-2</v>
      </c>
    </row>
    <row r="292" spans="1:5" ht="15" customHeight="1" x14ac:dyDescent="0.3">
      <c r="A292" s="26">
        <f>'Daily Returns'!F292</f>
        <v>1.1592039779383778E-2</v>
      </c>
      <c r="B292" s="26">
        <f>'Daily Returns'!B292</f>
        <v>5.4334759821127827E-3</v>
      </c>
      <c r="C292" s="26">
        <f>'Daily Returns'!C292</f>
        <v>-1.1609562719954713E-2</v>
      </c>
      <c r="D292" s="26">
        <f>'Daily Returns'!D292</f>
        <v>1.9476158495634596E-2</v>
      </c>
      <c r="E292" s="26">
        <f>'Daily Returns'!E292</f>
        <v>-7.2962122534472856E-3</v>
      </c>
    </row>
    <row r="293" spans="1:5" ht="15" customHeight="1" x14ac:dyDescent="0.3">
      <c r="A293" s="25">
        <f>'Daily Returns'!F293</f>
        <v>-9.4366886051642437E-3</v>
      </c>
      <c r="B293" s="25">
        <f>'Daily Returns'!B293</f>
        <v>2.4151123864179874E-2</v>
      </c>
      <c r="C293" s="25">
        <f>'Daily Returns'!C293</f>
        <v>-2.0558784207797789E-2</v>
      </c>
      <c r="D293" s="25">
        <f>'Daily Returns'!D293</f>
        <v>8.7285902503293992E-3</v>
      </c>
      <c r="E293" s="25">
        <f>'Daily Returns'!E293</f>
        <v>9.2488394992263166E-3</v>
      </c>
    </row>
    <row r="294" spans="1:5" ht="15" customHeight="1" x14ac:dyDescent="0.3">
      <c r="A294" s="26">
        <f>'Daily Returns'!F294</f>
        <v>-2.001034330136845E-3</v>
      </c>
      <c r="B294" s="26">
        <f>'Daily Returns'!B294</f>
        <v>8.4053233714689152E-4</v>
      </c>
      <c r="C294" s="26">
        <f>'Daily Returns'!C294</f>
        <v>-1.9694964830420082E-2</v>
      </c>
      <c r="D294" s="26">
        <f>'Daily Returns'!D294</f>
        <v>8.1632653061224497E-3</v>
      </c>
      <c r="E294" s="26">
        <f>'Daily Returns'!E294</f>
        <v>-6.0977734415833306E-3</v>
      </c>
    </row>
    <row r="295" spans="1:5" ht="15" customHeight="1" x14ac:dyDescent="0.3">
      <c r="A295" s="25">
        <f>'Daily Returns'!F295</f>
        <v>2.0037433905353608E-2</v>
      </c>
      <c r="B295" s="25">
        <f>'Daily Returns'!B295</f>
        <v>-6.7186114869594834E-3</v>
      </c>
      <c r="C295" s="25">
        <f>'Daily Returns'!C295</f>
        <v>2.7422173597988998E-3</v>
      </c>
      <c r="D295" s="25">
        <f>'Daily Returns'!D295</f>
        <v>9.7975708502023792E-3</v>
      </c>
      <c r="E295" s="25">
        <f>'Daily Returns'!E295</f>
        <v>-2.0684335997757392E-3</v>
      </c>
    </row>
    <row r="296" spans="1:5" ht="15" customHeight="1" x14ac:dyDescent="0.3">
      <c r="A296" s="26">
        <f>'Daily Returns'!F296</f>
        <v>3.2514720091503489E-3</v>
      </c>
      <c r="B296" s="26">
        <f>'Daily Returns'!B296</f>
        <v>-7.8913993141997204E-3</v>
      </c>
      <c r="C296" s="26">
        <f>'Daily Returns'!C296</f>
        <v>2.2926290135177191E-2</v>
      </c>
      <c r="D296" s="26">
        <f>'Daily Returns'!D296</f>
        <v>-2.2933205035682781E-2</v>
      </c>
      <c r="E296" s="26">
        <f>'Daily Returns'!E296</f>
        <v>-2.740207272088434E-3</v>
      </c>
    </row>
    <row r="297" spans="1:5" ht="15" customHeight="1" x14ac:dyDescent="0.3">
      <c r="A297" s="25">
        <f>'Daily Returns'!F297</f>
        <v>6.1393323688278224E-3</v>
      </c>
      <c r="B297" s="25">
        <f>'Daily Returns'!B297</f>
        <v>-6.6284740305863729E-4</v>
      </c>
      <c r="C297" s="25">
        <f>'Daily Returns'!C297</f>
        <v>1.5237145390071239E-3</v>
      </c>
      <c r="D297" s="25">
        <f>'Daily Returns'!D297</f>
        <v>-1.7398440705785723E-2</v>
      </c>
      <c r="E297" s="25">
        <f>'Daily Returns'!E297</f>
        <v>-1.1906858773382165E-2</v>
      </c>
    </row>
    <row r="298" spans="1:5" ht="15" customHeight="1" x14ac:dyDescent="0.3">
      <c r="A298" s="26">
        <f>'Daily Returns'!F298</f>
        <v>-2.7208252712969117E-3</v>
      </c>
      <c r="B298" s="26">
        <f>'Daily Returns'!B298</f>
        <v>-1.7198085943052048E-2</v>
      </c>
      <c r="C298" s="26">
        <f>'Daily Returns'!C298</f>
        <v>2.2184725180492883E-2</v>
      </c>
      <c r="D298" s="26">
        <f>'Daily Returns'!D298</f>
        <v>2.4221164286310202E-3</v>
      </c>
      <c r="E298" s="26">
        <f>'Daily Returns'!E298</f>
        <v>1.4332061749081899E-2</v>
      </c>
    </row>
    <row r="299" spans="1:5" ht="15" customHeight="1" x14ac:dyDescent="0.3">
      <c r="A299" s="25">
        <f>'Daily Returns'!F299</f>
        <v>1.0063363721466991E-2</v>
      </c>
      <c r="B299" s="25">
        <f>'Daily Returns'!B299</f>
        <v>-1.3979946008483997E-3</v>
      </c>
      <c r="C299" s="25">
        <f>'Daily Returns'!C299</f>
        <v>2.2055042892324159E-3</v>
      </c>
      <c r="D299" s="25">
        <f>'Daily Returns'!D299</f>
        <v>2.6662222962840145E-3</v>
      </c>
      <c r="E299" s="25">
        <f>'Daily Returns'!E299</f>
        <v>-1.1598889318476823E-3</v>
      </c>
    </row>
    <row r="300" spans="1:5" ht="15" customHeight="1" x14ac:dyDescent="0.3">
      <c r="A300" s="26">
        <f>'Daily Returns'!F300</f>
        <v>-2.619609462506783E-3</v>
      </c>
      <c r="B300" s="26">
        <f>'Daily Returns'!B300</f>
        <v>1.1585807385951275E-3</v>
      </c>
      <c r="C300" s="26">
        <f>'Daily Returns'!C300</f>
        <v>-6.9259744292485504E-3</v>
      </c>
      <c r="D300" s="26">
        <f>'Daily Returns'!D300</f>
        <v>9.4731593817517085E-3</v>
      </c>
      <c r="E300" s="26">
        <f>'Daily Returns'!E300</f>
        <v>1.6785136181293483E-2</v>
      </c>
    </row>
    <row r="301" spans="1:5" ht="15" customHeight="1" x14ac:dyDescent="0.3">
      <c r="A301" s="25">
        <f>'Daily Returns'!F301</f>
        <v>-1.0205099253392438E-2</v>
      </c>
      <c r="B301" s="25">
        <f>'Daily Returns'!B301</f>
        <v>2.5893244611601356E-2</v>
      </c>
      <c r="C301" s="25">
        <f>'Daily Returns'!C301</f>
        <v>4.8588830278971137E-2</v>
      </c>
      <c r="D301" s="25">
        <f>'Daily Returns'!D301</f>
        <v>2.057951926243003E-3</v>
      </c>
      <c r="E301" s="25">
        <f>'Daily Returns'!E301</f>
        <v>1.4569994808790575E-2</v>
      </c>
    </row>
    <row r="302" spans="1:5" ht="15" customHeight="1" x14ac:dyDescent="0.3">
      <c r="A302" s="26">
        <f>'Daily Returns'!F302</f>
        <v>-1.0867545505221949E-2</v>
      </c>
      <c r="B302" s="26">
        <f>'Daily Returns'!B302</f>
        <v>1.3395375070502081E-2</v>
      </c>
      <c r="C302" s="26">
        <f>'Daily Returns'!C302</f>
        <v>3.2723972513937521E-2</v>
      </c>
      <c r="D302" s="26">
        <f>'Daily Returns'!D302</f>
        <v>-2.464470549576909E-3</v>
      </c>
      <c r="E302" s="26">
        <f>'Daily Returns'!E302</f>
        <v>2.3604857415745525E-2</v>
      </c>
    </row>
    <row r="303" spans="1:5" ht="15" customHeight="1" x14ac:dyDescent="0.3">
      <c r="A303" s="25">
        <f>'Daily Returns'!F303</f>
        <v>-1.7386241548131422E-2</v>
      </c>
      <c r="B303" s="25">
        <f>'Daily Returns'!B303</f>
        <v>1.4609711979963717E-2</v>
      </c>
      <c r="C303" s="25">
        <f>'Daily Returns'!C303</f>
        <v>4.0675923368569174E-3</v>
      </c>
      <c r="D303" s="25">
        <f>'Daily Returns'!D303</f>
        <v>2.0176233220785544E-2</v>
      </c>
      <c r="E303" s="25">
        <f>'Daily Returns'!E303</f>
        <v>-8.8309784057583884E-3</v>
      </c>
    </row>
    <row r="304" spans="1:5" ht="15" customHeight="1" x14ac:dyDescent="0.3">
      <c r="A304" s="26">
        <f>'Daily Returns'!F304</f>
        <v>-1.3919833613227132E-2</v>
      </c>
      <c r="B304" s="26">
        <f>'Daily Returns'!B304</f>
        <v>-9.5538489669043866E-3</v>
      </c>
      <c r="C304" s="26">
        <f>'Daily Returns'!C304</f>
        <v>-1.4091375128160222E-2</v>
      </c>
      <c r="D304" s="26">
        <f>'Daily Returns'!D304</f>
        <v>5.8927994833710366E-3</v>
      </c>
      <c r="E304" s="26">
        <f>'Daily Returns'!E304</f>
        <v>1.3011464882493376E-2</v>
      </c>
    </row>
    <row r="305" spans="1:5" ht="15" customHeight="1" x14ac:dyDescent="0.3">
      <c r="A305" s="25">
        <f>'Daily Returns'!F305</f>
        <v>7.9615998271922121E-3</v>
      </c>
      <c r="B305" s="25">
        <f>'Daily Returns'!B305</f>
        <v>9.5998523099645201E-3</v>
      </c>
      <c r="C305" s="25">
        <f>'Daily Returns'!C305</f>
        <v>-2.7786584824542451E-2</v>
      </c>
      <c r="D305" s="25">
        <f>'Daily Returns'!D305</f>
        <v>1.2198057940775187E-2</v>
      </c>
      <c r="E305" s="25">
        <f>'Daily Returns'!E305</f>
        <v>-2.8211085297046887E-3</v>
      </c>
    </row>
    <row r="306" spans="1:5" ht="15" customHeight="1" x14ac:dyDescent="0.3">
      <c r="A306" s="26">
        <f>'Daily Returns'!F306</f>
        <v>-5.9504387734978751E-4</v>
      </c>
      <c r="B306" s="26">
        <f>'Daily Returns'!B306</f>
        <v>-1.545142857142855E-2</v>
      </c>
      <c r="C306" s="26">
        <f>'Daily Returns'!C306</f>
        <v>7.6832768066788237E-3</v>
      </c>
      <c r="D306" s="26">
        <f>'Daily Returns'!D306</f>
        <v>1.9186553555855197E-2</v>
      </c>
      <c r="E306" s="26">
        <f>'Daily Returns'!E306</f>
        <v>6.6566816442132311E-5</v>
      </c>
    </row>
    <row r="307" spans="1:5" ht="15" customHeight="1" x14ac:dyDescent="0.3">
      <c r="A307" s="25">
        <f>'Daily Returns'!F307</f>
        <v>-1.0482742680777046E-2</v>
      </c>
      <c r="B307" s="25">
        <f>'Daily Returns'!B307</f>
        <v>4.6431722152574639E-3</v>
      </c>
      <c r="C307" s="25">
        <f>'Daily Returns'!C307</f>
        <v>-3.9094357208507317E-3</v>
      </c>
      <c r="D307" s="25">
        <f>'Daily Returns'!D307</f>
        <v>2.0303383897316101E-2</v>
      </c>
      <c r="E307" s="25">
        <f>'Daily Returns'!E307</f>
        <v>-1.3012946383998485E-2</v>
      </c>
    </row>
    <row r="308" spans="1:5" ht="15" customHeight="1" x14ac:dyDescent="0.3">
      <c r="A308" s="26">
        <f>'Daily Returns'!F308</f>
        <v>9.2518355909138959E-3</v>
      </c>
      <c r="B308" s="26">
        <f>'Daily Returns'!B308</f>
        <v>6.1006609049313355E-3</v>
      </c>
      <c r="C308" s="26">
        <f>'Daily Returns'!C308</f>
        <v>8.8242556564907832E-3</v>
      </c>
      <c r="D308" s="26">
        <f>'Daily Returns'!D308</f>
        <v>5.4132357426045132E-3</v>
      </c>
      <c r="E308" s="26">
        <f>'Daily Returns'!E308</f>
        <v>-8.4974372808200079E-3</v>
      </c>
    </row>
    <row r="309" spans="1:5" ht="15" customHeight="1" x14ac:dyDescent="0.3">
      <c r="A309" s="25">
        <f>'Daily Returns'!F309</f>
        <v>2.4118189026058421E-3</v>
      </c>
      <c r="B309" s="25">
        <f>'Daily Returns'!B309</f>
        <v>-1.0289861729983045E-2</v>
      </c>
      <c r="C309" s="25">
        <f>'Daily Returns'!C309</f>
        <v>6.2994357560610965E-3</v>
      </c>
      <c r="D309" s="25">
        <f>'Daily Returns'!D309</f>
        <v>1.1829832410707532E-2</v>
      </c>
      <c r="E309" s="25">
        <f>'Daily Returns'!E309</f>
        <v>1.2379268126785425E-2</v>
      </c>
    </row>
    <row r="310" spans="1:5" ht="15" customHeight="1" x14ac:dyDescent="0.3">
      <c r="A310" s="26">
        <f>'Daily Returns'!F310</f>
        <v>5.3920831691904054E-3</v>
      </c>
      <c r="B310" s="26">
        <f>'Daily Returns'!B310</f>
        <v>2.8034346716175544E-2</v>
      </c>
      <c r="C310" s="26">
        <f>'Daily Returns'!C310</f>
        <v>8.2826601805031392E-3</v>
      </c>
      <c r="D310" s="26">
        <f>'Daily Returns'!D310</f>
        <v>4.5716855279920943E-3</v>
      </c>
      <c r="E310" s="26">
        <f>'Daily Returns'!E310</f>
        <v>-5.9795753829616684E-3</v>
      </c>
    </row>
    <row r="311" spans="1:5" ht="15" customHeight="1" x14ac:dyDescent="0.3">
      <c r="A311" s="25">
        <f>'Daily Returns'!F311</f>
        <v>-1.0903798768146483E-2</v>
      </c>
      <c r="B311" s="25">
        <f>'Daily Returns'!B311</f>
        <v>8.1719264978102942E-3</v>
      </c>
      <c r="C311" s="25">
        <f>'Daily Returns'!C311</f>
        <v>2.0746045047103975E-2</v>
      </c>
      <c r="D311" s="25">
        <f>'Daily Returns'!D311</f>
        <v>1.7308266189197417E-2</v>
      </c>
      <c r="E311" s="25">
        <f>'Daily Returns'!E311</f>
        <v>-1.3315309226089889E-2</v>
      </c>
    </row>
    <row r="312" spans="1:5" ht="15" customHeight="1" x14ac:dyDescent="0.3">
      <c r="A312" s="26">
        <f>'Daily Returns'!F312</f>
        <v>-4.9001205664038578E-3</v>
      </c>
      <c r="B312" s="26">
        <f>'Daily Returns'!B312</f>
        <v>-2.6063591580833056E-2</v>
      </c>
      <c r="C312" s="26">
        <f>'Daily Returns'!C312</f>
        <v>6.1321458779043112E-3</v>
      </c>
      <c r="D312" s="26">
        <f>'Daily Returns'!D312</f>
        <v>3.6300968025813937E-2</v>
      </c>
      <c r="E312" s="26">
        <f>'Daily Returns'!E312</f>
        <v>1.6509110837100952E-2</v>
      </c>
    </row>
    <row r="313" spans="1:5" ht="15" customHeight="1" x14ac:dyDescent="0.3">
      <c r="A313" s="25">
        <f>'Daily Returns'!F313</f>
        <v>4.3163425306782044E-3</v>
      </c>
      <c r="B313" s="25">
        <f>'Daily Returns'!B313</f>
        <v>8.0007356998345099E-3</v>
      </c>
      <c r="C313" s="25">
        <f>'Daily Returns'!C313</f>
        <v>-1.2164818454919745E-2</v>
      </c>
      <c r="D313" s="25">
        <f>'Daily Returns'!D313</f>
        <v>-1.6063972825702429E-2</v>
      </c>
      <c r="E313" s="25">
        <f>'Daily Returns'!E313</f>
        <v>7.2107284857471643E-3</v>
      </c>
    </row>
    <row r="314" spans="1:5" ht="15" customHeight="1" x14ac:dyDescent="0.3">
      <c r="A314" s="26">
        <f>'Daily Returns'!F314</f>
        <v>-2.7241578209564184E-3</v>
      </c>
      <c r="B314" s="26">
        <f>'Daily Returns'!B314</f>
        <v>-5.3371042788066215E-3</v>
      </c>
      <c r="C314" s="26">
        <f>'Daily Returns'!C314</f>
        <v>-1.2990426131030594E-2</v>
      </c>
      <c r="D314" s="26">
        <f>'Daily Returns'!D314</f>
        <v>-1.1435558112773327E-2</v>
      </c>
      <c r="E314" s="26">
        <f>'Daily Returns'!E314</f>
        <v>-2.2547838886658667E-2</v>
      </c>
    </row>
    <row r="315" spans="1:5" ht="15" customHeight="1" x14ac:dyDescent="0.3">
      <c r="A315" s="25">
        <f>'Daily Returns'!F315</f>
        <v>1.1763413754894734E-2</v>
      </c>
      <c r="B315" s="25">
        <f>'Daily Returns'!B315</f>
        <v>3.2102728731939087E-4</v>
      </c>
      <c r="C315" s="25">
        <f>'Daily Returns'!C315</f>
        <v>1.0879074898246468E-2</v>
      </c>
      <c r="D315" s="25">
        <f>'Daily Returns'!D315</f>
        <v>2.5318297562750225E-2</v>
      </c>
      <c r="E315" s="25">
        <f>'Daily Returns'!E315</f>
        <v>2.4642343760694452E-3</v>
      </c>
    </row>
    <row r="316" spans="1:5" ht="15" customHeight="1" x14ac:dyDescent="0.3">
      <c r="A316" s="26">
        <f>'Daily Returns'!F316</f>
        <v>9.1261851193654413E-3</v>
      </c>
      <c r="B316" s="26">
        <f>'Daily Returns'!B316</f>
        <v>6.7852558224829902E-3</v>
      </c>
      <c r="C316" s="26">
        <f>'Daily Returns'!C316</f>
        <v>-1.8312950768265942E-2</v>
      </c>
      <c r="D316" s="26">
        <f>'Daily Returns'!D316</f>
        <v>3.3349890016320075E-3</v>
      </c>
      <c r="E316" s="26">
        <f>'Daily Returns'!E316</f>
        <v>2.1816319562990932E-2</v>
      </c>
    </row>
    <row r="317" spans="1:5" ht="15" customHeight="1" x14ac:dyDescent="0.3">
      <c r="A317" s="25">
        <f>'Daily Returns'!F317</f>
        <v>1.7337333455653307E-2</v>
      </c>
      <c r="B317" s="25">
        <f>'Daily Returns'!B317</f>
        <v>5.7377049180328751E-3</v>
      </c>
      <c r="C317" s="25">
        <f>'Daily Returns'!C317</f>
        <v>1.3275410464447693E-2</v>
      </c>
      <c r="D317" s="25">
        <f>'Daily Returns'!D317</f>
        <v>-6.3649222065064051E-3</v>
      </c>
      <c r="E317" s="25">
        <f>'Daily Returns'!E317</f>
        <v>2.1183467539844212E-2</v>
      </c>
    </row>
    <row r="318" spans="1:5" ht="15" customHeight="1" x14ac:dyDescent="0.3">
      <c r="A318" s="26">
        <f>'Daily Returns'!F318</f>
        <v>3.8245083620082948E-3</v>
      </c>
      <c r="B318" s="26">
        <f>'Daily Returns'!B318</f>
        <v>-2.793624920764292E-2</v>
      </c>
      <c r="C318" s="26">
        <f>'Daily Returns'!C318</f>
        <v>1.3189750832240539E-2</v>
      </c>
      <c r="D318" s="26">
        <f>'Daily Returns'!D318</f>
        <v>-1.0533807829181422E-2</v>
      </c>
      <c r="E318" s="26">
        <f>'Daily Returns'!E318</f>
        <v>-9.6849131302554712E-3</v>
      </c>
    </row>
    <row r="319" spans="1:5" ht="15" customHeight="1" x14ac:dyDescent="0.3">
      <c r="A319" s="25">
        <f>'Daily Returns'!F319</f>
        <v>-6.9137406001904735E-3</v>
      </c>
      <c r="B319" s="25">
        <f>'Daily Returns'!B319</f>
        <v>-1.5743630350738252E-2</v>
      </c>
      <c r="C319" s="25">
        <f>'Daily Returns'!C319</f>
        <v>-1.866832607342592E-4</v>
      </c>
      <c r="D319" s="25">
        <f>'Daily Returns'!D319</f>
        <v>1.5177672277370055E-2</v>
      </c>
      <c r="E319" s="25">
        <f>'Daily Returns'!E319</f>
        <v>-2.0517395182872555E-2</v>
      </c>
    </row>
    <row r="320" spans="1:5" ht="15" customHeight="1" x14ac:dyDescent="0.3">
      <c r="A320" s="26">
        <f>'Daily Returns'!F320</f>
        <v>8.7828023875893228E-4</v>
      </c>
      <c r="B320" s="26">
        <f>'Daily Returns'!B320</f>
        <v>1.1026454024892263E-2</v>
      </c>
      <c r="C320" s="26">
        <f>'Daily Returns'!C320</f>
        <v>-1.3182299122424886E-2</v>
      </c>
      <c r="D320" s="26">
        <f>'Daily Returns'!D320</f>
        <v>9.2113654077801421E-3</v>
      </c>
      <c r="E320" s="26">
        <f>'Daily Returns'!E320</f>
        <v>-6.4089590501247296E-3</v>
      </c>
    </row>
    <row r="321" spans="1:5" ht="15" customHeight="1" x14ac:dyDescent="0.3">
      <c r="A321" s="25">
        <f>'Daily Returns'!F321</f>
        <v>2.6741285958501289E-2</v>
      </c>
      <c r="B321" s="25">
        <f>'Daily Returns'!B321</f>
        <v>1.8348623853211087E-2</v>
      </c>
      <c r="C321" s="25">
        <f>'Daily Returns'!C321</f>
        <v>-3.0740703365457395E-2</v>
      </c>
      <c r="D321" s="25">
        <f>'Daily Returns'!D321</f>
        <v>3.2015727023801177E-2</v>
      </c>
      <c r="E321" s="25">
        <f>'Daily Returns'!E321</f>
        <v>2.5869092884302024E-2</v>
      </c>
    </row>
    <row r="322" spans="1:5" ht="15" customHeight="1" x14ac:dyDescent="0.3">
      <c r="A322" s="26">
        <f>'Daily Returns'!F322</f>
        <v>1.2669786459035588E-2</v>
      </c>
      <c r="B322" s="26">
        <f>'Daily Returns'!B322</f>
        <v>2.665931237359814E-2</v>
      </c>
      <c r="C322" s="26">
        <f>'Daily Returns'!C322</f>
        <v>-1.922200965655459E-2</v>
      </c>
      <c r="D322" s="26">
        <f>'Daily Returns'!D322</f>
        <v>-1.0885094224096644E-3</v>
      </c>
      <c r="E322" s="26">
        <f>'Daily Returns'!E322</f>
        <v>1.4527764908332736E-2</v>
      </c>
    </row>
    <row r="323" spans="1:5" ht="15" customHeight="1" x14ac:dyDescent="0.3">
      <c r="A323" s="25">
        <f>'Daily Returns'!F323</f>
        <v>-1.3848212575713992E-3</v>
      </c>
      <c r="B323" s="25">
        <f>'Daily Returns'!B323</f>
        <v>2.5340257879656145E-2</v>
      </c>
      <c r="C323" s="25">
        <f>'Daily Returns'!C323</f>
        <v>-2.8091080385340039E-2</v>
      </c>
      <c r="D323" s="25">
        <f>'Daily Returns'!D323</f>
        <v>1.4642784172171743E-2</v>
      </c>
      <c r="E323" s="25">
        <f>'Daily Returns'!E323</f>
        <v>-4.2861336725706974E-2</v>
      </c>
    </row>
    <row r="324" spans="1:5" ht="15" customHeight="1" x14ac:dyDescent="0.3">
      <c r="A324" s="26">
        <f>'Daily Returns'!F324</f>
        <v>8.4311587410715507E-3</v>
      </c>
      <c r="B324" s="26">
        <f>'Daily Returns'!B324</f>
        <v>-2.8163479172124778E-2</v>
      </c>
      <c r="C324" s="26">
        <f>'Daily Returns'!C324</f>
        <v>1.0649191071062498E-3</v>
      </c>
      <c r="D324" s="26">
        <f>'Daily Returns'!D324</f>
        <v>2.6446502886293449E-2</v>
      </c>
      <c r="E324" s="26">
        <f>'Daily Returns'!E324</f>
        <v>1.6699042361040035E-2</v>
      </c>
    </row>
    <row r="325" spans="1:5" ht="15" customHeight="1" x14ac:dyDescent="0.3">
      <c r="A325" s="25">
        <f>'Daily Returns'!F325</f>
        <v>-1.9669160596788209E-3</v>
      </c>
      <c r="B325" s="25">
        <f>'Daily Returns'!B325</f>
        <v>1.0962843150469505E-2</v>
      </c>
      <c r="C325" s="25">
        <f>'Daily Returns'!C325</f>
        <v>-7.2010146884333324E-3</v>
      </c>
      <c r="D325" s="25">
        <f>'Daily Returns'!D325</f>
        <v>-2.2233847763536343E-2</v>
      </c>
      <c r="E325" s="25">
        <f>'Daily Returns'!E325</f>
        <v>-4.143063050983796E-2</v>
      </c>
    </row>
    <row r="326" spans="1:5" ht="15" customHeight="1" x14ac:dyDescent="0.3">
      <c r="A326" s="26">
        <f>'Daily Returns'!F326</f>
        <v>-3.2834273100840979E-3</v>
      </c>
      <c r="B326" s="26">
        <f>'Daily Returns'!B326</f>
        <v>-2.6221056841918038E-2</v>
      </c>
      <c r="C326" s="26">
        <f>'Daily Returns'!C326</f>
        <v>-1.5646679030153307E-2</v>
      </c>
      <c r="D326" s="26">
        <f>'Daily Returns'!D326</f>
        <v>-1.6185125735687637E-2</v>
      </c>
      <c r="E326" s="26">
        <f>'Daily Returns'!E326</f>
        <v>3.6996887785431982E-2</v>
      </c>
    </row>
    <row r="327" spans="1:5" ht="15" customHeight="1" x14ac:dyDescent="0.3">
      <c r="A327" s="25">
        <f>'Daily Returns'!F327</f>
        <v>1.3182923759766194E-2</v>
      </c>
      <c r="B327" s="25">
        <f>'Daily Returns'!B327</f>
        <v>2.2637031627949337E-2</v>
      </c>
      <c r="C327" s="25">
        <f>'Daily Returns'!C327</f>
        <v>1.5993078039522213E-2</v>
      </c>
      <c r="D327" s="25">
        <f>'Daily Returns'!D327</f>
        <v>4.6906866077498144E-3</v>
      </c>
      <c r="E327" s="25">
        <f>'Daily Returns'!E327</f>
        <v>1.645590962738154E-2</v>
      </c>
    </row>
    <row r="328" spans="1:5" ht="15" customHeight="1" x14ac:dyDescent="0.3">
      <c r="A328" s="26">
        <f>'Daily Returns'!F328</f>
        <v>5.1992941269843147E-3</v>
      </c>
      <c r="B328" s="26">
        <f>'Daily Returns'!B328</f>
        <v>3.8380863123131776E-3</v>
      </c>
      <c r="C328" s="26">
        <f>'Daily Returns'!C328</f>
        <v>2.8708002527403531E-3</v>
      </c>
      <c r="D328" s="26">
        <f>'Daily Returns'!D328</f>
        <v>-8.5932742404762289E-3</v>
      </c>
      <c r="E328" s="26">
        <f>'Daily Returns'!E328</f>
        <v>-6.999966824801823E-3</v>
      </c>
    </row>
    <row r="329" spans="1:5" ht="15" customHeight="1" x14ac:dyDescent="0.3">
      <c r="A329" s="25">
        <f>'Daily Returns'!F329</f>
        <v>1.0957111769791082E-2</v>
      </c>
      <c r="B329" s="25">
        <f>'Daily Returns'!B329</f>
        <v>-1.5471480016005059E-2</v>
      </c>
      <c r="C329" s="25">
        <f>'Daily Returns'!C329</f>
        <v>1.4381394584377072E-3</v>
      </c>
      <c r="D329" s="25">
        <f>'Daily Returns'!D329</f>
        <v>-6.2790062790063876E-3</v>
      </c>
      <c r="E329" s="25">
        <f>'Daily Returns'!E329</f>
        <v>2.5056795402913271E-3</v>
      </c>
    </row>
    <row r="330" spans="1:5" ht="15" customHeight="1" x14ac:dyDescent="0.3">
      <c r="A330" s="26">
        <f>'Daily Returns'!F330</f>
        <v>2.0173086930777157E-2</v>
      </c>
      <c r="B330" s="26">
        <f>'Daily Returns'!B330</f>
        <v>2.8177918265974305E-2</v>
      </c>
      <c r="C330" s="26">
        <f>'Daily Returns'!C330</f>
        <v>1.0435472400021878E-2</v>
      </c>
      <c r="D330" s="26">
        <f>'Daily Returns'!D330</f>
        <v>-1.0027472527472582E-2</v>
      </c>
      <c r="E330" s="26">
        <f>'Daily Returns'!E330</f>
        <v>1.2963641816909342E-2</v>
      </c>
    </row>
    <row r="331" spans="1:5" ht="15" customHeight="1" x14ac:dyDescent="0.3">
      <c r="A331" s="25">
        <f>'Daily Returns'!F331</f>
        <v>-5.2579209114797815E-3</v>
      </c>
      <c r="B331" s="25">
        <f>'Daily Returns'!B331</f>
        <v>9.2230664499977789E-3</v>
      </c>
      <c r="C331" s="25">
        <f>'Daily Returns'!C331</f>
        <v>1.888222634307455E-2</v>
      </c>
      <c r="D331" s="25">
        <f>'Daily Returns'!D331</f>
        <v>-1.8731788538919234E-3</v>
      </c>
      <c r="E331" s="25">
        <f>'Daily Returns'!E331</f>
        <v>-8.8498486642979279E-3</v>
      </c>
    </row>
    <row r="332" spans="1:5" ht="15" customHeight="1" x14ac:dyDescent="0.3">
      <c r="A332" s="26">
        <f>'Daily Returns'!F332</f>
        <v>3.8780479281411411E-3</v>
      </c>
      <c r="B332" s="26">
        <f>'Daily Returns'!B332</f>
        <v>-2.5893206841028717E-2</v>
      </c>
      <c r="C332" s="26">
        <f>'Daily Returns'!C332</f>
        <v>-2.7672237425937298E-2</v>
      </c>
      <c r="D332" s="26">
        <f>'Daily Returns'!D332</f>
        <v>-1.3901438798915687E-2</v>
      </c>
      <c r="E332" s="26">
        <f>'Daily Returns'!E332</f>
        <v>9.2276031466791576E-3</v>
      </c>
    </row>
    <row r="333" spans="1:5" ht="15" customHeight="1" x14ac:dyDescent="0.3">
      <c r="A333" s="25">
        <f>'Daily Returns'!F333</f>
        <v>1.1149170935766542E-2</v>
      </c>
      <c r="B333" s="25">
        <f>'Daily Returns'!B333</f>
        <v>4.3781272337383385E-3</v>
      </c>
      <c r="C333" s="25">
        <f>'Daily Returns'!C333</f>
        <v>1.3048052356164103E-2</v>
      </c>
      <c r="D333" s="25">
        <f>'Daily Returns'!D333</f>
        <v>-1.9736378374568347E-2</v>
      </c>
      <c r="E333" s="25">
        <f>'Daily Returns'!E333</f>
        <v>-1.9733596447953387E-3</v>
      </c>
    </row>
    <row r="334" spans="1:5" ht="15" customHeight="1" x14ac:dyDescent="0.3">
      <c r="A334" s="26">
        <f>'Daily Returns'!F334</f>
        <v>9.3704354714925064E-3</v>
      </c>
      <c r="B334" s="26">
        <f>'Daily Returns'!B334</f>
        <v>-9.8300862912551364E-3</v>
      </c>
      <c r="C334" s="26">
        <f>'Daily Returns'!C334</f>
        <v>-3.1303104685350573E-2</v>
      </c>
      <c r="D334" s="26">
        <f>'Daily Returns'!D334</f>
        <v>6.4715610843460543E-3</v>
      </c>
      <c r="E334" s="26">
        <f>'Daily Returns'!E334</f>
        <v>-4.2511122095895987E-3</v>
      </c>
    </row>
    <row r="335" spans="1:5" ht="15" customHeight="1" x14ac:dyDescent="0.3">
      <c r="A335" s="25">
        <f>'Daily Returns'!F335</f>
        <v>-3.883112284316139E-3</v>
      </c>
      <c r="B335" s="25">
        <f>'Daily Returns'!B335</f>
        <v>1.8867076950720429E-3</v>
      </c>
      <c r="C335" s="25">
        <f>'Daily Returns'!C335</f>
        <v>-1.3421510616080733E-2</v>
      </c>
      <c r="D335" s="25">
        <f>'Daily Returns'!D335</f>
        <v>2.3576480674431127E-3</v>
      </c>
      <c r="E335" s="25">
        <f>'Daily Returns'!E335</f>
        <v>2.9289118347895039E-2</v>
      </c>
    </row>
    <row r="336" spans="1:5" ht="15" customHeight="1" x14ac:dyDescent="0.3">
      <c r="A336" s="26">
        <f>'Daily Returns'!F336</f>
        <v>9.4027358344836443E-4</v>
      </c>
      <c r="B336" s="26">
        <f>'Daily Returns'!B336</f>
        <v>-6.1426713894991913E-3</v>
      </c>
      <c r="C336" s="26">
        <f>'Daily Returns'!C336</f>
        <v>1.8444560477554561E-2</v>
      </c>
      <c r="D336" s="26">
        <f>'Daily Returns'!D336</f>
        <v>1.5823235923022087E-2</v>
      </c>
      <c r="E336" s="26">
        <f>'Daily Returns'!E336</f>
        <v>-3.8037362142696325E-2</v>
      </c>
    </row>
    <row r="337" spans="1:5" ht="15" customHeight="1" x14ac:dyDescent="0.3">
      <c r="A337" s="25">
        <f>'Daily Returns'!F337</f>
        <v>2.2180027386071551E-2</v>
      </c>
      <c r="B337" s="25">
        <f>'Daily Returns'!B337</f>
        <v>1.9353965532797942E-2</v>
      </c>
      <c r="C337" s="25">
        <f>'Daily Returns'!C337</f>
        <v>1.2789602039685205E-2</v>
      </c>
      <c r="D337" s="25">
        <f>'Daily Returns'!D337</f>
        <v>8.6303676676956903E-3</v>
      </c>
      <c r="E337" s="25">
        <f>'Daily Returns'!E337</f>
        <v>1.3704124607258779E-3</v>
      </c>
    </row>
    <row r="338" spans="1:5" ht="15" customHeight="1" x14ac:dyDescent="0.3">
      <c r="A338" s="26">
        <f>'Daily Returns'!F338</f>
        <v>-5.9686552532852259E-3</v>
      </c>
      <c r="B338" s="26">
        <f>'Daily Returns'!B338</f>
        <v>-1.9384819650365107E-2</v>
      </c>
      <c r="C338" s="26">
        <f>'Daily Returns'!C338</f>
        <v>1.232709909564788E-2</v>
      </c>
      <c r="D338" s="26">
        <f>'Daily Returns'!D338</f>
        <v>7.0260869565216761E-3</v>
      </c>
      <c r="E338" s="26">
        <f>'Daily Returns'!E338</f>
        <v>-2.5868687205847993E-2</v>
      </c>
    </row>
    <row r="339" spans="1:5" ht="15" customHeight="1" x14ac:dyDescent="0.3">
      <c r="A339" s="25">
        <f>'Daily Returns'!F339</f>
        <v>5.6271562159545237E-3</v>
      </c>
      <c r="B339" s="25">
        <f>'Daily Returns'!B339</f>
        <v>4.6937762332446651E-3</v>
      </c>
      <c r="C339" s="25">
        <f>'Daily Returns'!C339</f>
        <v>3.7977078603093025E-3</v>
      </c>
      <c r="D339" s="25">
        <f>'Daily Returns'!D339</f>
        <v>1.2296214423874007E-2</v>
      </c>
      <c r="E339" s="25">
        <f>'Daily Returns'!E339</f>
        <v>-2.9468201754384487E-3</v>
      </c>
    </row>
    <row r="340" spans="1:5" ht="15" customHeight="1" x14ac:dyDescent="0.3">
      <c r="A340" s="26">
        <f>'Daily Returns'!F340</f>
        <v>5.9641238483889719E-3</v>
      </c>
      <c r="B340" s="26">
        <f>'Daily Returns'!B340</f>
        <v>2.5470553883473281E-2</v>
      </c>
      <c r="C340" s="26">
        <f>'Daily Returns'!C340</f>
        <v>2.5527446043649826E-2</v>
      </c>
      <c r="D340" s="26">
        <f>'Daily Returns'!D340</f>
        <v>-1.4057595195850979E-2</v>
      </c>
      <c r="E340" s="26">
        <f>'Daily Returns'!E340</f>
        <v>-1.2921850298989589E-2</v>
      </c>
    </row>
    <row r="341" spans="1:5" ht="15" customHeight="1" x14ac:dyDescent="0.3">
      <c r="A341" s="25">
        <f>'Daily Returns'!F341</f>
        <v>-1.5882206995941464E-2</v>
      </c>
      <c r="B341" s="25">
        <f>'Daily Returns'!B341</f>
        <v>-1.1126686525319748E-2</v>
      </c>
      <c r="C341" s="25">
        <f>'Daily Returns'!C341</f>
        <v>-2.6585618821305255E-2</v>
      </c>
      <c r="D341" s="25">
        <f>'Daily Returns'!D341</f>
        <v>-7.4058693244739293E-3</v>
      </c>
      <c r="E341" s="25">
        <f>'Daily Returns'!E341</f>
        <v>4.8603857670078611E-2</v>
      </c>
    </row>
    <row r="342" spans="1:5" ht="15" customHeight="1" x14ac:dyDescent="0.3">
      <c r="A342" s="26">
        <f>'Daily Returns'!F342</f>
        <v>7.7263370478697435E-3</v>
      </c>
      <c r="B342" s="26">
        <f>'Daily Returns'!B342</f>
        <v>3.2338088065916085E-3</v>
      </c>
      <c r="C342" s="26">
        <f>'Daily Returns'!C342</f>
        <v>-4.7879801467415675E-3</v>
      </c>
      <c r="D342" s="26">
        <f>'Daily Returns'!D342</f>
        <v>4.741649815215165E-3</v>
      </c>
      <c r="E342" s="26">
        <f>'Daily Returns'!E342</f>
        <v>-9.2303605817120309E-3</v>
      </c>
    </row>
    <row r="343" spans="1:5" ht="15" customHeight="1" x14ac:dyDescent="0.3">
      <c r="A343" s="25">
        <f>'Daily Returns'!F343</f>
        <v>-1.487720256105376E-2</v>
      </c>
      <c r="B343" s="25">
        <f>'Daily Returns'!B343</f>
        <v>3.0909171192651948E-3</v>
      </c>
      <c r="C343" s="25">
        <f>'Daily Returns'!C343</f>
        <v>1.4365284798548011E-3</v>
      </c>
      <c r="D343" s="25">
        <f>'Daily Returns'!D343</f>
        <v>1.5060031924491551E-2</v>
      </c>
      <c r="E343" s="25">
        <f>'Daily Returns'!E343</f>
        <v>-2.111260053619288E-3</v>
      </c>
    </row>
    <row r="344" spans="1:5" ht="15" customHeight="1" x14ac:dyDescent="0.3">
      <c r="A344" s="26">
        <f>'Daily Returns'!F344</f>
        <v>2.7916041743735946E-3</v>
      </c>
      <c r="B344" s="26">
        <f>'Daily Returns'!B344</f>
        <v>-9.244178368622593E-3</v>
      </c>
      <c r="C344" s="26">
        <f>'Daily Returns'!C344</f>
        <v>3.6484200554841223E-2</v>
      </c>
      <c r="D344" s="26">
        <f>'Daily Returns'!D344</f>
        <v>1.0597565978394717E-2</v>
      </c>
      <c r="E344" s="26">
        <f>'Daily Returns'!E344</f>
        <v>-1.1216710884239431E-2</v>
      </c>
    </row>
    <row r="345" spans="1:5" ht="15" customHeight="1" x14ac:dyDescent="0.3">
      <c r="A345" s="25">
        <f>'Daily Returns'!F345</f>
        <v>1.4357531387061345E-2</v>
      </c>
      <c r="B345" s="25">
        <f>'Daily Returns'!B345</f>
        <v>9.2859999111387717E-3</v>
      </c>
      <c r="C345" s="25">
        <f>'Daily Returns'!C345</f>
        <v>1.8709770077424293E-2</v>
      </c>
      <c r="D345" s="25">
        <f>'Daily Returns'!D345</f>
        <v>-2.9091401123063853E-3</v>
      </c>
      <c r="E345" s="25">
        <f>'Daily Returns'!E345</f>
        <v>1.7287640525761556E-2</v>
      </c>
    </row>
    <row r="346" spans="1:5" ht="15" customHeight="1" x14ac:dyDescent="0.3">
      <c r="A346" s="26">
        <f>'Daily Returns'!F346</f>
        <v>-5.2723075446885247E-3</v>
      </c>
      <c r="B346" s="26">
        <f>'Daily Returns'!B346</f>
        <v>1.6728297235428574E-3</v>
      </c>
      <c r="C346" s="26">
        <f>'Daily Returns'!C346</f>
        <v>1.8904439659591921E-2</v>
      </c>
      <c r="D346" s="26">
        <f>'Daily Returns'!D346</f>
        <v>-2.5783688424480624E-3</v>
      </c>
      <c r="E346" s="26">
        <f>'Daily Returns'!E346</f>
        <v>-9.1813568376068379E-3</v>
      </c>
    </row>
    <row r="347" spans="1:5" ht="15" customHeight="1" x14ac:dyDescent="0.3">
      <c r="A347" s="25">
        <f>'Daily Returns'!F347</f>
        <v>-1.6871986891886261E-2</v>
      </c>
      <c r="B347" s="25">
        <f>'Daily Returns'!B347</f>
        <v>-1.2745011866045555E-2</v>
      </c>
      <c r="C347" s="25">
        <f>'Daily Returns'!C347</f>
        <v>-1.2830350067296501E-2</v>
      </c>
      <c r="D347" s="25">
        <f>'Daily Returns'!D347</f>
        <v>4.3537414965985465E-3</v>
      </c>
      <c r="E347" s="25">
        <f>'Daily Returns'!E347</f>
        <v>-1.1894733295144297E-2</v>
      </c>
    </row>
    <row r="348" spans="1:5" ht="15" customHeight="1" x14ac:dyDescent="0.3">
      <c r="A348" s="26">
        <f>'Daily Returns'!F348</f>
        <v>8.9266767771530524E-5</v>
      </c>
      <c r="B348" s="26">
        <f>'Daily Returns'!B348</f>
        <v>2.4750712250712261E-2</v>
      </c>
      <c r="C348" s="26">
        <f>'Daily Returns'!C348</f>
        <v>4.0278291007785544E-2</v>
      </c>
      <c r="D348" s="26">
        <f>'Daily Returns'!D348</f>
        <v>-1.7813600650230261E-2</v>
      </c>
      <c r="E348" s="26">
        <f>'Daily Returns'!E348</f>
        <v>3.5806847633337878E-2</v>
      </c>
    </row>
    <row r="349" spans="1:5" ht="15" customHeight="1" x14ac:dyDescent="0.3">
      <c r="A349" s="25">
        <f>'Daily Returns'!F349</f>
        <v>1.3658135333651021E-4</v>
      </c>
      <c r="B349" s="25">
        <f>'Daily Returns'!B349</f>
        <v>1.1251086012163352E-2</v>
      </c>
      <c r="C349" s="25">
        <f>'Daily Returns'!C349</f>
        <v>8.9171974522292662E-3</v>
      </c>
      <c r="D349" s="25">
        <f>'Daily Returns'!D349</f>
        <v>1.3723191504034268E-2</v>
      </c>
      <c r="E349" s="25">
        <f>'Daily Returns'!E349</f>
        <v>1.5243300190952774E-2</v>
      </c>
    </row>
    <row r="350" spans="1:5" ht="15" customHeight="1" x14ac:dyDescent="0.3">
      <c r="A350" s="26">
        <f>'Daily Returns'!F350</f>
        <v>1.725498583691036E-3</v>
      </c>
      <c r="B350" s="26">
        <f>'Daily Returns'!B350</f>
        <v>-1.9760298981914151E-3</v>
      </c>
      <c r="C350" s="26">
        <f>'Daily Returns'!C350</f>
        <v>-1.7154720279720276E-2</v>
      </c>
      <c r="D350" s="26">
        <f>'Daily Returns'!D350</f>
        <v>1.2585034013605403E-2</v>
      </c>
      <c r="E350" s="26">
        <f>'Daily Returns'!E350</f>
        <v>5.5777150825306303E-3</v>
      </c>
    </row>
    <row r="351" spans="1:5" ht="15" customHeight="1" x14ac:dyDescent="0.3">
      <c r="A351" s="25">
        <f>'Daily Returns'!F351</f>
        <v>2.9310405741267008E-3</v>
      </c>
      <c r="B351" s="25">
        <f>'Daily Returns'!B351</f>
        <v>-8.5223604355873887E-3</v>
      </c>
      <c r="C351" s="25">
        <f>'Daily Returns'!C351</f>
        <v>4.1961583595824879E-2</v>
      </c>
      <c r="D351" s="25">
        <f>'Daily Returns'!D351</f>
        <v>1.5048706751763582E-2</v>
      </c>
      <c r="E351" s="25">
        <f>'Daily Returns'!E351</f>
        <v>4.6051146441355835E-2</v>
      </c>
    </row>
    <row r="352" spans="1:5" ht="15" customHeight="1" x14ac:dyDescent="0.3">
      <c r="A352" s="26">
        <f>'Daily Returns'!F352</f>
        <v>3.5779973361734102E-3</v>
      </c>
      <c r="B352" s="26">
        <f>'Daily Returns'!B352</f>
        <v>-1.0549164315172593E-2</v>
      </c>
      <c r="C352" s="26">
        <f>'Daily Returns'!C352</f>
        <v>-2.456373292867985E-2</v>
      </c>
      <c r="D352" s="26">
        <f>'Daily Returns'!D352</f>
        <v>1.6016943543583212E-2</v>
      </c>
      <c r="E352" s="26">
        <f>'Daily Returns'!E352</f>
        <v>-1.1499213860714673E-2</v>
      </c>
    </row>
    <row r="353" spans="1:5" ht="15" customHeight="1" x14ac:dyDescent="0.3">
      <c r="A353" s="25">
        <f>'Daily Returns'!F353</f>
        <v>-1.6238833941688652E-2</v>
      </c>
      <c r="B353" s="25">
        <f>'Daily Returns'!B353</f>
        <v>1.7374517374517409E-2</v>
      </c>
      <c r="C353" s="25">
        <f>'Daily Returns'!C353</f>
        <v>-1.4730189596499764E-2</v>
      </c>
      <c r="D353" s="25">
        <f>'Daily Returns'!D353</f>
        <v>1.6155299329034058E-2</v>
      </c>
      <c r="E353" s="25">
        <f>'Daily Returns'!E353</f>
        <v>-1.4876497005987968E-2</v>
      </c>
    </row>
    <row r="354" spans="1:5" ht="15" customHeight="1" x14ac:dyDescent="0.3">
      <c r="A354" s="26">
        <f>'Daily Returns'!F354</f>
        <v>1.2536848845367333E-2</v>
      </c>
      <c r="B354" s="26">
        <f>'Daily Returns'!B354</f>
        <v>-1.6819044333275244E-3</v>
      </c>
      <c r="C354" s="26">
        <f>'Daily Returns'!C354</f>
        <v>-3.5279025016034687E-3</v>
      </c>
      <c r="D354" s="26">
        <f>'Daily Returns'!D354</f>
        <v>-2.9296749791653448E-2</v>
      </c>
      <c r="E354" s="26">
        <f>'Daily Returns'!E354</f>
        <v>-1.4499635926172108E-2</v>
      </c>
    </row>
    <row r="355" spans="1:5" ht="15" customHeight="1" x14ac:dyDescent="0.3">
      <c r="A355" s="25">
        <f>'Daily Returns'!F355</f>
        <v>-2.421589538236793E-2</v>
      </c>
      <c r="B355" s="25">
        <f>'Daily Returns'!B355</f>
        <v>6.6525551859691213E-3</v>
      </c>
      <c r="C355" s="25">
        <f>'Daily Returns'!C355</f>
        <v>-1.6699264687677958E-2</v>
      </c>
      <c r="D355" s="25">
        <f>'Daily Returns'!D355</f>
        <v>3.9624884427421929E-3</v>
      </c>
      <c r="E355" s="25">
        <f>'Daily Returns'!E355</f>
        <v>2.3193806418452152E-2</v>
      </c>
    </row>
    <row r="356" spans="1:5" ht="15" customHeight="1" x14ac:dyDescent="0.3">
      <c r="A356" s="26">
        <f>'Daily Returns'!F356</f>
        <v>-3.6704000031403212E-3</v>
      </c>
      <c r="B356" s="26">
        <f>'Daily Returns'!B356</f>
        <v>-2.2314723426168745E-3</v>
      </c>
      <c r="C356" s="26">
        <f>'Daily Returns'!C356</f>
        <v>9.8951317462515741E-3</v>
      </c>
      <c r="D356" s="26">
        <f>'Daily Returns'!D356</f>
        <v>-2.2168135771609029E-2</v>
      </c>
      <c r="E356" s="26">
        <f>'Daily Returns'!E356</f>
        <v>-1.1208439295469509E-2</v>
      </c>
    </row>
    <row r="357" spans="1:5" ht="15" customHeight="1" x14ac:dyDescent="0.3">
      <c r="A357" s="25">
        <f>'Daily Returns'!F357</f>
        <v>9.4945536035099636E-3</v>
      </c>
      <c r="B357" s="25">
        <f>'Daily Returns'!B357</f>
        <v>8.8598339856350364E-3</v>
      </c>
      <c r="C357" s="25">
        <f>'Daily Returns'!C357</f>
        <v>5.4725189792941649E-3</v>
      </c>
      <c r="D357" s="25">
        <f>'Daily Returns'!D357</f>
        <v>-1.4598049108644573E-2</v>
      </c>
      <c r="E357" s="25">
        <f>'Daily Returns'!E357</f>
        <v>2.2956753667365271E-2</v>
      </c>
    </row>
    <row r="358" spans="1:5" ht="15" customHeight="1" x14ac:dyDescent="0.3">
      <c r="A358" s="26">
        <f>'Daily Returns'!F358</f>
        <v>-8.3060433026537865E-3</v>
      </c>
      <c r="B358" s="26">
        <f>'Daily Returns'!B358</f>
        <v>-1.2789359253100694E-3</v>
      </c>
      <c r="C358" s="26">
        <f>'Daily Returns'!C358</f>
        <v>2.6035855091868245E-3</v>
      </c>
      <c r="D358" s="26">
        <f>'Daily Returns'!D358</f>
        <v>-1.7067176406335338E-3</v>
      </c>
      <c r="E358" s="26">
        <f>'Daily Returns'!E358</f>
        <v>-1.1422540894558793E-2</v>
      </c>
    </row>
    <row r="359" spans="1:5" ht="15" customHeight="1" x14ac:dyDescent="0.3">
      <c r="A359" s="25">
        <f>'Daily Returns'!F359</f>
        <v>-1.6101677739370036E-2</v>
      </c>
      <c r="B359" s="25">
        <f>'Daily Returns'!B359</f>
        <v>1.0884876424638165E-2</v>
      </c>
      <c r="C359" s="25">
        <f>'Daily Returns'!C359</f>
        <v>3.3993668694662922E-2</v>
      </c>
      <c r="D359" s="25">
        <f>'Daily Returns'!D359</f>
        <v>1.9079532243725779E-2</v>
      </c>
      <c r="E359" s="25">
        <f>'Daily Returns'!E359</f>
        <v>-3.381581839304211E-2</v>
      </c>
    </row>
    <row r="360" spans="1:5" ht="15" customHeight="1" x14ac:dyDescent="0.3">
      <c r="A360" s="26">
        <f>'Daily Returns'!F360</f>
        <v>-8.1770925413203535E-3</v>
      </c>
      <c r="B360" s="26">
        <f>'Daily Returns'!B360</f>
        <v>-2.195760493201511E-3</v>
      </c>
      <c r="C360" s="26">
        <f>'Daily Returns'!C360</f>
        <v>-2.8223925756724003E-2</v>
      </c>
      <c r="D360" s="26">
        <f>'Daily Returns'!D360</f>
        <v>5.5697221849415118E-3</v>
      </c>
      <c r="E360" s="26">
        <f>'Daily Returns'!E360</f>
        <v>-1.465618094371522E-2</v>
      </c>
    </row>
    <row r="361" spans="1:5" ht="15" customHeight="1" x14ac:dyDescent="0.3">
      <c r="A361" s="25">
        <f>'Daily Returns'!F361</f>
        <v>-5.1632276403469953E-3</v>
      </c>
      <c r="B361" s="25">
        <f>'Daily Returns'!B361</f>
        <v>1.1807024968260652E-2</v>
      </c>
      <c r="C361" s="25">
        <f>'Daily Returns'!C361</f>
        <v>2.4699410512325014E-2</v>
      </c>
      <c r="D361" s="25">
        <f>'Daily Returns'!D361</f>
        <v>4.0707374040708285E-3</v>
      </c>
      <c r="E361" s="25">
        <f>'Daily Returns'!E361</f>
        <v>5.9034992249596668E-3</v>
      </c>
    </row>
    <row r="362" spans="1:5" ht="15" customHeight="1" x14ac:dyDescent="0.3">
      <c r="A362" s="26">
        <f>'Daily Returns'!F362</f>
        <v>2.309202332126329E-2</v>
      </c>
      <c r="B362" s="26">
        <f>'Daily Returns'!B362</f>
        <v>9.6198084403362038E-3</v>
      </c>
      <c r="C362" s="26">
        <f>'Daily Returns'!C362</f>
        <v>-1.3955611068408922E-2</v>
      </c>
      <c r="D362" s="26">
        <f>'Daily Returns'!D362</f>
        <v>2.851256147813367E-2</v>
      </c>
      <c r="E362" s="26">
        <f>'Daily Returns'!E362</f>
        <v>2.3016393442622893E-2</v>
      </c>
    </row>
    <row r="363" spans="1:5" ht="15" customHeight="1" x14ac:dyDescent="0.3">
      <c r="A363" s="25">
        <f>'Daily Returns'!F363</f>
        <v>-1.6586615801810832E-2</v>
      </c>
      <c r="B363" s="25">
        <f>'Daily Returns'!B363</f>
        <v>-1.2842288412940629E-3</v>
      </c>
      <c r="C363" s="25">
        <f>'Daily Returns'!C363</f>
        <v>2.6381817738910098E-2</v>
      </c>
      <c r="D363" s="25">
        <f>'Daily Returns'!D363</f>
        <v>4.2003231017770969E-3</v>
      </c>
      <c r="E363" s="25">
        <f>'Daily Returns'!E363</f>
        <v>2.5062495993846527E-2</v>
      </c>
    </row>
    <row r="364" spans="1:5" ht="15" customHeight="1" x14ac:dyDescent="0.3">
      <c r="A364" s="26">
        <f>'Daily Returns'!F364</f>
        <v>5.1292320294059161E-3</v>
      </c>
      <c r="B364" s="26">
        <f>'Daily Returns'!B364</f>
        <v>-1.1614401858304344E-2</v>
      </c>
      <c r="C364" s="26">
        <f>'Daily Returns'!C364</f>
        <v>3.4200408221388964E-2</v>
      </c>
      <c r="D364" s="26">
        <f>'Daily Returns'!D364</f>
        <v>-1.4543114543114667E-2</v>
      </c>
      <c r="E364" s="26">
        <f>'Daily Returns'!E364</f>
        <v>7.4099549774887591E-3</v>
      </c>
    </row>
    <row r="365" spans="1:5" ht="15" customHeight="1" x14ac:dyDescent="0.3">
      <c r="A365" s="25">
        <f>'Daily Returns'!F365</f>
        <v>-1.9166779239510913E-3</v>
      </c>
      <c r="B365" s="25">
        <f>'Daily Returns'!B365</f>
        <v>-1.2716132281349678E-2</v>
      </c>
      <c r="C365" s="25">
        <f>'Daily Returns'!C365</f>
        <v>4.1193344807802616E-2</v>
      </c>
      <c r="D365" s="25">
        <f>'Daily Returns'!D365</f>
        <v>-2.1614209220321107E-2</v>
      </c>
      <c r="E365" s="25">
        <f>'Daily Returns'!E365</f>
        <v>1.3376369448496329E-2</v>
      </c>
    </row>
    <row r="366" spans="1:5" ht="15" customHeight="1" x14ac:dyDescent="0.3">
      <c r="A366" s="26">
        <f>'Daily Returns'!F366</f>
        <v>-8.8953389484194272E-3</v>
      </c>
      <c r="B366" s="26">
        <f>'Daily Returns'!B366</f>
        <v>-9.946865037194488E-3</v>
      </c>
      <c r="C366" s="26">
        <f>'Daily Returns'!C366</f>
        <v>-2.7661450297553352E-3</v>
      </c>
      <c r="D366" s="26">
        <f>'Daily Returns'!D366</f>
        <v>-1.3348461589801774E-2</v>
      </c>
      <c r="E366" s="26">
        <f>'Daily Returns'!E366</f>
        <v>-4.949160847727542E-2</v>
      </c>
    </row>
    <row r="367" spans="1:5" ht="15" customHeight="1" x14ac:dyDescent="0.3">
      <c r="A367" s="25">
        <f>'Daily Returns'!F367</f>
        <v>-1.5311917612433222E-2</v>
      </c>
      <c r="B367" s="25">
        <f>'Daily Returns'!B367</f>
        <v>-1.330986217852387E-2</v>
      </c>
      <c r="C367" s="25">
        <f>'Daily Returns'!C367</f>
        <v>-1.9925073765872065E-2</v>
      </c>
      <c r="D367" s="25">
        <f>'Daily Returns'!D367</f>
        <v>2.1646485828315846E-3</v>
      </c>
      <c r="E367" s="25">
        <f>'Daily Returns'!E367</f>
        <v>5.4452893414099679E-3</v>
      </c>
    </row>
    <row r="368" spans="1:5" ht="15" customHeight="1" x14ac:dyDescent="0.3">
      <c r="A368" s="26">
        <f>'Daily Returns'!F368</f>
        <v>-1.3115415242606404E-2</v>
      </c>
      <c r="B368" s="26">
        <f>'Daily Returns'!B368</f>
        <v>1.2314520691005543E-2</v>
      </c>
      <c r="C368" s="26">
        <f>'Daily Returns'!C368</f>
        <v>6.3820670680828631E-3</v>
      </c>
      <c r="D368" s="26">
        <f>'Daily Returns'!D368</f>
        <v>-2.3827202159973006E-2</v>
      </c>
      <c r="E368" s="26">
        <f>'Daily Returns'!E368</f>
        <v>1.2177535651337781E-3</v>
      </c>
    </row>
    <row r="369" spans="1:5" ht="15" customHeight="1" x14ac:dyDescent="0.3">
      <c r="A369" s="25">
        <f>'Daily Returns'!F369</f>
        <v>4.2479551477318028E-3</v>
      </c>
      <c r="B369" s="25">
        <f>'Daily Returns'!B369</f>
        <v>-3.4387895460790958E-4</v>
      </c>
      <c r="C369" s="25">
        <f>'Daily Returns'!C369</f>
        <v>-3.4733115224302584E-4</v>
      </c>
      <c r="D369" s="25">
        <f>'Daily Returns'!D369</f>
        <v>7.2604065827685171E-3</v>
      </c>
      <c r="E369" s="25">
        <f>'Daily Returns'!E369</f>
        <v>-5.3772044938066345E-3</v>
      </c>
    </row>
    <row r="370" spans="1:5" ht="15" customHeight="1" x14ac:dyDescent="0.3">
      <c r="A370" s="26">
        <f>'Daily Returns'!F370</f>
        <v>8.0084059923215632E-3</v>
      </c>
      <c r="B370" s="26">
        <f>'Daily Returns'!B370</f>
        <v>2.2101823185414458E-2</v>
      </c>
      <c r="C370" s="26">
        <f>'Daily Returns'!C370</f>
        <v>-3.0497304446262689E-2</v>
      </c>
      <c r="D370" s="26">
        <f>'Daily Returns'!D370</f>
        <v>5.2859202306584077E-3</v>
      </c>
      <c r="E370" s="26">
        <f>'Daily Returns'!E370</f>
        <v>-1.2099758648431186E-2</v>
      </c>
    </row>
    <row r="371" spans="1:5" ht="15" customHeight="1" x14ac:dyDescent="0.3">
      <c r="A371" s="25">
        <f>'Daily Returns'!F371</f>
        <v>1.5267746306643803E-2</v>
      </c>
      <c r="B371" s="25">
        <f>'Daily Returns'!B371</f>
        <v>3.1888935633151087E-2</v>
      </c>
      <c r="C371" s="25">
        <f>'Daily Returns'!C371</f>
        <v>1.3572254335260126E-2</v>
      </c>
      <c r="D371" s="25">
        <f>'Daily Returns'!D371</f>
        <v>-1.0925976509150467E-2</v>
      </c>
      <c r="E371" s="25">
        <f>'Daily Returns'!E371</f>
        <v>1.710153425193003E-2</v>
      </c>
    </row>
    <row r="372" spans="1:5" ht="15" customHeight="1" x14ac:dyDescent="0.3">
      <c r="A372" s="26">
        <f>'Daily Returns'!F372</f>
        <v>-1.0481077905342449E-2</v>
      </c>
      <c r="B372" s="26">
        <f>'Daily Returns'!B372</f>
        <v>6.5231572080885758E-4</v>
      </c>
      <c r="C372" s="26">
        <f>'Daily Returns'!C372</f>
        <v>-1.5683098752195635E-2</v>
      </c>
      <c r="D372" s="26">
        <f>'Daily Returns'!D372</f>
        <v>2.0022093344379457E-3</v>
      </c>
      <c r="E372" s="26">
        <f>'Daily Returns'!E372</f>
        <v>2.2002305918524225E-2</v>
      </c>
    </row>
    <row r="373" spans="1:5" ht="15" customHeight="1" x14ac:dyDescent="0.3">
      <c r="A373" s="25">
        <f>'Daily Returns'!F373</f>
        <v>-2.3704280793832973E-2</v>
      </c>
      <c r="B373" s="25">
        <f>'Daily Returns'!B373</f>
        <v>-2.1145697522816156E-2</v>
      </c>
      <c r="C373" s="25">
        <f>'Daily Returns'!C373</f>
        <v>2.6037381661432955E-2</v>
      </c>
      <c r="D373" s="25">
        <f>'Daily Returns'!D373</f>
        <v>8.5440639426721497E-3</v>
      </c>
      <c r="E373" s="25">
        <f>'Daily Returns'!E373</f>
        <v>3.7604587759706681E-2</v>
      </c>
    </row>
    <row r="374" spans="1:5" ht="15" customHeight="1" x14ac:dyDescent="0.3">
      <c r="A374" s="26">
        <f>'Daily Returns'!F374</f>
        <v>6.8864211945451319E-3</v>
      </c>
      <c r="B374" s="26">
        <f>'Daily Returns'!B374</f>
        <v>-4.9531737773152867E-3</v>
      </c>
      <c r="C374" s="26">
        <f>'Daily Returns'!C374</f>
        <v>1.7617961285659327E-2</v>
      </c>
      <c r="D374" s="26">
        <f>'Daily Returns'!D374</f>
        <v>-9.5648015303682835E-3</v>
      </c>
      <c r="E374" s="26">
        <f>'Daily Returns'!E374</f>
        <v>-3.2013530246745863E-3</v>
      </c>
    </row>
    <row r="375" spans="1:5" ht="15" customHeight="1" x14ac:dyDescent="0.3">
      <c r="A375" s="25">
        <f>'Daily Returns'!F375</f>
        <v>6.3281410819656788E-3</v>
      </c>
      <c r="B375" s="25">
        <f>'Daily Returns'!B375</f>
        <v>-7.1111854764500926E-4</v>
      </c>
      <c r="C375" s="25">
        <f>'Daily Returns'!C375</f>
        <v>-4.372627793931526E-3</v>
      </c>
      <c r="D375" s="25">
        <f>'Daily Returns'!D375</f>
        <v>1.193350348347927E-2</v>
      </c>
      <c r="E375" s="25">
        <f>'Daily Returns'!E375</f>
        <v>-1.4573549462202703E-2</v>
      </c>
    </row>
    <row r="376" spans="1:5" ht="15" customHeight="1" x14ac:dyDescent="0.3">
      <c r="A376" s="26">
        <f>'Daily Returns'!F376</f>
        <v>1.3793660876476471E-2</v>
      </c>
      <c r="B376" s="26">
        <f>'Daily Returns'!B376</f>
        <v>-2.0344091422830529E-2</v>
      </c>
      <c r="C376" s="26">
        <f>'Daily Returns'!C376</f>
        <v>1.2372926698769548E-3</v>
      </c>
      <c r="D376" s="26">
        <f>'Daily Returns'!D376</f>
        <v>-1.0906612133605961E-2</v>
      </c>
      <c r="E376" s="26">
        <f>'Daily Returns'!E376</f>
        <v>3.609642110441523E-2</v>
      </c>
    </row>
    <row r="377" spans="1:5" ht="15" customHeight="1" x14ac:dyDescent="0.3">
      <c r="A377" s="25">
        <f>'Daily Returns'!F377</f>
        <v>-2.1114870562636012E-2</v>
      </c>
      <c r="B377" s="25">
        <f>'Daily Returns'!B377</f>
        <v>-3.1192582147587479E-3</v>
      </c>
      <c r="C377" s="25">
        <f>'Daily Returns'!C377</f>
        <v>-3.6850249935985874E-3</v>
      </c>
      <c r="D377" s="25">
        <f>'Daily Returns'!D377</f>
        <v>9.6485182632667522E-3</v>
      </c>
      <c r="E377" s="25">
        <f>'Daily Returns'!E377</f>
        <v>-5.5789661107483986E-3</v>
      </c>
    </row>
    <row r="378" spans="1:5" ht="15" customHeight="1" x14ac:dyDescent="0.3">
      <c r="A378" s="26">
        <f>'Daily Returns'!F378</f>
        <v>1.7327766528331921E-2</v>
      </c>
      <c r="B378" s="26">
        <f>'Daily Returns'!B378</f>
        <v>4.2863266180882984E-3</v>
      </c>
      <c r="C378" s="26">
        <f>'Daily Returns'!C378</f>
        <v>-7.4755285388637431E-3</v>
      </c>
      <c r="D378" s="26">
        <f>'Daily Returns'!D378</f>
        <v>2.3412969283276498E-2</v>
      </c>
      <c r="E378" s="26">
        <f>'Daily Returns'!E378</f>
        <v>-9.3703372127724345E-3</v>
      </c>
    </row>
    <row r="379" spans="1:5" ht="15" customHeight="1" x14ac:dyDescent="0.3">
      <c r="A379" s="25">
        <f>'Daily Returns'!F379</f>
        <v>1.8407605603040619E-3</v>
      </c>
      <c r="B379" s="25">
        <f>'Daily Returns'!B379</f>
        <v>-6.0606060606061283E-3</v>
      </c>
      <c r="C379" s="25">
        <f>'Daily Returns'!C379</f>
        <v>5.5244700133974235E-2</v>
      </c>
      <c r="D379" s="25">
        <f>'Daily Returns'!D379</f>
        <v>5.469218968852085E-3</v>
      </c>
      <c r="E379" s="25">
        <f>'Daily Returns'!E379</f>
        <v>-2.5725991083262935E-2</v>
      </c>
    </row>
    <row r="380" spans="1:5" ht="15" customHeight="1" x14ac:dyDescent="0.3">
      <c r="A380" s="26">
        <f>'Daily Returns'!F380</f>
        <v>2.3237191472777429E-2</v>
      </c>
      <c r="B380" s="26">
        <f>'Daily Returns'!B380</f>
        <v>-1.0348677430436262E-2</v>
      </c>
      <c r="C380" s="26">
        <f>'Daily Returns'!C380</f>
        <v>-1.5918062520004224E-2</v>
      </c>
      <c r="D380" s="26">
        <f>'Daily Returns'!D380</f>
        <v>-1.9701492537313424E-2</v>
      </c>
      <c r="E380" s="26">
        <f>'Daily Returns'!E380</f>
        <v>8.4101168758888446E-3</v>
      </c>
    </row>
    <row r="381" spans="1:5" ht="15" customHeight="1" x14ac:dyDescent="0.3">
      <c r="A381" s="25">
        <f>'Daily Returns'!F381</f>
        <v>-2.0165295346482046E-3</v>
      </c>
      <c r="B381" s="25">
        <f>'Daily Returns'!B381</f>
        <v>-1.0196554866143074E-2</v>
      </c>
      <c r="C381" s="25">
        <f>'Daily Returns'!C381</f>
        <v>1.5720202085908687E-3</v>
      </c>
      <c r="D381" s="25">
        <f>'Daily Returns'!D381</f>
        <v>1.8270401948843567E-3</v>
      </c>
      <c r="E381" s="25">
        <f>'Daily Returns'!E381</f>
        <v>1.1927393144048526E-2</v>
      </c>
    </row>
    <row r="382" spans="1:5" ht="15" customHeight="1" x14ac:dyDescent="0.3">
      <c r="A382" s="26">
        <f>'Daily Returns'!F382</f>
        <v>1.612731050164349E-2</v>
      </c>
      <c r="B382" s="26">
        <f>'Daily Returns'!B382</f>
        <v>2.5118358758548086E-2</v>
      </c>
      <c r="C382" s="26">
        <f>'Daily Returns'!C382</f>
        <v>1.8087743415996366E-2</v>
      </c>
      <c r="D382" s="26">
        <f>'Daily Returns'!D382</f>
        <v>1.6210739614993628E-3</v>
      </c>
      <c r="E382" s="26">
        <f>'Daily Returns'!E382</f>
        <v>1.6422749447020019E-2</v>
      </c>
    </row>
    <row r="383" spans="1:5" ht="15" customHeight="1" x14ac:dyDescent="0.3">
      <c r="A383" s="25">
        <f>'Daily Returns'!F383</f>
        <v>-6.2134295781363542E-3</v>
      </c>
      <c r="B383" s="25">
        <f>'Daily Returns'!B383</f>
        <v>-1.9243104554200925E-3</v>
      </c>
      <c r="C383" s="25">
        <f>'Daily Returns'!C383</f>
        <v>-6.1879345907669388E-3</v>
      </c>
      <c r="D383" s="25">
        <f>'Daily Returns'!D383</f>
        <v>-1.3149908962168647E-2</v>
      </c>
      <c r="E383" s="25">
        <f>'Daily Returns'!E383</f>
        <v>4.6802802205991745E-3</v>
      </c>
    </row>
    <row r="384" spans="1:5" ht="15" customHeight="1" x14ac:dyDescent="0.3">
      <c r="A384" s="26">
        <f>'Daily Returns'!F384</f>
        <v>2.4742646196790962E-2</v>
      </c>
      <c r="B384" s="26">
        <f>'Daily Returns'!B384</f>
        <v>-1.1182519280205713E-2</v>
      </c>
      <c r="C384" s="26">
        <f>'Daily Returns'!C384</f>
        <v>-1.0495121533721391E-2</v>
      </c>
      <c r="D384" s="26">
        <f>'Daily Returns'!D384</f>
        <v>-1.9406860735274041E-2</v>
      </c>
      <c r="E384" s="26">
        <f>'Daily Returns'!E384</f>
        <v>1.0770874132098972E-2</v>
      </c>
    </row>
    <row r="385" spans="1:5" ht="15" customHeight="1" x14ac:dyDescent="0.3">
      <c r="A385" s="25">
        <f>'Daily Returns'!F385</f>
        <v>-5.4643272313719014E-3</v>
      </c>
      <c r="B385" s="25">
        <f>'Daily Returns'!B385</f>
        <v>-4.8528965726418157E-3</v>
      </c>
      <c r="C385" s="25">
        <f>'Daily Returns'!C385</f>
        <v>-2.2845466045344948E-2</v>
      </c>
      <c r="D385" s="25">
        <f>'Daily Returns'!D385</f>
        <v>-5.6445993031359045E-3</v>
      </c>
      <c r="E385" s="25">
        <f>'Daily Returns'!E385</f>
        <v>1.0949655071187491E-2</v>
      </c>
    </row>
    <row r="386" spans="1:5" ht="15" customHeight="1" x14ac:dyDescent="0.3">
      <c r="A386" s="26">
        <f>'Daily Returns'!F386</f>
        <v>-1.683770707392716E-2</v>
      </c>
      <c r="B386" s="26">
        <f>'Daily Returns'!B386</f>
        <v>1.3541167762441825E-2</v>
      </c>
      <c r="C386" s="26">
        <f>'Daily Returns'!C386</f>
        <v>2.1620305826639312E-2</v>
      </c>
      <c r="D386" s="26">
        <f>'Daily Returns'!D386</f>
        <v>1.4086481182984029E-2</v>
      </c>
      <c r="E386" s="26">
        <f>'Daily Returns'!E386</f>
        <v>1.0192229513909027E-2</v>
      </c>
    </row>
    <row r="387" spans="1:5" ht="15" customHeight="1" x14ac:dyDescent="0.3">
      <c r="A387" s="25">
        <f>'Daily Returns'!F387</f>
        <v>3.0589706073082925E-3</v>
      </c>
      <c r="B387" s="25">
        <f>'Daily Returns'!B387</f>
        <v>-9.1502706418076958E-3</v>
      </c>
      <c r="C387" s="25">
        <f>'Daily Returns'!C387</f>
        <v>1.3159034787505932E-2</v>
      </c>
      <c r="D387" s="25">
        <f>'Daily Returns'!D387</f>
        <v>1.3268832066344272E-2</v>
      </c>
      <c r="E387" s="25">
        <f>'Daily Returns'!E387</f>
        <v>2.2737072063008495E-2</v>
      </c>
    </row>
    <row r="388" spans="1:5" ht="15" customHeight="1" x14ac:dyDescent="0.3">
      <c r="A388" s="26">
        <f>'Daily Returns'!F388</f>
        <v>1.3303555912044561E-2</v>
      </c>
      <c r="B388" s="26">
        <f>'Daily Returns'!B388</f>
        <v>6.980273141122849E-3</v>
      </c>
      <c r="C388" s="26">
        <f>'Daily Returns'!C388</f>
        <v>8.8832351652110113E-3</v>
      </c>
      <c r="D388" s="26">
        <f>'Daily Returns'!D388</f>
        <v>1.9301595962351547E-2</v>
      </c>
      <c r="E388" s="26">
        <f>'Daily Returns'!E388</f>
        <v>1.661045531197293E-2</v>
      </c>
    </row>
    <row r="389" spans="1:5" ht="15" customHeight="1" x14ac:dyDescent="0.3">
      <c r="A389" s="25">
        <f>'Daily Returns'!F389</f>
        <v>1.4726472413106928E-2</v>
      </c>
      <c r="B389" s="25">
        <f>'Daily Returns'!B389</f>
        <v>1.0419357616464377E-2</v>
      </c>
      <c r="C389" s="25">
        <f>'Daily Returns'!C389</f>
        <v>-2.6023013837970656E-2</v>
      </c>
      <c r="D389" s="25">
        <f>'Daily Returns'!D389</f>
        <v>-3.345600535294945E-4</v>
      </c>
      <c r="E389" s="25">
        <f>'Daily Returns'!E389</f>
        <v>4.0363827375522838E-3</v>
      </c>
    </row>
    <row r="390" spans="1:5" ht="15" customHeight="1" x14ac:dyDescent="0.3">
      <c r="A390" s="26">
        <f>'Daily Returns'!F390</f>
        <v>-3.3053007679492979E-4</v>
      </c>
      <c r="B390" s="26">
        <f>'Daily Returns'!B390</f>
        <v>1.0695415033236708E-2</v>
      </c>
      <c r="C390" s="26">
        <f>'Daily Returns'!C390</f>
        <v>9.4863036052305512E-3</v>
      </c>
      <c r="D390" s="26">
        <f>'Daily Returns'!D390</f>
        <v>3.1392235609103064E-2</v>
      </c>
      <c r="E390" s="26">
        <f>'Daily Returns'!E390</f>
        <v>-9.6924305421704389E-3</v>
      </c>
    </row>
    <row r="391" spans="1:5" ht="15" customHeight="1" x14ac:dyDescent="0.3">
      <c r="A391" s="25">
        <f>'Daily Returns'!F391</f>
        <v>4.8799600232197525E-3</v>
      </c>
      <c r="B391" s="25">
        <f>'Daily Returns'!B391</f>
        <v>1.9731017327880632E-2</v>
      </c>
      <c r="C391" s="25">
        <f>'Daily Returns'!C391</f>
        <v>5.6253637088603935E-3</v>
      </c>
      <c r="D391" s="25">
        <f>'Daily Returns'!D391</f>
        <v>-1.297942760724252E-2</v>
      </c>
      <c r="E391" s="25">
        <f>'Daily Returns'!E391</f>
        <v>1.5654108160711791E-2</v>
      </c>
    </row>
    <row r="392" spans="1:5" ht="15" customHeight="1" x14ac:dyDescent="0.3">
      <c r="A392" s="26">
        <f>'Daily Returns'!F392</f>
        <v>2.2394963315321828E-4</v>
      </c>
      <c r="B392" s="26">
        <f>'Daily Returns'!B392</f>
        <v>-7.3179807334518964E-3</v>
      </c>
      <c r="C392" s="26">
        <f>'Daily Returns'!C392</f>
        <v>-5.3688542157829212E-3</v>
      </c>
      <c r="D392" s="26">
        <f>'Daily Returns'!D392</f>
        <v>7.3640607535012462E-3</v>
      </c>
      <c r="E392" s="26">
        <f>'Daily Returns'!E392</f>
        <v>-1.0430354796320483E-2</v>
      </c>
    </row>
    <row r="393" spans="1:5" ht="15" customHeight="1" x14ac:dyDescent="0.3">
      <c r="A393" s="25">
        <f>'Daily Returns'!F393</f>
        <v>1.562282618950441E-2</v>
      </c>
      <c r="B393" s="25">
        <f>'Daily Returns'!B393</f>
        <v>1.5993336109954199E-2</v>
      </c>
      <c r="C393" s="25">
        <f>'Daily Returns'!C393</f>
        <v>-2.3692291116737606E-2</v>
      </c>
      <c r="D393" s="25">
        <f>'Daily Returns'!D393</f>
        <v>-3.3940343319627322E-3</v>
      </c>
      <c r="E393" s="25">
        <f>'Daily Returns'!E393</f>
        <v>-2.2961794893076627E-3</v>
      </c>
    </row>
    <row r="394" spans="1:5" ht="15" customHeight="1" x14ac:dyDescent="0.3">
      <c r="A394" s="26">
        <f>'Daily Returns'!F394</f>
        <v>1.223301113563329E-2</v>
      </c>
      <c r="B394" s="26">
        <f>'Daily Returns'!B394</f>
        <v>-1.0658358612773609E-2</v>
      </c>
      <c r="C394" s="26">
        <f>'Daily Returns'!C394</f>
        <v>-3.9728083340691891E-4</v>
      </c>
      <c r="D394" s="26">
        <f>'Daily Returns'!D394</f>
        <v>2.3839151221429135E-2</v>
      </c>
      <c r="E394" s="26">
        <f>'Daily Returns'!E394</f>
        <v>-1.3060115350487966E-2</v>
      </c>
    </row>
    <row r="395" spans="1:5" ht="15" customHeight="1" x14ac:dyDescent="0.3">
      <c r="A395" s="25">
        <f>'Daily Returns'!F395</f>
        <v>-5.3500294111076489E-3</v>
      </c>
      <c r="B395" s="25">
        <f>'Daily Returns'!B395</f>
        <v>-5.1794149332891355E-3</v>
      </c>
      <c r="C395" s="25">
        <f>'Daily Returns'!C395</f>
        <v>-1.4771472731287255E-2</v>
      </c>
      <c r="D395" s="25">
        <f>'Daily Returns'!D395</f>
        <v>9.5950873152931139E-4</v>
      </c>
      <c r="E395" s="25">
        <f>'Daily Returns'!E395</f>
        <v>4.0766442839884218E-2</v>
      </c>
    </row>
    <row r="396" spans="1:5" ht="15" customHeight="1" x14ac:dyDescent="0.3">
      <c r="A396" s="26">
        <f>'Daily Returns'!F396</f>
        <v>1.1384182181349959E-2</v>
      </c>
      <c r="B396" s="26">
        <f>'Daily Returns'!B396</f>
        <v>1.6910325294681172E-2</v>
      </c>
      <c r="C396" s="26">
        <f>'Daily Returns'!C396</f>
        <v>2.0057820308824067E-3</v>
      </c>
      <c r="D396" s="26">
        <f>'Daily Returns'!D396</f>
        <v>-1.5912576687116441E-2</v>
      </c>
      <c r="E396" s="26">
        <f>'Daily Returns'!E396</f>
        <v>-1.7870640319619924E-2</v>
      </c>
    </row>
    <row r="397" spans="1:5" ht="15" customHeight="1" x14ac:dyDescent="0.3">
      <c r="A397" s="25">
        <f>'Daily Returns'!F397</f>
        <v>1.2305223576663033E-4</v>
      </c>
      <c r="B397" s="25">
        <f>'Daily Returns'!B397</f>
        <v>1.1714110178169097E-2</v>
      </c>
      <c r="C397" s="25">
        <f>'Daily Returns'!C397</f>
        <v>1.7110074814640551E-3</v>
      </c>
      <c r="D397" s="25">
        <f>'Daily Returns'!D397</f>
        <v>4.2210533151501861E-3</v>
      </c>
      <c r="E397" s="25">
        <f>'Daily Returns'!E397</f>
        <v>1.3028420647573001E-2</v>
      </c>
    </row>
    <row r="398" spans="1:5" ht="15" customHeight="1" x14ac:dyDescent="0.3">
      <c r="A398" s="26">
        <f>'Daily Returns'!F398</f>
        <v>1.3822523892323925E-2</v>
      </c>
      <c r="B398" s="26">
        <f>'Daily Returns'!B398</f>
        <v>3.2387352738760578E-4</v>
      </c>
      <c r="C398" s="26">
        <f>'Daily Returns'!C398</f>
        <v>-5.3698617902517018E-3</v>
      </c>
      <c r="D398" s="26">
        <f>'Daily Returns'!D398</f>
        <v>-1.7265907915157707E-2</v>
      </c>
      <c r="E398" s="26">
        <f>'Daily Returns'!E398</f>
        <v>1.3240720642500529E-2</v>
      </c>
    </row>
    <row r="399" spans="1:5" ht="15" customHeight="1" x14ac:dyDescent="0.3">
      <c r="A399" s="25">
        <f>'Daily Returns'!F399</f>
        <v>-3.9395333550016967E-3</v>
      </c>
      <c r="B399" s="25">
        <f>'Daily Returns'!B399</f>
        <v>-1.6188433364361165E-2</v>
      </c>
      <c r="C399" s="25">
        <f>'Daily Returns'!C399</f>
        <v>1.6162885973084407E-2</v>
      </c>
      <c r="D399" s="25">
        <f>'Daily Returns'!D399</f>
        <v>-1.3357899585444503E-2</v>
      </c>
      <c r="E399" s="25">
        <f>'Daily Returns'!E399</f>
        <v>1.7057626392459311E-2</v>
      </c>
    </row>
    <row r="400" spans="1:5" ht="15" customHeight="1" x14ac:dyDescent="0.3">
      <c r="A400" s="26">
        <f>'Daily Returns'!F400</f>
        <v>1.3981322082316967E-3</v>
      </c>
      <c r="B400" s="26">
        <f>'Daily Returns'!B400</f>
        <v>8.1039944053642628E-3</v>
      </c>
      <c r="C400" s="26">
        <f>'Daily Returns'!C400</f>
        <v>-5.743761943159903E-4</v>
      </c>
      <c r="D400" s="26">
        <f>'Daily Returns'!D400</f>
        <v>1.5006002400960384E-2</v>
      </c>
      <c r="E400" s="26">
        <f>'Daily Returns'!E400</f>
        <v>-2.8961849345729088E-4</v>
      </c>
    </row>
    <row r="401" spans="1:5" ht="15" customHeight="1" x14ac:dyDescent="0.3">
      <c r="A401" s="25">
        <f>'Daily Returns'!F401</f>
        <v>-6.093353973844055E-3</v>
      </c>
      <c r="B401" s="25">
        <f>'Daily Returns'!B401</f>
        <v>-8.4061046274381875E-3</v>
      </c>
      <c r="C401" s="25">
        <f>'Daily Returns'!C401</f>
        <v>9.9247355798455124E-3</v>
      </c>
      <c r="D401" s="25">
        <f>'Daily Returns'!D401</f>
        <v>6.5707339509763483E-5</v>
      </c>
      <c r="E401" s="25">
        <f>'Daily Returns'!E401</f>
        <v>2.0805899394259163E-3</v>
      </c>
    </row>
    <row r="402" spans="1:5" ht="15" customHeight="1" x14ac:dyDescent="0.3">
      <c r="A402" s="26">
        <f>'Daily Returns'!F402</f>
        <v>-1.7379673484069387E-2</v>
      </c>
      <c r="B402" s="26">
        <f>'Daily Returns'!B402</f>
        <v>-1.2510288065843589E-2</v>
      </c>
      <c r="C402" s="26">
        <f>'Daily Returns'!C402</f>
        <v>7.9777629433459302E-3</v>
      </c>
      <c r="D402" s="26">
        <f>'Daily Returns'!D402</f>
        <v>1.3863337713534913E-2</v>
      </c>
      <c r="E402" s="26">
        <f>'Daily Returns'!E402</f>
        <v>-3.2589555573077061E-3</v>
      </c>
    </row>
    <row r="403" spans="1:5" ht="15" customHeight="1" x14ac:dyDescent="0.3">
      <c r="A403" s="25">
        <f>'Daily Returns'!F403</f>
        <v>-1.3419294551745011E-2</v>
      </c>
      <c r="B403" s="25">
        <f>'Daily Returns'!B403</f>
        <v>-8.6681113518920338E-3</v>
      </c>
      <c r="C403" s="25">
        <f>'Daily Returns'!C403</f>
        <v>1.838059669084113E-2</v>
      </c>
      <c r="D403" s="25">
        <f>'Daily Returns'!D403</f>
        <v>-1.3349750502235774E-2</v>
      </c>
      <c r="E403" s="25">
        <f>'Daily Returns'!E403</f>
        <v>-5.0889914304548478E-2</v>
      </c>
    </row>
    <row r="404" spans="1:5" ht="15" customHeight="1" x14ac:dyDescent="0.3">
      <c r="A404" s="26">
        <f>'Daily Returns'!F404</f>
        <v>1.3107164829822849E-2</v>
      </c>
      <c r="B404" s="26">
        <f>'Daily Returns'!B404</f>
        <v>3.741382209517466E-3</v>
      </c>
      <c r="C404" s="26">
        <f>'Daily Returns'!C404</f>
        <v>-1.6407074551443999E-2</v>
      </c>
      <c r="D404" s="26">
        <f>'Daily Returns'!D404</f>
        <v>2.0821018062397289E-2</v>
      </c>
      <c r="E404" s="26">
        <f>'Daily Returns'!E404</f>
        <v>-1.3974163078205232E-2</v>
      </c>
    </row>
    <row r="405" spans="1:5" ht="15" customHeight="1" x14ac:dyDescent="0.3">
      <c r="A405" s="25">
        <f>'Daily Returns'!F405</f>
        <v>7.38720515749246E-3</v>
      </c>
      <c r="B405" s="25">
        <f>'Daily Returns'!B405</f>
        <v>-2.906562801021903E-2</v>
      </c>
      <c r="C405" s="25">
        <f>'Daily Returns'!C405</f>
        <v>-5.4952201339663678E-3</v>
      </c>
      <c r="D405" s="25">
        <f>'Daily Returns'!D405</f>
        <v>-2.3806459915067311E-3</v>
      </c>
      <c r="E405" s="25">
        <f>'Daily Returns'!E405</f>
        <v>2.6259438746759813E-2</v>
      </c>
    </row>
    <row r="406" spans="1:5" ht="15" customHeight="1" x14ac:dyDescent="0.3">
      <c r="A406" s="26">
        <f>'Daily Returns'!F406</f>
        <v>-8.6157062350608413E-3</v>
      </c>
      <c r="B406" s="26">
        <f>'Daily Returns'!B406</f>
        <v>5.305611870767328E-3</v>
      </c>
      <c r="C406" s="26">
        <f>'Daily Returns'!C406</f>
        <v>1.6849218026265638E-2</v>
      </c>
      <c r="D406" s="26">
        <f>'Daily Returns'!D406</f>
        <v>-3.0377297645920721E-2</v>
      </c>
      <c r="E406" s="26">
        <f>'Daily Returns'!E406</f>
        <v>-1.4935207555457934E-2</v>
      </c>
    </row>
    <row r="407" spans="1:5" ht="15" customHeight="1" x14ac:dyDescent="0.3">
      <c r="A407" s="25">
        <f>'Daily Returns'!F407</f>
        <v>5.9411697143539142E-3</v>
      </c>
      <c r="B407" s="25">
        <f>'Daily Returns'!B407</f>
        <v>2.7460739723675722E-3</v>
      </c>
      <c r="C407" s="25">
        <f>'Daily Returns'!C407</f>
        <v>3.3118616092003643E-3</v>
      </c>
      <c r="D407" s="25">
        <f>'Daily Returns'!D407</f>
        <v>-1.3702274843687657E-2</v>
      </c>
      <c r="E407" s="25">
        <f>'Daily Returns'!E407</f>
        <v>3.0100334448160092E-3</v>
      </c>
    </row>
    <row r="408" spans="1:5" ht="15" customHeight="1" x14ac:dyDescent="0.3">
      <c r="A408" s="26">
        <f>'Daily Returns'!F408</f>
        <v>7.3431890522305924E-4</v>
      </c>
      <c r="B408" s="26">
        <f>'Daily Returns'!B408</f>
        <v>-7.7877620881471685E-3</v>
      </c>
      <c r="C408" s="26">
        <f>'Daily Returns'!C408</f>
        <v>2.0446533490011735E-2</v>
      </c>
      <c r="D408" s="26">
        <f>'Daily Returns'!D408</f>
        <v>-2.164823307256547E-2</v>
      </c>
      <c r="E408" s="26">
        <f>'Daily Returns'!E408</f>
        <v>5.0322329665444074E-2</v>
      </c>
    </row>
    <row r="409" spans="1:5" ht="15" customHeight="1" x14ac:dyDescent="0.3">
      <c r="A409" s="25">
        <f>'Daily Returns'!F409</f>
        <v>9.1131533248010477E-3</v>
      </c>
      <c r="B409" s="25">
        <f>'Daily Returns'!B409</f>
        <v>1.4662756598240494E-2</v>
      </c>
      <c r="C409" s="25">
        <f>'Daily Returns'!C409</f>
        <v>1.374523679912901E-2</v>
      </c>
      <c r="D409" s="25">
        <f>'Daily Returns'!D409</f>
        <v>-2.2678706831184892E-2</v>
      </c>
      <c r="E409" s="25">
        <f>'Daily Returns'!E409</f>
        <v>-1.7804703828143649E-2</v>
      </c>
    </row>
    <row r="410" spans="1:5" ht="15" customHeight="1" x14ac:dyDescent="0.3">
      <c r="A410" s="26">
        <f>'Daily Returns'!F410</f>
        <v>-4.6636841552974134E-3</v>
      </c>
      <c r="B410" s="26">
        <f>'Daily Returns'!B410</f>
        <v>8.7980278816728718E-3</v>
      </c>
      <c r="C410" s="26">
        <f>'Daily Returns'!C410</f>
        <v>-7.2492952074103721E-3</v>
      </c>
      <c r="D410" s="26">
        <f>'Daily Returns'!D410</f>
        <v>8.4638171815487988E-3</v>
      </c>
      <c r="E410" s="26">
        <f>'Daily Returns'!E410</f>
        <v>-9.0771965738296739E-3</v>
      </c>
    </row>
    <row r="411" spans="1:5" ht="15" customHeight="1" x14ac:dyDescent="0.3">
      <c r="A411" s="25">
        <f>'Daily Returns'!F411</f>
        <v>2.4853164017517521E-4</v>
      </c>
      <c r="B411" s="25">
        <f>'Daily Returns'!B411</f>
        <v>-8.0893195702548461E-3</v>
      </c>
      <c r="C411" s="25">
        <f>'Daily Returns'!C411</f>
        <v>1.6123160139387319E-2</v>
      </c>
      <c r="D411" s="25">
        <f>'Daily Returns'!D411</f>
        <v>6.1547069520214289E-3</v>
      </c>
      <c r="E411" s="25">
        <f>'Daily Returns'!E411</f>
        <v>-4.267579983147118E-3</v>
      </c>
    </row>
    <row r="412" spans="1:5" ht="15" customHeight="1" x14ac:dyDescent="0.3">
      <c r="A412" s="26">
        <f>'Daily Returns'!F412</f>
        <v>-1.2700541085395894E-2</v>
      </c>
      <c r="B412" s="26">
        <f>'Daily Returns'!B412</f>
        <v>-8.9623242577412127E-3</v>
      </c>
      <c r="C412" s="26">
        <f>'Daily Returns'!C412</f>
        <v>-3.9514766852638723E-3</v>
      </c>
      <c r="D412" s="26">
        <f>'Daily Returns'!D412</f>
        <v>9.7316835812593996E-3</v>
      </c>
      <c r="E412" s="26">
        <f>'Daily Returns'!E412</f>
        <v>-3.7289801266652024E-2</v>
      </c>
    </row>
    <row r="413" spans="1:5" ht="15" customHeight="1" x14ac:dyDescent="0.3">
      <c r="A413" s="25">
        <f>'Daily Returns'!F413</f>
        <v>1.3360861867404348E-2</v>
      </c>
      <c r="B413" s="25">
        <f>'Daily Returns'!B413</f>
        <v>9.943425338590748E-3</v>
      </c>
      <c r="C413" s="25">
        <f>'Daily Returns'!C413</f>
        <v>1.7471916463684109E-2</v>
      </c>
      <c r="D413" s="25">
        <f>'Daily Returns'!D413</f>
        <v>-1.1221258433154314E-2</v>
      </c>
      <c r="E413" s="25">
        <f>'Daily Returns'!E413</f>
        <v>-1.5936029036465731E-2</v>
      </c>
    </row>
    <row r="414" spans="1:5" ht="15" customHeight="1" x14ac:dyDescent="0.3">
      <c r="A414" s="26">
        <f>'Daily Returns'!F414</f>
        <v>6.3014373954281338E-3</v>
      </c>
      <c r="B414" s="26">
        <f>'Daily Returns'!B414</f>
        <v>-2.0667119334578071E-2</v>
      </c>
      <c r="C414" s="26">
        <f>'Daily Returns'!C414</f>
        <v>3.3293265588541336E-2</v>
      </c>
      <c r="D414" s="26">
        <f>'Daily Returns'!D414</f>
        <v>8.7725405555941719E-3</v>
      </c>
      <c r="E414" s="26">
        <f>'Daily Returns'!E414</f>
        <v>-2.6538727524204806E-2</v>
      </c>
    </row>
    <row r="415" spans="1:5" ht="15" customHeight="1" x14ac:dyDescent="0.3">
      <c r="A415" s="25">
        <f>'Daily Returns'!F415</f>
        <v>1.7004564654761268E-3</v>
      </c>
      <c r="B415" s="25">
        <f>'Daily Returns'!B415</f>
        <v>-4.2899857000477061E-3</v>
      </c>
      <c r="C415" s="25">
        <f>'Daily Returns'!C415</f>
        <v>1.985434283200542E-2</v>
      </c>
      <c r="D415" s="25">
        <f>'Daily Returns'!D415</f>
        <v>-2.2775898957829964E-2</v>
      </c>
      <c r="E415" s="25">
        <f>'Daily Returns'!E415</f>
        <v>1.0774649971879475E-2</v>
      </c>
    </row>
    <row r="416" spans="1:5" ht="15" customHeight="1" x14ac:dyDescent="0.3">
      <c r="A416" s="26">
        <f>'Daily Returns'!F416</f>
        <v>2.808129346503695E-2</v>
      </c>
      <c r="B416" s="26">
        <f>'Daily Returns'!B416</f>
        <v>-8.4428583862825209E-3</v>
      </c>
      <c r="C416" s="26">
        <f>'Daily Returns'!C416</f>
        <v>4.0977321089661255E-2</v>
      </c>
      <c r="D416" s="26">
        <f>'Daily Returns'!D416</f>
        <v>-7.2038985804082929E-3</v>
      </c>
      <c r="E416" s="26">
        <f>'Daily Returns'!E416</f>
        <v>-4.2170615280992607E-3</v>
      </c>
    </row>
    <row r="417" spans="1:5" ht="15" customHeight="1" x14ac:dyDescent="0.3">
      <c r="A417" s="25">
        <f>'Daily Returns'!F417</f>
        <v>1.3725414746811852E-2</v>
      </c>
      <c r="B417" s="25">
        <f>'Daily Returns'!B417</f>
        <v>1.2728230337078301E-3</v>
      </c>
      <c r="C417" s="25">
        <f>'Daily Returns'!C417</f>
        <v>-2.6776917339619274E-2</v>
      </c>
      <c r="D417" s="25">
        <f>'Daily Returns'!D417</f>
        <v>-2.0630290958240879E-3</v>
      </c>
      <c r="E417" s="25">
        <f>'Daily Returns'!E417</f>
        <v>-3.9820015880951576E-2</v>
      </c>
    </row>
    <row r="418" spans="1:5" ht="15" customHeight="1" x14ac:dyDescent="0.3">
      <c r="A418" s="26">
        <f>'Daily Returns'!F418</f>
        <v>1.6569696873397242E-2</v>
      </c>
      <c r="B418" s="26">
        <f>'Daily Returns'!B418</f>
        <v>3.2437645202297335E-3</v>
      </c>
      <c r="C418" s="26">
        <f>'Daily Returns'!C418</f>
        <v>-9.0734485727532992E-3</v>
      </c>
      <c r="D418" s="26">
        <f>'Daily Returns'!D418</f>
        <v>-8.6256059309952095E-3</v>
      </c>
      <c r="E418" s="26">
        <f>'Daily Returns'!E418</f>
        <v>1.5804465680418905E-2</v>
      </c>
    </row>
    <row r="419" spans="1:5" ht="15" customHeight="1" x14ac:dyDescent="0.3">
      <c r="A419" s="25">
        <f>'Daily Returns'!F419</f>
        <v>4.1304358397412731E-3</v>
      </c>
      <c r="B419" s="25">
        <f>'Daily Returns'!B419</f>
        <v>8.3016559618996687E-4</v>
      </c>
      <c r="C419" s="25">
        <f>'Daily Returns'!C419</f>
        <v>-4.1056390474916975E-3</v>
      </c>
      <c r="D419" s="25">
        <f>'Daily Returns'!D419</f>
        <v>2.0133745595743236E-3</v>
      </c>
      <c r="E419" s="25">
        <f>'Daily Returns'!E419</f>
        <v>1.8845168098899443E-2</v>
      </c>
    </row>
    <row r="420" spans="1:5" ht="15" customHeight="1" x14ac:dyDescent="0.3">
      <c r="A420" s="26">
        <f>'Daily Returns'!F420</f>
        <v>-5.4616483426963612E-3</v>
      </c>
      <c r="B420" s="26">
        <f>'Daily Returns'!B420</f>
        <v>1.6065659652492827E-2</v>
      </c>
      <c r="C420" s="26">
        <f>'Daily Returns'!C420</f>
        <v>-6.4618806565424234E-3</v>
      </c>
      <c r="D420" s="26">
        <f>'Daily Returns'!D420</f>
        <v>0</v>
      </c>
      <c r="E420" s="26">
        <f>'Daily Returns'!E420</f>
        <v>-6.3628292394198802E-3</v>
      </c>
    </row>
    <row r="421" spans="1:5" ht="15" customHeight="1" x14ac:dyDescent="0.3">
      <c r="A421" s="25">
        <f>'Daily Returns'!F421</f>
        <v>5.5427704774431248E-3</v>
      </c>
      <c r="B421" s="25">
        <f>'Daily Returns'!B421</f>
        <v>3.4802784222737917E-3</v>
      </c>
      <c r="C421" s="25">
        <f>'Daily Returns'!C421</f>
        <v>7.160088777381138E-3</v>
      </c>
      <c r="D421" s="25">
        <f>'Daily Returns'!D421</f>
        <v>7.8220308575529494E-3</v>
      </c>
      <c r="E421" s="25">
        <f>'Daily Returns'!E421</f>
        <v>1.8376768428890591E-2</v>
      </c>
    </row>
    <row r="422" spans="1:5" ht="15" customHeight="1" x14ac:dyDescent="0.3">
      <c r="A422" s="26">
        <f>'Daily Returns'!F422</f>
        <v>9.4827712936471217E-4</v>
      </c>
      <c r="B422" s="26">
        <f>'Daily Returns'!B422</f>
        <v>-4.0676514664954701E-3</v>
      </c>
      <c r="C422" s="26">
        <f>'Daily Returns'!C422</f>
        <v>-5.8923849308244458E-3</v>
      </c>
      <c r="D422" s="26">
        <f>'Daily Returns'!D422</f>
        <v>5.1979493021930348E-3</v>
      </c>
      <c r="E422" s="26">
        <f>'Daily Returns'!E422</f>
        <v>1.1552409920449194E-2</v>
      </c>
    </row>
    <row r="423" spans="1:5" ht="15" customHeight="1" x14ac:dyDescent="0.3">
      <c r="A423" s="25">
        <f>'Daily Returns'!F423</f>
        <v>-3.4831676558017967E-3</v>
      </c>
      <c r="B423" s="25">
        <f>'Daily Returns'!B423</f>
        <v>-1.6466036113499501E-2</v>
      </c>
      <c r="C423" s="25">
        <f>'Daily Returns'!C423</f>
        <v>2.0104667636882456E-2</v>
      </c>
      <c r="D423" s="25">
        <f>'Daily Returns'!D423</f>
        <v>1.5442374442161982E-2</v>
      </c>
      <c r="E423" s="25">
        <f>'Daily Returns'!E423</f>
        <v>-1.6798218984011341E-2</v>
      </c>
    </row>
    <row r="424" spans="1:5" ht="15" customHeight="1" x14ac:dyDescent="0.3">
      <c r="A424" s="26">
        <f>'Daily Returns'!F424</f>
        <v>1.3846300292905503E-2</v>
      </c>
      <c r="B424" s="26">
        <f>'Daily Returns'!B424</f>
        <v>1.031603794203779E-2</v>
      </c>
      <c r="C424" s="26">
        <f>'Daily Returns'!C424</f>
        <v>1.7960564231928412E-2</v>
      </c>
      <c r="D424" s="26">
        <f>'Daily Returns'!D424</f>
        <v>-7.1852110219741971E-3</v>
      </c>
      <c r="E424" s="26">
        <f>'Daily Returns'!E424</f>
        <v>5.7930953361170689E-3</v>
      </c>
    </row>
    <row r="425" spans="1:5" ht="15" customHeight="1" x14ac:dyDescent="0.3">
      <c r="A425" s="25">
        <f>'Daily Returns'!F425</f>
        <v>-3.1696973241761421E-3</v>
      </c>
      <c r="B425" s="25">
        <f>'Daily Returns'!B425</f>
        <v>7.658027949638776E-3</v>
      </c>
      <c r="C425" s="25">
        <f>'Daily Returns'!C425</f>
        <v>7.8890703890703885E-3</v>
      </c>
      <c r="D425" s="25">
        <f>'Daily Returns'!D425</f>
        <v>1.0680157391793215E-2</v>
      </c>
      <c r="E425" s="25">
        <f>'Daily Returns'!E425</f>
        <v>3.9762593924509947E-3</v>
      </c>
    </row>
    <row r="426" spans="1:5" ht="15" customHeight="1" x14ac:dyDescent="0.3">
      <c r="A426" s="26">
        <f>'Daily Returns'!F426</f>
        <v>3.2432551136511952E-3</v>
      </c>
      <c r="B426" s="26">
        <f>'Daily Returns'!B426</f>
        <v>2.0437956204379524E-2</v>
      </c>
      <c r="C426" s="26">
        <f>'Daily Returns'!C426</f>
        <v>-1.7256938689062019E-2</v>
      </c>
      <c r="D426" s="26">
        <f>'Daily Returns'!D426</f>
        <v>4.7969966629588271E-3</v>
      </c>
      <c r="E426" s="26">
        <f>'Daily Returns'!E426</f>
        <v>-1.5317860159002857E-2</v>
      </c>
    </row>
    <row r="427" spans="1:5" ht="15" customHeight="1" x14ac:dyDescent="0.3">
      <c r="A427" s="25">
        <f>'Daily Returns'!F427</f>
        <v>1.8115074587659826E-3</v>
      </c>
      <c r="B427" s="25">
        <f>'Daily Returns'!B427</f>
        <v>-1.0056383068248702E-2</v>
      </c>
      <c r="C427" s="25">
        <f>'Daily Returns'!C427</f>
        <v>1.0251124437781161E-2</v>
      </c>
      <c r="D427" s="25">
        <f>'Daily Returns'!D427</f>
        <v>4.2205770428283759E-3</v>
      </c>
      <c r="E427" s="25">
        <f>'Daily Returns'!E427</f>
        <v>-1.8927631384378724E-2</v>
      </c>
    </row>
    <row r="428" spans="1:5" ht="15" customHeight="1" x14ac:dyDescent="0.3">
      <c r="A428" s="26">
        <f>'Daily Returns'!F428</f>
        <v>-1.663648394927526E-2</v>
      </c>
      <c r="B428" s="26">
        <f>'Daily Returns'!B428</f>
        <v>6.8006970714496785E-4</v>
      </c>
      <c r="C428" s="26">
        <f>'Daily Returns'!C428</f>
        <v>1.2484463984269027E-2</v>
      </c>
      <c r="D428" s="26">
        <f>'Daily Returns'!D428</f>
        <v>2.4803637866888085E-3</v>
      </c>
      <c r="E428" s="26">
        <f>'Daily Returns'!E428</f>
        <v>8.199439303047569E-3</v>
      </c>
    </row>
    <row r="429" spans="1:5" ht="15" customHeight="1" x14ac:dyDescent="0.3">
      <c r="A429" s="25">
        <f>'Daily Returns'!F429</f>
        <v>6.4415234893935103E-3</v>
      </c>
      <c r="B429" s="25">
        <f>'Daily Returns'!B429</f>
        <v>-5.0970564499003756E-4</v>
      </c>
      <c r="C429" s="25">
        <f>'Daily Returns'!C429</f>
        <v>6.8431659948699416E-3</v>
      </c>
      <c r="D429" s="25">
        <f>'Daily Returns'!D429</f>
        <v>-3.3539518900343609E-2</v>
      </c>
      <c r="E429" s="25">
        <f>'Daily Returns'!E429</f>
        <v>4.4072357602033214E-2</v>
      </c>
    </row>
    <row r="430" spans="1:5" ht="15" customHeight="1" x14ac:dyDescent="0.3">
      <c r="A430" s="26">
        <f>'Daily Returns'!F430</f>
        <v>9.1304425066020527E-3</v>
      </c>
      <c r="B430" s="26">
        <f>'Daily Returns'!B430</f>
        <v>-8.9243976031621252E-4</v>
      </c>
      <c r="C430" s="26">
        <f>'Daily Returns'!C430</f>
        <v>1.1191279900279493E-3</v>
      </c>
      <c r="D430" s="26">
        <f>'Daily Returns'!D430</f>
        <v>3.0578865026311925E-2</v>
      </c>
      <c r="E430" s="26">
        <f>'Daily Returns'!E430</f>
        <v>-2.2910163521287576E-4</v>
      </c>
    </row>
    <row r="431" spans="1:5" ht="15" customHeight="1" x14ac:dyDescent="0.3">
      <c r="A431" s="25">
        <f>'Daily Returns'!F431</f>
        <v>9.8123434186874825E-4</v>
      </c>
      <c r="B431" s="25">
        <f>'Daily Returns'!B431</f>
        <v>4.6788600595497082E-4</v>
      </c>
      <c r="C431" s="25">
        <f>'Daily Returns'!C431</f>
        <v>2.5293101881305239E-2</v>
      </c>
      <c r="D431" s="25">
        <f>'Daily Returns'!D431</f>
        <v>-1.4007728401876907E-2</v>
      </c>
      <c r="E431" s="25">
        <f>'Daily Returns'!E431</f>
        <v>4.4398613617484782E-3</v>
      </c>
    </row>
    <row r="432" spans="1:5" ht="15" customHeight="1" x14ac:dyDescent="0.3">
      <c r="A432" s="26">
        <f>'Daily Returns'!F432</f>
        <v>3.2937564617986823E-3</v>
      </c>
      <c r="B432" s="26">
        <f>'Daily Returns'!B432</f>
        <v>-2.3425874750223286E-2</v>
      </c>
      <c r="C432" s="26">
        <f>'Daily Returns'!C432</f>
        <v>-9.076968079919874E-3</v>
      </c>
      <c r="D432" s="26">
        <f>'Daily Returns'!D432</f>
        <v>-1.2177199244173705E-2</v>
      </c>
      <c r="E432" s="26">
        <f>'Daily Returns'!E432</f>
        <v>-1.9449038955113355E-2</v>
      </c>
    </row>
    <row r="433" spans="1:5" ht="15" customHeight="1" x14ac:dyDescent="0.3">
      <c r="A433" s="25">
        <f>'Daily Returns'!F433</f>
        <v>-3.2335884748099205E-3</v>
      </c>
      <c r="B433" s="25">
        <f>'Daily Returns'!B433</f>
        <v>1.1754462342185534E-2</v>
      </c>
      <c r="C433" s="25">
        <f>'Daily Returns'!C433</f>
        <v>-5.8681981232502059E-3</v>
      </c>
      <c r="D433" s="25">
        <f>'Daily Returns'!D433</f>
        <v>-4.6758767268862671E-3</v>
      </c>
      <c r="E433" s="25">
        <f>'Daily Returns'!E433</f>
        <v>-4.4206607724522505E-3</v>
      </c>
    </row>
    <row r="434" spans="1:5" ht="15" customHeight="1" x14ac:dyDescent="0.3">
      <c r="A434" s="26">
        <f>'Daily Returns'!F434</f>
        <v>-6.6952657796672662E-3</v>
      </c>
      <c r="B434" s="26">
        <f>'Daily Returns'!B434</f>
        <v>9.3373493975903079E-3</v>
      </c>
      <c r="C434" s="26">
        <f>'Daily Returns'!C434</f>
        <v>1.2354566150468375E-2</v>
      </c>
      <c r="D434" s="26">
        <f>'Daily Returns'!D434</f>
        <v>-2.0214961918997815E-2</v>
      </c>
      <c r="E434" s="26">
        <f>'Daily Returns'!E434</f>
        <v>-3.3594297733114549E-3</v>
      </c>
    </row>
    <row r="435" spans="1:5" ht="15" customHeight="1" x14ac:dyDescent="0.3">
      <c r="A435" s="25">
        <f>'Daily Returns'!F435</f>
        <v>-6.7299091104735765E-3</v>
      </c>
      <c r="B435" s="25">
        <f>'Daily Returns'!B435</f>
        <v>1.5986699066376776E-2</v>
      </c>
      <c r="C435" s="25">
        <f>'Daily Returns'!C435</f>
        <v>9.9639130357492365E-3</v>
      </c>
      <c r="D435" s="25">
        <f>'Daily Returns'!D435</f>
        <v>2.7896839811115171E-2</v>
      </c>
      <c r="E435" s="25">
        <f>'Daily Returns'!E435</f>
        <v>-6.653574464343402E-3</v>
      </c>
    </row>
    <row r="436" spans="1:5" ht="15" customHeight="1" x14ac:dyDescent="0.3">
      <c r="A436" s="26">
        <f>'Daily Returns'!F436</f>
        <v>-2.0025404692599693E-2</v>
      </c>
      <c r="B436" s="26">
        <f>'Daily Returns'!B436</f>
        <v>3.1512252433702669E-2</v>
      </c>
      <c r="C436" s="26">
        <f>'Daily Returns'!C436</f>
        <v>1.5630087919244539E-2</v>
      </c>
      <c r="D436" s="26">
        <f>'Daily Returns'!D436</f>
        <v>-9.3999575941763544E-3</v>
      </c>
      <c r="E436" s="26">
        <f>'Daily Returns'!E436</f>
        <v>-1.1891413396282009E-2</v>
      </c>
    </row>
    <row r="437" spans="1:5" ht="15" customHeight="1" x14ac:dyDescent="0.3">
      <c r="A437" s="25">
        <f>'Daily Returns'!F437</f>
        <v>6.4751293719087118E-3</v>
      </c>
      <c r="B437" s="25">
        <f>'Daily Returns'!B437</f>
        <v>-4.108530285156487E-3</v>
      </c>
      <c r="C437" s="25">
        <f>'Daily Returns'!C437</f>
        <v>-4.4106305728619866E-3</v>
      </c>
      <c r="D437" s="25">
        <f>'Daily Returns'!D437</f>
        <v>-1.0345319634703115E-2</v>
      </c>
      <c r="E437" s="25">
        <f>'Daily Returns'!E437</f>
        <v>-4.4793501955976131E-4</v>
      </c>
    </row>
    <row r="438" spans="1:5" ht="15" customHeight="1" x14ac:dyDescent="0.3">
      <c r="A438" s="26">
        <f>'Daily Returns'!F438</f>
        <v>-1.4676253388288703E-2</v>
      </c>
      <c r="B438" s="26">
        <f>'Daily Returns'!B438</f>
        <v>-2.0423168041819683E-4</v>
      </c>
      <c r="C438" s="26">
        <f>'Daily Returns'!C438</f>
        <v>-2.2594739499016515E-2</v>
      </c>
      <c r="D438" s="26">
        <f>'Daily Returns'!D438</f>
        <v>-1.2688342585249941E-2</v>
      </c>
      <c r="E438" s="26">
        <f>'Daily Returns'!E438</f>
        <v>-1.0157743785850961E-2</v>
      </c>
    </row>
    <row r="439" spans="1:5" ht="15" customHeight="1" x14ac:dyDescent="0.3">
      <c r="A439" s="25">
        <f>'Daily Returns'!F439</f>
        <v>-4.7074619397357367E-3</v>
      </c>
      <c r="B439" s="25">
        <f>'Daily Returns'!B439</f>
        <v>4.9025615884289793E-4</v>
      </c>
      <c r="C439" s="25">
        <f>'Daily Returns'!C439</f>
        <v>-2.1238134249942038E-2</v>
      </c>
      <c r="D439" s="25">
        <f>'Daily Returns'!D439</f>
        <v>7.3019350127783867E-3</v>
      </c>
      <c r="E439" s="25">
        <f>'Daily Returns'!E439</f>
        <v>2.3934564771218178E-2</v>
      </c>
    </row>
    <row r="440" spans="1:5" ht="15" customHeight="1" x14ac:dyDescent="0.3">
      <c r="A440" s="26">
        <f>'Daily Returns'!F440</f>
        <v>-2.3283295722974929E-2</v>
      </c>
      <c r="B440" s="26">
        <f>'Daily Returns'!B440</f>
        <v>2.7195883866225755E-2</v>
      </c>
      <c r="C440" s="26">
        <f>'Daily Returns'!C440</f>
        <v>-7.0328350604569228E-3</v>
      </c>
      <c r="D440" s="26">
        <f>'Daily Returns'!D440</f>
        <v>2.2399420079739062E-2</v>
      </c>
      <c r="E440" s="26">
        <f>'Daily Returns'!E440</f>
        <v>3.9204126750184261E-2</v>
      </c>
    </row>
    <row r="441" spans="1:5" ht="15" customHeight="1" x14ac:dyDescent="0.3">
      <c r="A441" s="25">
        <f>'Daily Returns'!F441</f>
        <v>-7.1688277622087328E-3</v>
      </c>
      <c r="B441" s="25">
        <f>'Daily Returns'!B441</f>
        <v>-2.3653349234744651E-2</v>
      </c>
      <c r="C441" s="25">
        <f>'Daily Returns'!C441</f>
        <v>1.4568444200109824E-2</v>
      </c>
      <c r="D441" s="25">
        <f>'Daily Returns'!D441</f>
        <v>4.6795235394214169E-3</v>
      </c>
      <c r="E441" s="25">
        <f>'Daily Returns'!E441</f>
        <v>-1.3898737767692623E-2</v>
      </c>
    </row>
    <row r="442" spans="1:5" ht="15" customHeight="1" x14ac:dyDescent="0.3">
      <c r="A442" s="26">
        <f>'Daily Returns'!F442</f>
        <v>6.5340665362250781E-3</v>
      </c>
      <c r="B442" s="26">
        <f>'Daily Returns'!B442</f>
        <v>7.0439739413681521E-3</v>
      </c>
      <c r="C442" s="26">
        <f>'Daily Returns'!C442</f>
        <v>1.4575995665131491E-2</v>
      </c>
      <c r="D442" s="26">
        <f>'Daily Returns'!D442</f>
        <v>-1.1785462244177753E-2</v>
      </c>
      <c r="E442" s="26">
        <f>'Daily Returns'!E442</f>
        <v>-6.4144973392778991E-3</v>
      </c>
    </row>
    <row r="443" spans="1:5" ht="15" customHeight="1" x14ac:dyDescent="0.3">
      <c r="A443" s="25">
        <f>'Daily Returns'!F443</f>
        <v>1.3949302259934676E-3</v>
      </c>
      <c r="B443" s="25">
        <f>'Daily Returns'!B443</f>
        <v>-2.0054178627744342E-2</v>
      </c>
      <c r="C443" s="25">
        <f>'Daily Returns'!C443</f>
        <v>-3.143915117852325E-2</v>
      </c>
      <c r="D443" s="25">
        <f>'Daily Returns'!D443</f>
        <v>2.1209740769835027E-2</v>
      </c>
      <c r="E443" s="25">
        <f>'Daily Returns'!E443</f>
        <v>8.6850790342192109E-3</v>
      </c>
    </row>
    <row r="444" spans="1:5" ht="15" customHeight="1" x14ac:dyDescent="0.3">
      <c r="A444" s="26">
        <f>'Daily Returns'!F444</f>
        <v>7.1168644793774538E-4</v>
      </c>
      <c r="B444" s="26">
        <f>'Daily Returns'!B444</f>
        <v>-3.5482939307670068E-2</v>
      </c>
      <c r="C444" s="26">
        <f>'Daily Returns'!C444</f>
        <v>1.0017277506157494E-2</v>
      </c>
      <c r="D444" s="26">
        <f>'Daily Returns'!D444</f>
        <v>4.8251748251748093E-3</v>
      </c>
      <c r="E444" s="26">
        <f>'Daily Returns'!E444</f>
        <v>1.1480397221743871E-2</v>
      </c>
    </row>
    <row r="445" spans="1:5" ht="15" customHeight="1" x14ac:dyDescent="0.3">
      <c r="A445" s="25">
        <f>'Daily Returns'!F445</f>
        <v>3.0737330088634299E-3</v>
      </c>
      <c r="B445" s="25">
        <f>'Daily Returns'!B445</f>
        <v>-2.7676776318603751E-2</v>
      </c>
      <c r="C445" s="25">
        <f>'Daily Returns'!C445</f>
        <v>-9.4629761059850017E-4</v>
      </c>
      <c r="D445" s="25">
        <f>'Daily Returns'!D445</f>
        <v>-1.0926299672906906E-2</v>
      </c>
      <c r="E445" s="25">
        <f>'Daily Returns'!E445</f>
        <v>-1.3932239940979583E-2</v>
      </c>
    </row>
    <row r="446" spans="1:5" ht="15" customHeight="1" x14ac:dyDescent="0.3">
      <c r="A446" s="26">
        <f>'Daily Returns'!F446</f>
        <v>-1.8808586498490421E-2</v>
      </c>
      <c r="B446" s="26">
        <f>'Daily Returns'!B446</f>
        <v>-1.8829740431148267E-2</v>
      </c>
      <c r="C446" s="26">
        <f>'Daily Returns'!C446</f>
        <v>-1.7787209238783925E-2</v>
      </c>
      <c r="D446" s="26">
        <f>'Daily Returns'!D446</f>
        <v>-7.739938080496316E-4</v>
      </c>
      <c r="E446" s="26">
        <f>'Daily Returns'!E446</f>
        <v>-1.0330637967252669E-2</v>
      </c>
    </row>
    <row r="447" spans="1:5" ht="15" customHeight="1" x14ac:dyDescent="0.3">
      <c r="A447" s="25">
        <f>'Daily Returns'!F447</f>
        <v>1.0263296305451143E-2</v>
      </c>
      <c r="B447" s="25">
        <f>'Daily Returns'!B447</f>
        <v>1.5110752398887884E-2</v>
      </c>
      <c r="C447" s="25">
        <f>'Daily Returns'!C447</f>
        <v>3.9241504010385217E-2</v>
      </c>
      <c r="D447" s="25">
        <f>'Daily Returns'!D447</f>
        <v>2.4646151679460796E-3</v>
      </c>
      <c r="E447" s="25">
        <f>'Daily Returns'!E447</f>
        <v>1.1572458711328103E-2</v>
      </c>
    </row>
    <row r="448" spans="1:5" ht="15" customHeight="1" x14ac:dyDescent="0.3">
      <c r="A448" s="26">
        <f>'Daily Returns'!F448</f>
        <v>-4.3943425254508416E-3</v>
      </c>
      <c r="B448" s="26">
        <f>'Daily Returns'!B448</f>
        <v>-1.1705464022262368E-2</v>
      </c>
      <c r="C448" s="26">
        <f>'Daily Returns'!C448</f>
        <v>5.246393104740588E-3</v>
      </c>
      <c r="D448" s="26">
        <f>'Daily Returns'!D448</f>
        <v>4.1444225906151653E-3</v>
      </c>
      <c r="E448" s="26">
        <f>'Daily Returns'!E448</f>
        <v>-3.0497269330267196E-2</v>
      </c>
    </row>
    <row r="449" spans="1:5" ht="15" customHeight="1" x14ac:dyDescent="0.3">
      <c r="A449" s="25">
        <f>'Daily Returns'!F449</f>
        <v>7.1434299476375528E-4</v>
      </c>
      <c r="B449" s="25">
        <f>'Daily Returns'!B449</f>
        <v>-2.8157683024939459E-3</v>
      </c>
      <c r="C449" s="25">
        <f>'Daily Returns'!C449</f>
        <v>1.5186615186615097E-2</v>
      </c>
      <c r="D449" s="25">
        <f>'Daily Returns'!D449</f>
        <v>4.1972717733474834E-4</v>
      </c>
      <c r="E449" s="25">
        <f>'Daily Returns'!E449</f>
        <v>4.2337454416081034E-2</v>
      </c>
    </row>
    <row r="450" spans="1:5" ht="15" customHeight="1" x14ac:dyDescent="0.3">
      <c r="A450" s="26">
        <f>'Daily Returns'!F450</f>
        <v>5.3085103082961211E-3</v>
      </c>
      <c r="B450" s="26">
        <f>'Daily Returns'!B450</f>
        <v>-1.5821791941194929E-2</v>
      </c>
      <c r="C450" s="26">
        <f>'Daily Returns'!C450</f>
        <v>4.5883751836049536E-2</v>
      </c>
      <c r="D450" s="26">
        <f>'Daily Returns'!D450</f>
        <v>7.6917698063082057E-4</v>
      </c>
      <c r="E450" s="26">
        <f>'Daily Returns'!E450</f>
        <v>6.1723127684387633E-3</v>
      </c>
    </row>
    <row r="451" spans="1:5" ht="15" customHeight="1" x14ac:dyDescent="0.3">
      <c r="A451" s="25">
        <f>'Daily Returns'!F451</f>
        <v>-2.9745534184258713E-2</v>
      </c>
      <c r="B451" s="25">
        <f>'Daily Returns'!B451</f>
        <v>8.7895072410965405E-3</v>
      </c>
      <c r="C451" s="25">
        <f>'Daily Returns'!C451</f>
        <v>-9.6552531264628792E-3</v>
      </c>
      <c r="D451" s="25">
        <f>'Daily Returns'!D451</f>
        <v>2.9765231973169305E-2</v>
      </c>
      <c r="E451" s="25">
        <f>'Daily Returns'!E451</f>
        <v>-5.2580991688811378E-3</v>
      </c>
    </row>
    <row r="452" spans="1:5" ht="15" customHeight="1" x14ac:dyDescent="0.3">
      <c r="A452" s="26">
        <f>'Daily Returns'!F452</f>
        <v>1.6494056937548147E-2</v>
      </c>
      <c r="B452" s="26">
        <f>'Daily Returns'!B452</f>
        <v>-1.4942891968759886E-2</v>
      </c>
      <c r="C452" s="26">
        <f>'Daily Returns'!C452</f>
        <v>-6.3982982890040049E-3</v>
      </c>
      <c r="D452" s="26">
        <f>'Daily Returns'!D452</f>
        <v>4.4985751119554863E-2</v>
      </c>
      <c r="E452" s="26">
        <f>'Daily Returns'!E452</f>
        <v>-2.3587586677275892E-3</v>
      </c>
    </row>
    <row r="453" spans="1:5" ht="15" customHeight="1" x14ac:dyDescent="0.3">
      <c r="A453" s="25">
        <f>'Daily Returns'!F453</f>
        <v>-3.4979203920025084E-3</v>
      </c>
      <c r="B453" s="25">
        <f>'Daily Returns'!B453</f>
        <v>1.8560953253895562E-2</v>
      </c>
      <c r="C453" s="25">
        <f>'Daily Returns'!C453</f>
        <v>2.6853904902685501E-2</v>
      </c>
      <c r="D453" s="25">
        <f>'Daily Returns'!D453</f>
        <v>3.1166807350173249E-3</v>
      </c>
      <c r="E453" s="25">
        <f>'Daily Returns'!E453</f>
        <v>-1.9826235578977457E-2</v>
      </c>
    </row>
    <row r="454" spans="1:5" ht="15" customHeight="1" x14ac:dyDescent="0.3">
      <c r="A454" s="26">
        <f>'Daily Returns'!F454</f>
        <v>6.6823285981873542E-3</v>
      </c>
      <c r="B454" s="26">
        <f>'Daily Returns'!B454</f>
        <v>-1.345331833520814E-2</v>
      </c>
      <c r="C454" s="26">
        <f>'Daily Returns'!C454</f>
        <v>-2.2470050963002253E-2</v>
      </c>
      <c r="D454" s="26">
        <f>'Daily Returns'!D454</f>
        <v>-1.4046216583597747E-2</v>
      </c>
      <c r="E454" s="26">
        <f>'Daily Returns'!E454</f>
        <v>3.4554912958819045E-2</v>
      </c>
    </row>
    <row r="455" spans="1:5" ht="15" customHeight="1" x14ac:dyDescent="0.3">
      <c r="A455" s="25">
        <f>'Daily Returns'!F455</f>
        <v>-3.5453751585376226E-3</v>
      </c>
      <c r="B455" s="25">
        <f>'Daily Returns'!B455</f>
        <v>-1.0261789656116026E-2</v>
      </c>
      <c r="C455" s="25">
        <f>'Daily Returns'!C455</f>
        <v>1.9042621618876739E-3</v>
      </c>
      <c r="D455" s="25">
        <f>'Daily Returns'!D455</f>
        <v>-1.615021008403348E-2</v>
      </c>
      <c r="E455" s="25">
        <f>'Daily Returns'!E455</f>
        <v>-1.1236586325075401E-3</v>
      </c>
    </row>
    <row r="456" spans="1:5" ht="15" customHeight="1" x14ac:dyDescent="0.3">
      <c r="A456" s="26">
        <f>'Daily Returns'!F456</f>
        <v>-6.6319673569640121E-3</v>
      </c>
      <c r="B456" s="26">
        <f>'Daily Returns'!B456</f>
        <v>2.0275563338094916E-3</v>
      </c>
      <c r="C456" s="26">
        <f>'Daily Returns'!C456</f>
        <v>1.4106993520920357E-3</v>
      </c>
      <c r="D456" s="26">
        <f>'Daily Returns'!D456</f>
        <v>1.3212331509408712E-2</v>
      </c>
      <c r="E456" s="26">
        <f>'Daily Returns'!E456</f>
        <v>-7.7338432982732444E-3</v>
      </c>
    </row>
    <row r="457" spans="1:5" ht="15" customHeight="1" x14ac:dyDescent="0.3">
      <c r="A457" s="25">
        <f>'Daily Returns'!F457</f>
        <v>1.5313838605861937E-2</v>
      </c>
      <c r="B457" s="25">
        <f>'Daily Returns'!B457</f>
        <v>6.4382616693499557E-4</v>
      </c>
      <c r="C457" s="25">
        <f>'Daily Returns'!C457</f>
        <v>1.7705908155346364E-2</v>
      </c>
      <c r="D457" s="25">
        <f>'Daily Returns'!D457</f>
        <v>-2.515806111696518E-2</v>
      </c>
      <c r="E457" s="25">
        <f>'Daily Returns'!E457</f>
        <v>3.3670606240965892E-2</v>
      </c>
    </row>
    <row r="458" spans="1:5" ht="15" customHeight="1" x14ac:dyDescent="0.3">
      <c r="A458" s="26">
        <f>'Daily Returns'!F458</f>
        <v>-1.3289262377962298E-2</v>
      </c>
      <c r="B458" s="26">
        <f>'Daily Returns'!B458</f>
        <v>2.0083643549795506E-2</v>
      </c>
      <c r="C458" s="26">
        <f>'Daily Returns'!C458</f>
        <v>7.7415932430975635E-3</v>
      </c>
      <c r="D458" s="26">
        <f>'Daily Returns'!D458</f>
        <v>-2.499662207809786E-3</v>
      </c>
      <c r="E458" s="26">
        <f>'Daily Returns'!E458</f>
        <v>1.9988484000987142E-2</v>
      </c>
    </row>
    <row r="459" spans="1:5" ht="15" customHeight="1" x14ac:dyDescent="0.3">
      <c r="A459" s="25">
        <f>'Daily Returns'!F459</f>
        <v>3.6860579398137589E-3</v>
      </c>
      <c r="B459" s="25">
        <f>'Daily Returns'!B459</f>
        <v>1.9823391602090362E-3</v>
      </c>
      <c r="C459" s="25">
        <f>'Daily Returns'!C459</f>
        <v>-1.5504067247349429E-2</v>
      </c>
      <c r="D459" s="25">
        <f>'Daily Returns'!D459</f>
        <v>6.6373179817134425E-3</v>
      </c>
      <c r="E459" s="25">
        <f>'Daily Returns'!E459</f>
        <v>-3.1989247311827898E-3</v>
      </c>
    </row>
    <row r="460" spans="1:5" ht="15" customHeight="1" x14ac:dyDescent="0.3">
      <c r="A460" s="26">
        <f>'Daily Returns'!F460</f>
        <v>-5.6576218329404361E-3</v>
      </c>
      <c r="B460" s="26">
        <f>'Daily Returns'!B460</f>
        <v>-1.6456834532374086E-2</v>
      </c>
      <c r="C460" s="26">
        <f>'Daily Returns'!C460</f>
        <v>1.7736599385108957E-2</v>
      </c>
      <c r="D460" s="26">
        <f>'Daily Returns'!D460</f>
        <v>3.2294960640517944E-3</v>
      </c>
      <c r="E460" s="26">
        <f>'Daily Returns'!E460</f>
        <v>8.7106604460505874E-3</v>
      </c>
    </row>
    <row r="461" spans="1:5" ht="15" customHeight="1" x14ac:dyDescent="0.3">
      <c r="A461" s="25">
        <f>'Daily Returns'!F461</f>
        <v>6.2099672732135684E-3</v>
      </c>
      <c r="B461" s="25">
        <f>'Daily Returns'!B461</f>
        <v>-7.4517692237359209E-3</v>
      </c>
      <c r="C461" s="25">
        <f>'Daily Returns'!C461</f>
        <v>1.5506612269021969E-2</v>
      </c>
      <c r="D461" s="25">
        <f>'Daily Returns'!D461</f>
        <v>-5.9687479042318733E-3</v>
      </c>
      <c r="E461" s="25">
        <f>'Daily Returns'!E461</f>
        <v>-5.8015185541653719E-3</v>
      </c>
    </row>
    <row r="462" spans="1:5" ht="15" customHeight="1" x14ac:dyDescent="0.3">
      <c r="A462" s="26">
        <f>'Daily Returns'!F462</f>
        <v>1.0550662324557192E-2</v>
      </c>
      <c r="B462" s="26">
        <f>'Daily Returns'!B462</f>
        <v>-7.5998341854359797E-3</v>
      </c>
      <c r="C462" s="26">
        <f>'Daily Returns'!C462</f>
        <v>-1.7945484528082114E-2</v>
      </c>
      <c r="D462" s="26">
        <f>'Daily Returns'!D462</f>
        <v>2.9348266090945853E-2</v>
      </c>
      <c r="E462" s="26">
        <f>'Daily Returns'!E462</f>
        <v>-6.3731949337134065E-3</v>
      </c>
    </row>
    <row r="463" spans="1:5" ht="15" customHeight="1" x14ac:dyDescent="0.3">
      <c r="A463" s="25">
        <f>'Daily Returns'!F463</f>
        <v>8.2273697523746973E-3</v>
      </c>
      <c r="B463" s="25">
        <f>'Daily Returns'!B463</f>
        <v>1.0349948946440127E-2</v>
      </c>
      <c r="C463" s="25">
        <f>'Daily Returns'!C463</f>
        <v>-1.1532003160806183E-2</v>
      </c>
      <c r="D463" s="25">
        <f>'Daily Returns'!D463</f>
        <v>1.2977649603460826E-2</v>
      </c>
      <c r="E463" s="25">
        <f>'Daily Returns'!E463</f>
        <v>-3.6806495263870462E-3</v>
      </c>
    </row>
    <row r="464" spans="1:5" ht="15" customHeight="1" x14ac:dyDescent="0.3">
      <c r="A464" s="26">
        <f>'Daily Returns'!F464</f>
        <v>6.6772691078140012E-3</v>
      </c>
      <c r="B464" s="26">
        <f>'Daily Returns'!B464</f>
        <v>5.6502365749459774E-3</v>
      </c>
      <c r="C464" s="26">
        <f>'Daily Returns'!C464</f>
        <v>-8.6853697735806857E-3</v>
      </c>
      <c r="D464" s="26">
        <f>'Daily Returns'!D464</f>
        <v>-7.0527337431252239E-3</v>
      </c>
      <c r="E464" s="26">
        <f>'Daily Returns'!E464</f>
        <v>6.0846417123920499E-3</v>
      </c>
    </row>
    <row r="465" spans="1:5" ht="15" customHeight="1" x14ac:dyDescent="0.3">
      <c r="A465" s="25">
        <f>'Daily Returns'!F465</f>
        <v>-6.442317583991811E-3</v>
      </c>
      <c r="B465" s="25">
        <f>'Daily Returns'!B465</f>
        <v>-1.3246848163712408E-3</v>
      </c>
      <c r="C465" s="25">
        <f>'Daily Returns'!C465</f>
        <v>-1.9673398071301428E-2</v>
      </c>
      <c r="D465" s="25">
        <f>'Daily Returns'!D465</f>
        <v>1.2706894304704733E-2</v>
      </c>
      <c r="E465" s="25">
        <f>'Daily Returns'!E465</f>
        <v>2.1167449646309282E-2</v>
      </c>
    </row>
    <row r="466" spans="1:5" ht="15" customHeight="1" x14ac:dyDescent="0.3">
      <c r="A466" s="26">
        <f>'Daily Returns'!F466</f>
        <v>-2.4370446890920601E-3</v>
      </c>
      <c r="B466" s="26">
        <f>'Daily Returns'!B466</f>
        <v>1.2349631798014989E-2</v>
      </c>
      <c r="C466" s="26">
        <f>'Daily Returns'!C466</f>
        <v>1.9374132405614409E-2</v>
      </c>
      <c r="D466" s="26">
        <f>'Daily Returns'!D466</f>
        <v>-2.4451451000578822E-3</v>
      </c>
      <c r="E466" s="26">
        <f>'Daily Returns'!E466</f>
        <v>3.786156205383108E-2</v>
      </c>
    </row>
    <row r="467" spans="1:5" ht="15" customHeight="1" x14ac:dyDescent="0.3">
      <c r="A467" s="25">
        <f>'Daily Returns'!F467</f>
        <v>4.1273505974086418E-3</v>
      </c>
      <c r="B467" s="25">
        <f>'Daily Returns'!B467</f>
        <v>-7.0031175168301235E-3</v>
      </c>
      <c r="C467" s="25">
        <f>'Daily Returns'!C467</f>
        <v>-5.1192387549071098E-3</v>
      </c>
      <c r="D467" s="25">
        <f>'Daily Returns'!D467</f>
        <v>-7.7404373347093377E-3</v>
      </c>
      <c r="E467" s="25">
        <f>'Daily Returns'!E467</f>
        <v>-4.0581851531054175E-2</v>
      </c>
    </row>
    <row r="468" spans="1:5" ht="15" customHeight="1" x14ac:dyDescent="0.3">
      <c r="A468" s="26">
        <f>'Daily Returns'!F468</f>
        <v>1.4010594556766098E-2</v>
      </c>
      <c r="B468" s="26">
        <f>'Daily Returns'!B468</f>
        <v>-1.5470015470015624E-3</v>
      </c>
      <c r="C468" s="26">
        <f>'Daily Returns'!C468</f>
        <v>-4.3006573499838772E-3</v>
      </c>
      <c r="D468" s="26">
        <f>'Daily Returns'!D468</f>
        <v>-6.0456347916531677E-3</v>
      </c>
      <c r="E468" s="26">
        <f>'Daily Returns'!E468</f>
        <v>4.4342954249754353E-2</v>
      </c>
    </row>
    <row r="469" spans="1:5" ht="15" customHeight="1" x14ac:dyDescent="0.3">
      <c r="A469" s="25">
        <f>'Daily Returns'!F469</f>
        <v>5.6925353710018936E-3</v>
      </c>
      <c r="B469" s="25">
        <f>'Daily Returns'!B469</f>
        <v>2.825373678454268E-3</v>
      </c>
      <c r="C469" s="25">
        <f>'Daily Returns'!C469</f>
        <v>-1.7709703423989236E-2</v>
      </c>
      <c r="D469" s="25">
        <f>'Daily Returns'!D469</f>
        <v>1.9032047089601024E-2</v>
      </c>
      <c r="E469" s="25">
        <f>'Daily Returns'!E469</f>
        <v>1.9857110167552317E-2</v>
      </c>
    </row>
    <row r="470" spans="1:5" ht="15" customHeight="1" x14ac:dyDescent="0.3">
      <c r="A470" s="26">
        <f>'Daily Returns'!F470</f>
        <v>-1.7971097961557397E-3</v>
      </c>
      <c r="B470" s="26">
        <f>'Daily Returns'!B470</f>
        <v>2.1494137962373851E-2</v>
      </c>
      <c r="C470" s="26">
        <f>'Daily Returns'!C470</f>
        <v>-6.3667305931338581E-3</v>
      </c>
      <c r="D470" s="26">
        <f>'Daily Returns'!D470</f>
        <v>-8.4076760156601132E-3</v>
      </c>
      <c r="E470" s="26">
        <f>'Daily Returns'!E470</f>
        <v>7.7283605903470849E-4</v>
      </c>
    </row>
    <row r="471" spans="1:5" ht="15" customHeight="1" x14ac:dyDescent="0.3">
      <c r="A471" s="25">
        <f>'Daily Returns'!F471</f>
        <v>2.7596322954123349E-3</v>
      </c>
      <c r="B471" s="25">
        <f>'Daily Returns'!B471</f>
        <v>-1.0676631522753711E-3</v>
      </c>
      <c r="C471" s="25">
        <f>'Daily Returns'!C471</f>
        <v>2.6786412915902266E-2</v>
      </c>
      <c r="D471" s="25">
        <f>'Daily Returns'!D471</f>
        <v>-7.119741100324508E-4</v>
      </c>
      <c r="E471" s="25">
        <f>'Daily Returns'!E471</f>
        <v>-7.6476596168696736E-3</v>
      </c>
    </row>
    <row r="472" spans="1:5" ht="15" customHeight="1" x14ac:dyDescent="0.3">
      <c r="A472" s="26">
        <f>'Daily Returns'!F472</f>
        <v>1.0730835793236238E-2</v>
      </c>
      <c r="B472" s="26">
        <f>'Daily Returns'!B472</f>
        <v>-4.5424181696727241E-3</v>
      </c>
      <c r="C472" s="26">
        <f>'Daily Returns'!C472</f>
        <v>1.3793161843152499E-2</v>
      </c>
      <c r="D472" s="26">
        <f>'Daily Returns'!D472</f>
        <v>1.6451842735928628E-2</v>
      </c>
      <c r="E472" s="26">
        <f>'Daily Returns'!E472</f>
        <v>-3.481775278642435E-2</v>
      </c>
    </row>
    <row r="473" spans="1:5" ht="15" customHeight="1" x14ac:dyDescent="0.3">
      <c r="A473" s="25">
        <f>'Daily Returns'!F473</f>
        <v>5.6670828250836103E-3</v>
      </c>
      <c r="B473" s="25">
        <f>'Daily Returns'!B473</f>
        <v>-1.4181541627521976E-2</v>
      </c>
      <c r="C473" s="25">
        <f>'Daily Returns'!C473</f>
        <v>-2.792927479098985E-2</v>
      </c>
      <c r="D473" s="25">
        <f>'Daily Returns'!D473</f>
        <v>5.1615369910151167E-3</v>
      </c>
      <c r="E473" s="25">
        <f>'Daily Returns'!E473</f>
        <v>2.3043512184972335E-2</v>
      </c>
    </row>
    <row r="474" spans="1:5" ht="15" customHeight="1" x14ac:dyDescent="0.3">
      <c r="A474" s="26">
        <f>'Daily Returns'!F474</f>
        <v>1.0559015831923143E-2</v>
      </c>
      <c r="B474" s="26">
        <f>'Daily Returns'!B474</f>
        <v>9.8475222363404759E-3</v>
      </c>
      <c r="C474" s="26">
        <f>'Daily Returns'!C474</f>
        <v>-1.686614484435537E-2</v>
      </c>
      <c r="D474" s="26">
        <f>'Daily Returns'!D474</f>
        <v>4.1841004184100198E-3</v>
      </c>
      <c r="E474" s="26">
        <f>'Daily Returns'!E474</f>
        <v>-2.0211008008135363E-2</v>
      </c>
    </row>
    <row r="475" spans="1:5" ht="15" customHeight="1" x14ac:dyDescent="0.3">
      <c r="A475" s="25">
        <f>'Daily Returns'!F475</f>
        <v>-4.1946982344574606E-3</v>
      </c>
      <c r="B475" s="25">
        <f>'Daily Returns'!B475</f>
        <v>-7.8641082101289714E-3</v>
      </c>
      <c r="C475" s="25">
        <f>'Daily Returns'!C475</f>
        <v>1.180696357407536E-2</v>
      </c>
      <c r="D475" s="25">
        <f>'Daily Returns'!D475</f>
        <v>-1.0037878787878809E-2</v>
      </c>
      <c r="E475" s="25">
        <f>'Daily Returns'!E475</f>
        <v>1.2791904514789848E-2</v>
      </c>
    </row>
    <row r="476" spans="1:5" ht="15" customHeight="1" x14ac:dyDescent="0.3">
      <c r="A476" s="26">
        <f>'Daily Returns'!F476</f>
        <v>1.0654843654564431E-2</v>
      </c>
      <c r="B476" s="26">
        <f>'Daily Returns'!B476</f>
        <v>5.1182172298215216E-3</v>
      </c>
      <c r="C476" s="26">
        <f>'Daily Returns'!C476</f>
        <v>-8.1882962643057815E-3</v>
      </c>
      <c r="D476" s="26">
        <f>'Daily Returns'!D476</f>
        <v>3.7051208468847664E-2</v>
      </c>
      <c r="E476" s="26">
        <f>'Daily Returns'!E476</f>
        <v>-7.3527527989137517E-3</v>
      </c>
    </row>
    <row r="477" spans="1:5" ht="15" customHeight="1" x14ac:dyDescent="0.3">
      <c r="A477" s="25">
        <f>'Daily Returns'!F477</f>
        <v>-3.693583804304755E-3</v>
      </c>
      <c r="B477" s="25">
        <f>'Daily Returns'!B477</f>
        <v>-2.6046595466630622E-2</v>
      </c>
      <c r="C477" s="25">
        <f>'Daily Returns'!C477</f>
        <v>-9.1616083325350151E-3</v>
      </c>
      <c r="D477" s="25">
        <f>'Daily Returns'!D477</f>
        <v>1.3282499077604209E-2</v>
      </c>
      <c r="E477" s="25">
        <f>'Daily Returns'!E477</f>
        <v>-3.0248283693800577E-2</v>
      </c>
    </row>
    <row r="478" spans="1:5" ht="15" customHeight="1" x14ac:dyDescent="0.3">
      <c r="A478" s="26">
        <f>'Daily Returns'!F478</f>
        <v>1.4304856911477783E-3</v>
      </c>
      <c r="B478" s="26">
        <f>'Daily Returns'!B478</f>
        <v>1.4759635404617581E-2</v>
      </c>
      <c r="C478" s="26">
        <f>'Daily Returns'!C478</f>
        <v>-1.4581410678971583E-2</v>
      </c>
      <c r="D478" s="26">
        <f>'Daily Returns'!D478</f>
        <v>-3.6897681757494916E-2</v>
      </c>
      <c r="E478" s="26">
        <f>'Daily Returns'!E478</f>
        <v>8.3834566455527147E-3</v>
      </c>
    </row>
    <row r="479" spans="1:5" ht="15" customHeight="1" x14ac:dyDescent="0.3">
      <c r="A479" s="25">
        <f>'Daily Returns'!F479</f>
        <v>6.8898274611663059E-3</v>
      </c>
      <c r="B479" s="25">
        <f>'Daily Returns'!B479</f>
        <v>-1.8146999817618047E-2</v>
      </c>
      <c r="C479" s="25">
        <f>'Daily Returns'!C479</f>
        <v>-2.2887009882621642E-2</v>
      </c>
      <c r="D479" s="25">
        <f>'Daily Returns'!D479</f>
        <v>2.0919974795211228E-2</v>
      </c>
      <c r="E479" s="25">
        <f>'Daily Returns'!E479</f>
        <v>9.6597957190742035E-3</v>
      </c>
    </row>
    <row r="480" spans="1:5" ht="15" customHeight="1" x14ac:dyDescent="0.3">
      <c r="A480" s="26">
        <f>'Daily Returns'!F480</f>
        <v>-1.471710796399014E-2</v>
      </c>
      <c r="B480" s="26">
        <f>'Daily Returns'!B480</f>
        <v>-1.0448592922819726E-2</v>
      </c>
      <c r="C480" s="26">
        <f>'Daily Returns'!C480</f>
        <v>2.2820629849383844E-3</v>
      </c>
      <c r="D480" s="26">
        <f>'Daily Returns'!D480</f>
        <v>-1.9812368843352721E-2</v>
      </c>
      <c r="E480" s="26">
        <f>'Daily Returns'!E480</f>
        <v>-1.720036596523326E-2</v>
      </c>
    </row>
    <row r="481" spans="1:5" ht="15" customHeight="1" x14ac:dyDescent="0.3">
      <c r="A481" s="25">
        <f>'Daily Returns'!F481</f>
        <v>-2.5212822801064945E-3</v>
      </c>
      <c r="B481" s="25">
        <f>'Daily Returns'!B481</f>
        <v>1.5017128912665956E-2</v>
      </c>
      <c r="C481" s="25">
        <f>'Daily Returns'!C481</f>
        <v>-6.1111111111111444E-3</v>
      </c>
      <c r="D481" s="25">
        <f>'Daily Returns'!D481</f>
        <v>-2.1220326175933533E-2</v>
      </c>
      <c r="E481" s="25">
        <f>'Daily Returns'!E481</f>
        <v>1.6703460382477251E-2</v>
      </c>
    </row>
    <row r="482" spans="1:5" ht="15" customHeight="1" x14ac:dyDescent="0.3">
      <c r="A482" s="26">
        <f>'Daily Returns'!F482</f>
        <v>3.4619410849495488E-3</v>
      </c>
      <c r="B482" s="26">
        <f>'Daily Returns'!B482</f>
        <v>-1.8216283693189689E-2</v>
      </c>
      <c r="C482" s="26">
        <f>'Daily Returns'!C482</f>
        <v>2.0709435622062088E-2</v>
      </c>
      <c r="D482" s="26">
        <f>'Daily Returns'!D482</f>
        <v>-1.0615028306742188E-2</v>
      </c>
      <c r="E482" s="26">
        <f>'Daily Returns'!E482</f>
        <v>3.4610856769130199E-2</v>
      </c>
    </row>
    <row r="483" spans="1:5" ht="15" customHeight="1" x14ac:dyDescent="0.3">
      <c r="A483" s="25">
        <f>'Daily Returns'!F483</f>
        <v>2.242410966484937E-3</v>
      </c>
      <c r="B483" s="25">
        <f>'Daily Returns'!B483</f>
        <v>-7.5347303979277883E-4</v>
      </c>
      <c r="C483" s="25">
        <f>'Daily Returns'!C483</f>
        <v>-5.8354056504689947E-4</v>
      </c>
      <c r="D483" s="25">
        <f>'Daily Returns'!D483</f>
        <v>2.0222381169126821E-2</v>
      </c>
      <c r="E483" s="25">
        <f>'Daily Returns'!E483</f>
        <v>9.7350055628602356E-3</v>
      </c>
    </row>
    <row r="484" spans="1:5" ht="15" customHeight="1" x14ac:dyDescent="0.3">
      <c r="A484" s="26">
        <f>'Daily Returns'!F484</f>
        <v>9.77659351781506E-3</v>
      </c>
      <c r="B484" s="26">
        <f>'Daily Returns'!B484</f>
        <v>1.3195720816249641E-3</v>
      </c>
      <c r="C484" s="26">
        <f>'Daily Returns'!C484</f>
        <v>-1.6429521037691748E-2</v>
      </c>
      <c r="D484" s="26">
        <f>'Daily Returns'!D484</f>
        <v>-3.8878266411728085E-3</v>
      </c>
      <c r="E484" s="26">
        <f>'Daily Returns'!E484</f>
        <v>8.6394711141161169E-3</v>
      </c>
    </row>
    <row r="485" spans="1:5" ht="15" customHeight="1" x14ac:dyDescent="0.3">
      <c r="A485" s="25">
        <f>'Daily Returns'!F485</f>
        <v>-2.5983797215258557E-2</v>
      </c>
      <c r="B485" s="25">
        <f>'Daily Returns'!B485</f>
        <v>-1.3507789334964958E-2</v>
      </c>
      <c r="C485" s="25">
        <f>'Daily Returns'!C485</f>
        <v>1.2831636147769263E-2</v>
      </c>
      <c r="D485" s="25">
        <f>'Daily Returns'!D485</f>
        <v>3.711049971207451E-3</v>
      </c>
      <c r="E485" s="25">
        <f>'Daily Returns'!E485</f>
        <v>-1.3406822583047762E-2</v>
      </c>
    </row>
    <row r="486" spans="1:5" ht="15" customHeight="1" x14ac:dyDescent="0.3">
      <c r="A486" s="26">
        <f>'Daily Returns'!F486</f>
        <v>-1.8496259015320305E-2</v>
      </c>
      <c r="B486" s="26">
        <f>'Daily Returns'!B486</f>
        <v>1.8940839694656483E-2</v>
      </c>
      <c r="C486" s="26">
        <f>'Daily Returns'!C486</f>
        <v>2.4337240757439142E-2</v>
      </c>
      <c r="D486" s="26">
        <f>'Daily Returns'!D486</f>
        <v>-2.5881302989736739E-2</v>
      </c>
      <c r="E486" s="26">
        <f>'Daily Returns'!E486</f>
        <v>-1.9150435351552704E-2</v>
      </c>
    </row>
    <row r="487" spans="1:5" ht="15" customHeight="1" x14ac:dyDescent="0.3">
      <c r="A487" s="25">
        <f>'Daily Returns'!F487</f>
        <v>1.1633323451276496E-2</v>
      </c>
      <c r="B487" s="25">
        <f>'Daily Returns'!B487</f>
        <v>2.1070375052675939E-2</v>
      </c>
      <c r="C487" s="25">
        <f>'Daily Returns'!C487</f>
        <v>-1.2376869514696385E-2</v>
      </c>
      <c r="D487" s="25">
        <f>'Daily Returns'!D487</f>
        <v>1.7276356259407016E-2</v>
      </c>
      <c r="E487" s="25">
        <f>'Daily Returns'!E487</f>
        <v>-7.2093798907047809E-3</v>
      </c>
    </row>
    <row r="488" spans="1:5" ht="15" customHeight="1" x14ac:dyDescent="0.3">
      <c r="A488" s="26">
        <f>'Daily Returns'!F488</f>
        <v>8.7476715976949043E-3</v>
      </c>
      <c r="B488" s="26">
        <f>'Daily Returns'!B488</f>
        <v>-2.7009675792176762E-2</v>
      </c>
      <c r="C488" s="26">
        <f>'Daily Returns'!C488</f>
        <v>-2.9440339415114997E-2</v>
      </c>
      <c r="D488" s="26">
        <f>'Daily Returns'!D488</f>
        <v>-3.7954326149885818E-3</v>
      </c>
      <c r="E488" s="26">
        <f>'Daily Returns'!E488</f>
        <v>1.7831300392805399E-3</v>
      </c>
    </row>
    <row r="489" spans="1:5" ht="15" customHeight="1" x14ac:dyDescent="0.3">
      <c r="A489" s="25">
        <f>'Daily Returns'!F489</f>
        <v>2.2423150313024921E-2</v>
      </c>
      <c r="B489" s="25">
        <f>'Daily Returns'!B489</f>
        <v>-1.9747384296352144E-2</v>
      </c>
      <c r="C489" s="25">
        <f>'Daily Returns'!C489</f>
        <v>-7.8519606942787958E-3</v>
      </c>
      <c r="D489" s="25">
        <f>'Daily Returns'!D489</f>
        <v>-1.9888931938525197E-2</v>
      </c>
      <c r="E489" s="25">
        <f>'Daily Returns'!E489</f>
        <v>6.9650457887279423E-4</v>
      </c>
    </row>
    <row r="490" spans="1:5" ht="15" customHeight="1" x14ac:dyDescent="0.3">
      <c r="A490" s="26">
        <f>'Daily Returns'!F490</f>
        <v>-9.5728504823542899E-4</v>
      </c>
      <c r="B490" s="26">
        <f>'Daily Returns'!B490</f>
        <v>1.1490937064281871E-2</v>
      </c>
      <c r="C490" s="26">
        <f>'Daily Returns'!C490</f>
        <v>-2.3214698940158218E-2</v>
      </c>
      <c r="D490" s="26">
        <f>'Daily Returns'!D490</f>
        <v>5.5343259981552474E-3</v>
      </c>
      <c r="E490" s="26">
        <f>'Daily Returns'!E490</f>
        <v>-3.2738709012168454E-3</v>
      </c>
    </row>
    <row r="491" spans="1:5" ht="15" customHeight="1" x14ac:dyDescent="0.3">
      <c r="A491" s="25">
        <f>'Daily Returns'!F491</f>
        <v>1.3934984621476342E-2</v>
      </c>
      <c r="B491" s="25">
        <f>'Daily Returns'!B491</f>
        <v>-1.7729822226447332E-2</v>
      </c>
      <c r="C491" s="25">
        <f>'Daily Returns'!C491</f>
        <v>2.9546940593402696E-2</v>
      </c>
      <c r="D491" s="25">
        <f>'Daily Returns'!D491</f>
        <v>8.0592320796749432E-3</v>
      </c>
      <c r="E491" s="25">
        <f>'Daily Returns'!E491</f>
        <v>4.7562394930816099E-2</v>
      </c>
    </row>
    <row r="492" spans="1:5" ht="15" customHeight="1" x14ac:dyDescent="0.3">
      <c r="A492" s="26">
        <f>'Daily Returns'!F492</f>
        <v>2.560046001186923E-2</v>
      </c>
      <c r="B492" s="26">
        <f>'Daily Returns'!B492</f>
        <v>-5.0810549237842312E-3</v>
      </c>
      <c r="C492" s="26">
        <f>'Daily Returns'!C492</f>
        <v>-2.3875926181600674E-2</v>
      </c>
      <c r="D492" s="26">
        <f>'Daily Returns'!D492</f>
        <v>1.7549561260969142E-3</v>
      </c>
      <c r="E492" s="26">
        <f>'Daily Returns'!E492</f>
        <v>1.1258147343472255E-2</v>
      </c>
    </row>
    <row r="493" spans="1:5" ht="15" customHeight="1" x14ac:dyDescent="0.3">
      <c r="A493" s="25">
        <f>'Daily Returns'!F493</f>
        <v>-2.5557742569026251E-2</v>
      </c>
      <c r="B493" s="25">
        <f>'Daily Returns'!B493</f>
        <v>2.1400778210116621E-3</v>
      </c>
      <c r="C493" s="25">
        <f>'Daily Returns'!C493</f>
        <v>-5.1861840058085263E-3</v>
      </c>
      <c r="D493" s="25">
        <f>'Daily Returns'!D493</f>
        <v>2.0763041785621519E-2</v>
      </c>
      <c r="E493" s="25">
        <f>'Daily Returns'!E493</f>
        <v>-1.7968750000000033E-2</v>
      </c>
    </row>
    <row r="494" spans="1:5" ht="15" customHeight="1" x14ac:dyDescent="0.3">
      <c r="A494" s="26">
        <f>'Daily Returns'!F494</f>
        <v>-1.8437887915281975E-2</v>
      </c>
      <c r="B494" s="26">
        <f>'Daily Returns'!B494</f>
        <v>9.90099009901E-3</v>
      </c>
      <c r="C494" s="26">
        <f>'Daily Returns'!C494</f>
        <v>2.6587425711604586E-2</v>
      </c>
      <c r="D494" s="26">
        <f>'Daily Returns'!D494</f>
        <v>9.5982710399187612E-3</v>
      </c>
      <c r="E494" s="26">
        <f>'Daily Returns'!E494</f>
        <v>-2.2200676213206063E-2</v>
      </c>
    </row>
    <row r="495" spans="1:5" ht="15" customHeight="1" x14ac:dyDescent="0.3">
      <c r="A495" s="25">
        <f>'Daily Returns'!F495</f>
        <v>-5.2915922266221216E-3</v>
      </c>
      <c r="B495" s="25">
        <f>'Daily Returns'!B495</f>
        <v>-2.7873894655902173E-3</v>
      </c>
      <c r="C495" s="25">
        <f>'Daily Returns'!C495</f>
        <v>1.5954794748213371E-2</v>
      </c>
      <c r="D495" s="25">
        <f>'Daily Returns'!D495</f>
        <v>2.4050872001511004E-2</v>
      </c>
      <c r="E495" s="25">
        <f>'Daily Returns'!E495</f>
        <v>-3.2391752053087919E-2</v>
      </c>
    </row>
    <row r="496" spans="1:5" ht="15" customHeight="1" x14ac:dyDescent="0.3">
      <c r="A496" s="26">
        <f>'Daily Returns'!F496</f>
        <v>-1.5748964754651269E-2</v>
      </c>
      <c r="B496" s="26">
        <f>'Daily Returns'!B496</f>
        <v>1.6385542168674864E-3</v>
      </c>
      <c r="C496" s="26">
        <f>'Daily Returns'!C496</f>
        <v>-8.4610211389206484E-3</v>
      </c>
      <c r="D496" s="26">
        <f>'Daily Returns'!D496</f>
        <v>-4.9185367353220104E-4</v>
      </c>
      <c r="E496" s="26">
        <f>'Daily Returns'!E496</f>
        <v>-1.8603673437212559E-2</v>
      </c>
    </row>
    <row r="497" spans="1:5" ht="15" customHeight="1" x14ac:dyDescent="0.3">
      <c r="A497" s="25">
        <f>'Daily Returns'!F497</f>
        <v>1.7538145854107564E-2</v>
      </c>
      <c r="B497" s="25">
        <f>'Daily Returns'!B497</f>
        <v>-1.0440723633564356E-2</v>
      </c>
      <c r="C497" s="25">
        <f>'Daily Returns'!C497</f>
        <v>-1.3216868463745335E-2</v>
      </c>
      <c r="D497" s="25">
        <f>'Daily Returns'!D497</f>
        <v>2.0914067786184623E-3</v>
      </c>
      <c r="E497" s="25">
        <f>'Daily Returns'!E497</f>
        <v>1.1405927869554716E-2</v>
      </c>
    </row>
    <row r="498" spans="1:5" ht="15" customHeight="1" x14ac:dyDescent="0.3">
      <c r="A498" s="26">
        <f>'Daily Returns'!F498</f>
        <v>-2.6562024468528653E-3</v>
      </c>
      <c r="B498" s="26">
        <f>'Daily Returns'!B498</f>
        <v>1.8233091846161328E-2</v>
      </c>
      <c r="C498" s="26">
        <f>'Daily Returns'!C498</f>
        <v>-2.6100444915056944E-3</v>
      </c>
      <c r="D498" s="26">
        <f>'Daily Returns'!D498</f>
        <v>1.4056841200662895E-2</v>
      </c>
      <c r="E498" s="26">
        <f>'Daily Returns'!E498</f>
        <v>-4.897418927862403E-3</v>
      </c>
    </row>
    <row r="499" spans="1:5" ht="15" customHeight="1" x14ac:dyDescent="0.3">
      <c r="A499" s="25">
        <f>'Daily Returns'!F499</f>
        <v>-7.5830207919615391E-3</v>
      </c>
      <c r="B499" s="25">
        <f>'Daily Returns'!B499</f>
        <v>-6.5418775666124356E-3</v>
      </c>
      <c r="C499" s="25">
        <f>'Daily Returns'!C499</f>
        <v>-3.6319612590797763E-3</v>
      </c>
      <c r="D499" s="25">
        <f>'Daily Returns'!D499</f>
        <v>1.8644067796610247E-2</v>
      </c>
      <c r="E499" s="25">
        <f>'Daily Returns'!E499</f>
        <v>-1.263633945198191E-2</v>
      </c>
    </row>
    <row r="500" spans="1:5" ht="15" customHeight="1" x14ac:dyDescent="0.3">
      <c r="A500" s="26">
        <f>'Daily Returns'!F500</f>
        <v>1.4370251111157485E-2</v>
      </c>
      <c r="B500" s="26">
        <f>'Daily Returns'!B500</f>
        <v>4.9987983657774192E-3</v>
      </c>
      <c r="C500" s="26">
        <f>'Daily Returns'!C500</f>
        <v>2.6983830264510598E-2</v>
      </c>
      <c r="D500" s="26">
        <f>'Daily Returns'!D500</f>
        <v>-4.8728309959590755E-3</v>
      </c>
      <c r="E500" s="26">
        <f>'Daily Returns'!E500</f>
        <v>1.1639498854910548E-2</v>
      </c>
    </row>
    <row r="501" spans="1:5" ht="15" customHeight="1" x14ac:dyDescent="0.3">
      <c r="A501" s="25">
        <f>'Daily Returns'!F501</f>
        <v>7.7554026478720266E-3</v>
      </c>
      <c r="B501" s="25">
        <f>'Daily Returns'!B501</f>
        <v>-6.7435075804677244E-3</v>
      </c>
      <c r="C501" s="25">
        <f>'Daily Returns'!C501</f>
        <v>-2.1296540677302059E-3</v>
      </c>
      <c r="D501" s="25">
        <f>'Daily Returns'!D501</f>
        <v>3.0096739519885295E-2</v>
      </c>
      <c r="E501" s="25">
        <f>'Daily Returns'!E501</f>
        <v>1.0839747516446036E-2</v>
      </c>
    </row>
    <row r="502" spans="1:5" ht="15" customHeight="1" x14ac:dyDescent="0.3">
      <c r="A502" s="26">
        <f>'Daily Returns'!F502</f>
        <v>-6.251184558181605E-3</v>
      </c>
      <c r="B502" s="26">
        <f>'Daily Returns'!B502</f>
        <v>1.7815870570108076E-3</v>
      </c>
      <c r="C502" s="26">
        <f>'Daily Returns'!C502</f>
        <v>-2.322081665040179E-2</v>
      </c>
      <c r="D502" s="26">
        <f>'Daily Returns'!D502</f>
        <v>2.2028985507246113E-3</v>
      </c>
      <c r="E502" s="26">
        <f>'Daily Returns'!E502</f>
        <v>7.5090899509932174E-3</v>
      </c>
    </row>
    <row r="503" spans="1:5" ht="15" customHeight="1" x14ac:dyDescent="0.3">
      <c r="A503" s="25">
        <f>'Daily Returns'!F503</f>
        <v>8.1055787181876868E-3</v>
      </c>
      <c r="B503" s="25">
        <f>'Daily Returns'!B503</f>
        <v>-2.0187454938717419E-3</v>
      </c>
      <c r="C503" s="25">
        <f>'Daily Returns'!C503</f>
        <v>1.7983697022325548E-2</v>
      </c>
      <c r="D503" s="25">
        <f>'Daily Returns'!D503</f>
        <v>4.6274872744107187E-4</v>
      </c>
      <c r="E503" s="25">
        <f>'Daily Returns'!E503</f>
        <v>2.0921049190627614E-4</v>
      </c>
    </row>
    <row r="504" spans="1:5" ht="15" customHeight="1" x14ac:dyDescent="0.3">
      <c r="A504" s="26">
        <f>'Daily Returns'!F504</f>
        <v>-1.0091467342293884E-2</v>
      </c>
      <c r="B504" s="26">
        <f>'Daily Returns'!B504</f>
        <v>-1.9265038770890802E-3</v>
      </c>
      <c r="C504" s="26">
        <f>'Daily Returns'!C504</f>
        <v>1.8876750777358838E-2</v>
      </c>
      <c r="D504" s="26">
        <f>'Daily Returns'!D504</f>
        <v>7.4005550416281285E-3</v>
      </c>
      <c r="E504" s="26">
        <f>'Daily Returns'!E504</f>
        <v>-2.0916673203137743E-4</v>
      </c>
    </row>
    <row r="505" spans="1:5" ht="15" customHeight="1" x14ac:dyDescent="0.3">
      <c r="A505" s="25">
        <f>'Daily Returns'!F505</f>
        <v>-7.5568628844721588E-3</v>
      </c>
      <c r="B505" s="25">
        <f>'Daily Returns'!B505</f>
        <v>-1.3752835014235364E-2</v>
      </c>
      <c r="C505" s="25">
        <f>'Daily Returns'!C505</f>
        <v>-3.4029221919139843E-3</v>
      </c>
      <c r="D505" s="25">
        <f>'Daily Returns'!D505</f>
        <v>-1.3085399449035818E-2</v>
      </c>
      <c r="E505" s="25">
        <f>'Daily Returns'!E505</f>
        <v>-2.4451476241533425E-2</v>
      </c>
    </row>
    <row r="506" spans="1:5" ht="15" customHeight="1" x14ac:dyDescent="0.3">
      <c r="A506" s="26">
        <f>'Daily Returns'!F506</f>
        <v>1.3718776836314893E-2</v>
      </c>
      <c r="B506" s="26">
        <f>'Daily Returns'!B506</f>
        <v>1.1351404246990866E-2</v>
      </c>
      <c r="C506" s="26">
        <f>'Daily Returns'!C506</f>
        <v>1.4218223535044226E-2</v>
      </c>
      <c r="D506" s="26">
        <f>'Daily Returns'!D506</f>
        <v>-2.5529192835543234E-2</v>
      </c>
      <c r="E506" s="26">
        <f>'Daily Returns'!E506</f>
        <v>-3.4393094574308496E-2</v>
      </c>
    </row>
    <row r="507" spans="1:5" ht="15" customHeight="1" x14ac:dyDescent="0.3">
      <c r="A507" s="25">
        <f>'Daily Returns'!F507</f>
        <v>-9.2227816334709053E-3</v>
      </c>
      <c r="B507" s="25">
        <f>'Daily Returns'!B507</f>
        <v>1.9932268988872785E-2</v>
      </c>
      <c r="C507" s="25">
        <f>'Daily Returns'!C507</f>
        <v>1.4962993311186295E-3</v>
      </c>
      <c r="D507" s="25">
        <f>'Daily Returns'!D507</f>
        <v>3.2762427642179445E-2</v>
      </c>
      <c r="E507" s="25">
        <f>'Daily Returns'!E507</f>
        <v>-1.4769162433025161E-2</v>
      </c>
    </row>
    <row r="508" spans="1:5" ht="15" customHeight="1" x14ac:dyDescent="0.3">
      <c r="A508" s="26">
        <f>'Daily Returns'!F508</f>
        <v>-5.311403744112291E-3</v>
      </c>
      <c r="B508" s="26">
        <f>'Daily Returns'!B508</f>
        <v>3.6998387249786604E-3</v>
      </c>
      <c r="C508" s="26">
        <f>'Daily Returns'!C508</f>
        <v>-2.0694561785761911E-2</v>
      </c>
      <c r="D508" s="26">
        <f>'Daily Returns'!D508</f>
        <v>1.7161678030740778E-2</v>
      </c>
      <c r="E508" s="26">
        <f>'Daily Returns'!E508</f>
        <v>-1.4427005551015821E-2</v>
      </c>
    </row>
    <row r="509" spans="1:5" ht="15" customHeight="1" x14ac:dyDescent="0.3">
      <c r="A509" s="25">
        <f>'Daily Returns'!F509</f>
        <v>-4.8762325002274579E-3</v>
      </c>
      <c r="B509" s="25">
        <f>'Daily Returns'!B509</f>
        <v>1.0444234404536901E-2</v>
      </c>
      <c r="C509" s="25">
        <f>'Daily Returns'!C509</f>
        <v>-8.3546740768999862E-4</v>
      </c>
      <c r="D509" s="25">
        <f>'Daily Returns'!D509</f>
        <v>-1.4145316139294491E-2</v>
      </c>
      <c r="E509" s="25">
        <f>'Daily Returns'!E509</f>
        <v>-1.4981273408239727E-2</v>
      </c>
    </row>
    <row r="510" spans="1:5" ht="15" customHeight="1" x14ac:dyDescent="0.3">
      <c r="A510" s="26">
        <f>'Daily Returns'!F510</f>
        <v>-6.0171387010771599E-3</v>
      </c>
      <c r="B510" s="26">
        <f>'Daily Returns'!B510</f>
        <v>1.1926476778448209E-2</v>
      </c>
      <c r="C510" s="26">
        <f>'Daily Returns'!C510</f>
        <v>-1.958627960663839E-2</v>
      </c>
      <c r="D510" s="26">
        <f>'Daily Returns'!D510</f>
        <v>2.5354385156159832E-3</v>
      </c>
      <c r="E510" s="26">
        <f>'Daily Returns'!E510</f>
        <v>-2.8154297158446886E-3</v>
      </c>
    </row>
    <row r="511" spans="1:5" ht="15" customHeight="1" x14ac:dyDescent="0.3">
      <c r="A511" s="25">
        <f>'Daily Returns'!F511</f>
        <v>-2.8505416178294562E-2</v>
      </c>
      <c r="B511" s="25">
        <f>'Daily Returns'!B511</f>
        <v>1.3218709558143766E-2</v>
      </c>
      <c r="C511" s="25">
        <f>'Daily Returns'!C511</f>
        <v>-1.0595989654309372E-2</v>
      </c>
      <c r="D511" s="25">
        <f>'Daily Returns'!D511</f>
        <v>1.023106104149903E-2</v>
      </c>
      <c r="E511" s="25">
        <f>'Daily Returns'!E511</f>
        <v>-8.4701362207475397E-3</v>
      </c>
    </row>
    <row r="512" spans="1:5" ht="15" customHeight="1" x14ac:dyDescent="0.3">
      <c r="A512" s="26">
        <f>'Daily Returns'!F512</f>
        <v>-1.7321955784670204E-2</v>
      </c>
      <c r="B512" s="26">
        <f>'Daily Returns'!B512</f>
        <v>4.5160113128364619E-3</v>
      </c>
      <c r="C512" s="26">
        <f>'Daily Returns'!C512</f>
        <v>-1.5965819653699091E-2</v>
      </c>
      <c r="D512" s="26">
        <f>'Daily Returns'!D512</f>
        <v>-7.2826581702321418E-3</v>
      </c>
      <c r="E512" s="26">
        <f>'Daily Returns'!E512</f>
        <v>-2.4189050344928673E-2</v>
      </c>
    </row>
    <row r="513" spans="1:5" ht="15" customHeight="1" x14ac:dyDescent="0.3">
      <c r="A513" s="25">
        <f>'Daily Returns'!F513</f>
        <v>2.0690160794871789E-3</v>
      </c>
      <c r="B513" s="25">
        <f>'Daily Returns'!B513</f>
        <v>3.2241950865082398E-3</v>
      </c>
      <c r="C513" s="25">
        <f>'Daily Returns'!C513</f>
        <v>6.4651889092016716E-3</v>
      </c>
      <c r="D513" s="25">
        <f>'Daily Returns'!D513</f>
        <v>2.2925263640531868E-2</v>
      </c>
      <c r="E513" s="25">
        <f>'Daily Returns'!E513</f>
        <v>-1.4439998796667312E-3</v>
      </c>
    </row>
    <row r="514" spans="1:5" ht="15" customHeight="1" x14ac:dyDescent="0.3">
      <c r="A514" s="26">
        <f>'Daily Returns'!F514</f>
        <v>1.5959010400969594E-2</v>
      </c>
      <c r="B514" s="26">
        <f>'Daily Returns'!B514</f>
        <v>1.2312149194278468E-2</v>
      </c>
      <c r="C514" s="26">
        <f>'Daily Returns'!C514</f>
        <v>3.8882529351107606E-3</v>
      </c>
      <c r="D514" s="26">
        <f>'Daily Returns'!D514</f>
        <v>-7.339757956073523E-3</v>
      </c>
      <c r="E514" s="26">
        <f>'Daily Returns'!E514</f>
        <v>6.8086644774500368E-3</v>
      </c>
    </row>
    <row r="515" spans="1:5" ht="15" customHeight="1" x14ac:dyDescent="0.3">
      <c r="A515" s="25">
        <f>'Daily Returns'!F515</f>
        <v>8.1244894777351521E-3</v>
      </c>
      <c r="B515" s="25">
        <f>'Daily Returns'!B515</f>
        <v>1.2520121624038686E-3</v>
      </c>
      <c r="C515" s="25">
        <f>'Daily Returns'!C515</f>
        <v>-2.2683152081723581E-2</v>
      </c>
      <c r="D515" s="25">
        <f>'Daily Returns'!D515</f>
        <v>1.5973358920810591E-2</v>
      </c>
      <c r="E515" s="25">
        <f>'Daily Returns'!E515</f>
        <v>-8.8273138035249062E-3</v>
      </c>
    </row>
    <row r="516" spans="1:5" ht="15" customHeight="1" x14ac:dyDescent="0.3">
      <c r="A516" s="26">
        <f>'Daily Returns'!F516</f>
        <v>-5.5299885070661829E-3</v>
      </c>
      <c r="B516" s="26">
        <f>'Daily Returns'!B516</f>
        <v>-1.3174347981421886E-2</v>
      </c>
      <c r="C516" s="26">
        <f>'Daily Returns'!C516</f>
        <v>-1.5630574599593012E-2</v>
      </c>
      <c r="D516" s="26">
        <f>'Daily Returns'!D516</f>
        <v>-9.5000000000000449E-3</v>
      </c>
      <c r="E516" s="26">
        <f>'Daily Returns'!E516</f>
        <v>1.5940103852191682E-2</v>
      </c>
    </row>
    <row r="517" spans="1:5" ht="15" customHeight="1" x14ac:dyDescent="0.3">
      <c r="A517" s="25">
        <f>'Daily Returns'!F517</f>
        <v>-1.090416115624672E-3</v>
      </c>
      <c r="B517" s="25">
        <f>'Daily Returns'!B517</f>
        <v>6.7882517988869843E-4</v>
      </c>
      <c r="C517" s="25">
        <f>'Daily Returns'!C517</f>
        <v>5.4855709891654626E-4</v>
      </c>
      <c r="D517" s="25">
        <f>'Daily Returns'!D517</f>
        <v>8.3571709013405635E-3</v>
      </c>
      <c r="E517" s="25">
        <f>'Daily Returns'!E517</f>
        <v>6.4483537382622608E-3</v>
      </c>
    </row>
    <row r="518" spans="1:5" ht="15" customHeight="1" x14ac:dyDescent="0.3">
      <c r="A518" s="26">
        <f>'Daily Returns'!F518</f>
        <v>-1.8667546619588169E-2</v>
      </c>
      <c r="B518" s="26">
        <f>'Daily Returns'!B518</f>
        <v>-2.5868306801736608E-2</v>
      </c>
      <c r="C518" s="26">
        <f>'Daily Returns'!C518</f>
        <v>8.7818918760158814E-3</v>
      </c>
      <c r="D518" s="26">
        <f>'Daily Returns'!D518</f>
        <v>2.4808098787406873E-2</v>
      </c>
      <c r="E518" s="26">
        <f>'Daily Returns'!E518</f>
        <v>7.8242640762938888E-3</v>
      </c>
    </row>
    <row r="519" spans="1:5" ht="15" customHeight="1" x14ac:dyDescent="0.3">
      <c r="A519" s="25">
        <f>'Daily Returns'!F519</f>
        <v>-2.5528195209046653E-3</v>
      </c>
      <c r="B519" s="25">
        <f>'Daily Returns'!B519</f>
        <v>2.3212627669444265E-4</v>
      </c>
      <c r="C519" s="25">
        <f>'Daily Returns'!C519</f>
        <v>1.8730771843669253E-3</v>
      </c>
      <c r="D519" s="25">
        <f>'Daily Returns'!D519</f>
        <v>7.8701693443334157E-3</v>
      </c>
      <c r="E519" s="25">
        <f>'Daily Returns'!E519</f>
        <v>-6.5623718286750817E-3</v>
      </c>
    </row>
    <row r="520" spans="1:5" ht="15" customHeight="1" x14ac:dyDescent="0.3">
      <c r="A520" s="26">
        <f>'Daily Returns'!F520</f>
        <v>-2.3672990527447342E-3</v>
      </c>
      <c r="B520" s="26">
        <f>'Daily Returns'!B520</f>
        <v>6.0338825713623185E-3</v>
      </c>
      <c r="C520" s="26">
        <f>'Daily Returns'!C520</f>
        <v>-3.8331137631742035E-2</v>
      </c>
      <c r="D520" s="26">
        <f>'Daily Returns'!D520</f>
        <v>-7.2701814852711207E-3</v>
      </c>
      <c r="E520" s="26">
        <f>'Daily Returns'!E520</f>
        <v>8.2866411088174646E-3</v>
      </c>
    </row>
    <row r="521" spans="1:5" ht="15" customHeight="1" x14ac:dyDescent="0.3">
      <c r="A521" s="25">
        <f>'Daily Returns'!F521</f>
        <v>-6.3485234127382828E-3</v>
      </c>
      <c r="B521" s="25">
        <f>'Daily Returns'!B521</f>
        <v>1.7439446366782012E-2</v>
      </c>
      <c r="C521" s="25">
        <f>'Daily Returns'!C521</f>
        <v>2.3298917149332656E-2</v>
      </c>
      <c r="D521" s="25">
        <f>'Daily Returns'!D521</f>
        <v>3.9058261907345061E-3</v>
      </c>
      <c r="E521" s="25">
        <f>'Daily Returns'!E521</f>
        <v>1.3366090491649829E-2</v>
      </c>
    </row>
    <row r="522" spans="1:5" ht="15" customHeight="1" x14ac:dyDescent="0.3">
      <c r="A522" s="26">
        <f>'Daily Returns'!F522</f>
        <v>7.1031001929684773E-3</v>
      </c>
      <c r="B522" s="26">
        <f>'Daily Returns'!B522</f>
        <v>2.4486464426608265E-3</v>
      </c>
      <c r="C522" s="26">
        <f>'Daily Returns'!C522</f>
        <v>3.1854156002677492E-2</v>
      </c>
      <c r="D522" s="26">
        <f>'Daily Returns'!D522</f>
        <v>1.1779963255160526E-2</v>
      </c>
      <c r="E522" s="26">
        <f>'Daily Returns'!E522</f>
        <v>-3.5990533364119219E-2</v>
      </c>
    </row>
    <row r="523" spans="1:5" ht="15" customHeight="1" x14ac:dyDescent="0.3">
      <c r="A523" s="25">
        <f>'Daily Returns'!F523</f>
        <v>4.7986860344845029E-3</v>
      </c>
      <c r="B523" s="25">
        <f>'Daily Returns'!B523</f>
        <v>1.3163251458813936E-2</v>
      </c>
      <c r="C523" s="25">
        <f>'Daily Returns'!C523</f>
        <v>2.8533541936961081E-2</v>
      </c>
      <c r="D523" s="25">
        <f>'Daily Returns'!D523</f>
        <v>-6.3554795983764029E-3</v>
      </c>
      <c r="E523" s="25">
        <f>'Daily Returns'!E523</f>
        <v>2.0688003353193093E-2</v>
      </c>
    </row>
    <row r="524" spans="1:5" ht="15" customHeight="1" x14ac:dyDescent="0.3">
      <c r="A524" s="26">
        <f>'Daily Returns'!F524</f>
        <v>6.607412413726978E-3</v>
      </c>
      <c r="B524" s="26">
        <f>'Daily Returns'!B524</f>
        <v>3.1252790427726407E-4</v>
      </c>
      <c r="C524" s="26">
        <f>'Daily Returns'!C524</f>
        <v>1.0193386820015774E-2</v>
      </c>
      <c r="D524" s="26">
        <f>'Daily Returns'!D524</f>
        <v>-5.8048911582908487E-3</v>
      </c>
      <c r="E524" s="26">
        <f>'Daily Returns'!E524</f>
        <v>-9.1810395400680374E-3</v>
      </c>
    </row>
    <row r="525" spans="1:5" ht="15" customHeight="1" x14ac:dyDescent="0.3">
      <c r="A525" s="25">
        <f>'Daily Returns'!F525</f>
        <v>2.5335089801075229E-2</v>
      </c>
      <c r="B525" s="25">
        <f>'Daily Returns'!B525</f>
        <v>-1.3880830171836703E-2</v>
      </c>
      <c r="C525" s="25">
        <f>'Daily Returns'!C525</f>
        <v>1.2441008502120897E-2</v>
      </c>
      <c r="D525" s="25">
        <f>'Daily Returns'!D525</f>
        <v>2.8166729739957874E-2</v>
      </c>
      <c r="E525" s="25">
        <f>'Daily Returns'!E525</f>
        <v>1.2759406731993257E-2</v>
      </c>
    </row>
    <row r="526" spans="1:5" ht="15" customHeight="1" x14ac:dyDescent="0.3">
      <c r="A526" s="26">
        <f>'Daily Returns'!F526</f>
        <v>6.4212999498975245E-3</v>
      </c>
      <c r="B526" s="26">
        <f>'Daily Returns'!B526</f>
        <v>-1.9235991671947134E-2</v>
      </c>
      <c r="C526" s="26">
        <f>'Daily Returns'!C526</f>
        <v>-1.0936890694574127E-2</v>
      </c>
      <c r="D526" s="26">
        <f>'Daily Returns'!D526</f>
        <v>2.2399831738353089E-2</v>
      </c>
      <c r="E526" s="26">
        <f>'Daily Returns'!E526</f>
        <v>-4.3116047939199063E-2</v>
      </c>
    </row>
    <row r="527" spans="1:5" ht="15" customHeight="1" x14ac:dyDescent="0.3">
      <c r="A527" s="25">
        <f>'Daily Returns'!F527</f>
        <v>-2.1991067359141185E-2</v>
      </c>
      <c r="B527" s="25">
        <f>'Daily Returns'!B527</f>
        <v>-1.3106280862061025E-2</v>
      </c>
      <c r="C527" s="25">
        <f>'Daily Returns'!C527</f>
        <v>3.9151682972226893E-3</v>
      </c>
      <c r="D527" s="25">
        <f>'Daily Returns'!D527</f>
        <v>-1.0080230405266448E-2</v>
      </c>
      <c r="E527" s="25">
        <f>'Daily Returns'!E527</f>
        <v>-7.7287307163587272E-3</v>
      </c>
    </row>
    <row r="528" spans="1:5" ht="15" customHeight="1" x14ac:dyDescent="0.3">
      <c r="A528" s="26">
        <f>'Daily Returns'!F528</f>
        <v>-1.5470296010686816E-2</v>
      </c>
      <c r="B528" s="26">
        <f>'Daily Returns'!B528</f>
        <v>-1.861117605798452E-2</v>
      </c>
      <c r="C528" s="26">
        <f>'Daily Returns'!C528</f>
        <v>-1.9344232349986355E-2</v>
      </c>
      <c r="D528" s="26">
        <f>'Daily Returns'!D528</f>
        <v>-2.0365752285951725E-2</v>
      </c>
      <c r="E528" s="26">
        <f>'Daily Returns'!E528</f>
        <v>-3.1617511236992739E-2</v>
      </c>
    </row>
    <row r="529" spans="1:5" ht="15" customHeight="1" x14ac:dyDescent="0.3">
      <c r="A529" s="25">
        <f>'Daily Returns'!F529</f>
        <v>-3.2578641271802572E-4</v>
      </c>
      <c r="B529" s="25">
        <f>'Daily Returns'!B529</f>
        <v>9.1008719683613494E-3</v>
      </c>
      <c r="C529" s="25">
        <f>'Daily Returns'!C529</f>
        <v>2.7381440226502763E-3</v>
      </c>
      <c r="D529" s="25">
        <f>'Daily Returns'!D529</f>
        <v>-1.9781501909206564E-2</v>
      </c>
      <c r="E529" s="25">
        <f>'Daily Returns'!E529</f>
        <v>-2.3525671594341411E-3</v>
      </c>
    </row>
    <row r="530" spans="1:5" ht="15" customHeight="1" x14ac:dyDescent="0.3">
      <c r="A530" s="26">
        <f>'Daily Returns'!F530</f>
        <v>-9.7429426966319614E-3</v>
      </c>
      <c r="B530" s="26">
        <f>'Daily Returns'!B530</f>
        <v>-2.5970346586080429E-3</v>
      </c>
      <c r="C530" s="26">
        <f>'Daily Returns'!C530</f>
        <v>-2.4613155499414854E-2</v>
      </c>
      <c r="D530" s="26">
        <f>'Daily Returns'!D530</f>
        <v>-1.7204999188443471E-2</v>
      </c>
      <c r="E530" s="26">
        <f>'Daily Returns'!E530</f>
        <v>3.9195691660559515E-3</v>
      </c>
    </row>
    <row r="531" spans="1:5" ht="15" customHeight="1" x14ac:dyDescent="0.3">
      <c r="A531" s="25">
        <f>'Daily Returns'!F531</f>
        <v>-2.5062586064638942E-3</v>
      </c>
      <c r="B531" s="25">
        <f>'Daily Returns'!B531</f>
        <v>8.2374662689959251E-3</v>
      </c>
      <c r="C531" s="25">
        <f>'Daily Returns'!C531</f>
        <v>1.0912622838424438E-2</v>
      </c>
      <c r="D531" s="25">
        <f>'Daily Returns'!D531</f>
        <v>-4.0737682356179966E-3</v>
      </c>
      <c r="E531" s="25">
        <f>'Daily Returns'!E531</f>
        <v>8.1576942610461934E-3</v>
      </c>
    </row>
    <row r="532" spans="1:5" ht="15" customHeight="1" x14ac:dyDescent="0.3">
      <c r="A532" s="26">
        <f>'Daily Returns'!F532</f>
        <v>1.6391273621082097E-2</v>
      </c>
      <c r="B532" s="26">
        <f>'Daily Returns'!B532</f>
        <v>1.3616941353241866E-3</v>
      </c>
      <c r="C532" s="26">
        <f>'Daily Returns'!C532</f>
        <v>-5.6611593602230474E-3</v>
      </c>
      <c r="D532" s="26">
        <f>'Daily Returns'!D532</f>
        <v>-7.7386545796244736E-4</v>
      </c>
      <c r="E532" s="26">
        <f>'Daily Returns'!E532</f>
        <v>8.8158433298691065E-4</v>
      </c>
    </row>
    <row r="533" spans="1:5" ht="15" customHeight="1" x14ac:dyDescent="0.3">
      <c r="A533" s="25">
        <f>'Daily Returns'!F533</f>
        <v>1.2634232938369867E-3</v>
      </c>
      <c r="B533" s="25">
        <f>'Daily Returns'!B533</f>
        <v>1.4770702428959982E-2</v>
      </c>
      <c r="C533" s="25">
        <f>'Daily Returns'!C533</f>
        <v>1.4124534629266569E-2</v>
      </c>
      <c r="D533" s="25">
        <f>'Daily Returns'!D533</f>
        <v>-2.1408419538640287E-2</v>
      </c>
      <c r="E533" s="25">
        <f>'Daily Returns'!E533</f>
        <v>-2.3184120293183192E-2</v>
      </c>
    </row>
    <row r="534" spans="1:5" ht="15" customHeight="1" x14ac:dyDescent="0.3">
      <c r="A534" s="26">
        <f>'Daily Returns'!F534</f>
        <v>-1.3368027622276169E-2</v>
      </c>
      <c r="B534" s="26">
        <f>'Daily Returns'!B534</f>
        <v>1.501779030543875E-2</v>
      </c>
      <c r="C534" s="26">
        <f>'Daily Returns'!C534</f>
        <v>3.8205731793893791E-3</v>
      </c>
      <c r="D534" s="26">
        <f>'Daily Returns'!D534</f>
        <v>2.8264556246466932E-3</v>
      </c>
      <c r="E534" s="26">
        <f>'Daily Returns'!E534</f>
        <v>2.5086950921035748E-2</v>
      </c>
    </row>
    <row r="535" spans="1:5" ht="15" customHeight="1" x14ac:dyDescent="0.3">
      <c r="A535" s="25">
        <f>'Daily Returns'!F535</f>
        <v>1.6581236248689277E-2</v>
      </c>
      <c r="B535" s="25">
        <f>'Daily Returns'!B535</f>
        <v>-8.6497314030775097E-3</v>
      </c>
      <c r="C535" s="25">
        <f>'Daily Returns'!C535</f>
        <v>-7.5097011939214576E-3</v>
      </c>
      <c r="D535" s="25">
        <f>'Daily Returns'!D535</f>
        <v>-4.5321307779030394E-2</v>
      </c>
      <c r="E535" s="25">
        <f>'Daily Returns'!E535</f>
        <v>-2.4944236750337714E-2</v>
      </c>
    </row>
    <row r="536" spans="1:5" ht="15" customHeight="1" x14ac:dyDescent="0.3">
      <c r="A536" s="26">
        <f>'Daily Returns'!F536</f>
        <v>-1.9449032582107245E-3</v>
      </c>
      <c r="B536" s="26">
        <f>'Daily Returns'!B536</f>
        <v>-3.4900808229242786E-3</v>
      </c>
      <c r="C536" s="26">
        <f>'Daily Returns'!C536</f>
        <v>1.5470587132221951E-2</v>
      </c>
      <c r="D536" s="26">
        <f>'Daily Returns'!D536</f>
        <v>2.5980160604629054E-3</v>
      </c>
      <c r="E536" s="26">
        <f>'Daily Returns'!E536</f>
        <v>-5.8961884202725261E-3</v>
      </c>
    </row>
    <row r="537" spans="1:5" ht="15" customHeight="1" x14ac:dyDescent="0.3">
      <c r="A537" s="25">
        <f>'Daily Returns'!F537</f>
        <v>-2.3684345682077211E-4</v>
      </c>
      <c r="B537" s="25">
        <f>'Daily Returns'!B537</f>
        <v>-7.0506912442396368E-3</v>
      </c>
      <c r="C537" s="25">
        <f>'Daily Returns'!C537</f>
        <v>-2.0100827300930699E-2</v>
      </c>
      <c r="D537" s="25">
        <f>'Daily Returns'!D537</f>
        <v>2.5736160188456866E-2</v>
      </c>
      <c r="E537" s="25">
        <f>'Daily Returns'!E537</f>
        <v>-1.4195890322162426E-2</v>
      </c>
    </row>
    <row r="538" spans="1:5" ht="15" customHeight="1" x14ac:dyDescent="0.3">
      <c r="A538" s="26">
        <f>'Daily Returns'!F538</f>
        <v>2.76795521304701E-3</v>
      </c>
      <c r="B538" s="26">
        <f>'Daily Returns'!B538</f>
        <v>-2.2137652573444147E-2</v>
      </c>
      <c r="C538" s="26">
        <f>'Daily Returns'!C538</f>
        <v>-4.0800173377179482E-3</v>
      </c>
      <c r="D538" s="26">
        <f>'Daily Returns'!D538</f>
        <v>-1.8717345122581334E-2</v>
      </c>
      <c r="E538" s="26">
        <f>'Daily Returns'!E538</f>
        <v>-1.0915307732772389E-2</v>
      </c>
    </row>
    <row r="539" spans="1:5" ht="15" customHeight="1" x14ac:dyDescent="0.3">
      <c r="A539" s="25">
        <f>'Daily Returns'!F539</f>
        <v>6.1764784471916023E-3</v>
      </c>
      <c r="B539" s="25">
        <f>'Daily Returns'!B539</f>
        <v>9.6820123398197473E-3</v>
      </c>
      <c r="C539" s="25">
        <f>'Daily Returns'!C539</f>
        <v>-8.884137226332715E-3</v>
      </c>
      <c r="D539" s="25">
        <f>'Daily Returns'!D539</f>
        <v>-4.4994441518928077E-2</v>
      </c>
      <c r="E539" s="25">
        <f>'Daily Returns'!E539</f>
        <v>-2.6027124052652523E-2</v>
      </c>
    </row>
    <row r="540" spans="1:5" ht="15" customHeight="1" x14ac:dyDescent="0.3">
      <c r="A540" s="26">
        <f>'Daily Returns'!F540</f>
        <v>-7.985608980980545E-3</v>
      </c>
      <c r="B540" s="26">
        <f>'Daily Returns'!B540</f>
        <v>1.6781047287769076E-2</v>
      </c>
      <c r="C540" s="26">
        <f>'Daily Returns'!C540</f>
        <v>1.3717722304424723E-2</v>
      </c>
      <c r="D540" s="26">
        <f>'Daily Returns'!D540</f>
        <v>3.0633500796471021E-3</v>
      </c>
      <c r="E540" s="26">
        <f>'Daily Returns'!E540</f>
        <v>2.0989044742500372E-2</v>
      </c>
    </row>
    <row r="541" spans="1:5" ht="15" customHeight="1" x14ac:dyDescent="0.3">
      <c r="A541" s="25">
        <f>'Daily Returns'!F541</f>
        <v>1.0444071507826999E-3</v>
      </c>
      <c r="B541" s="25">
        <f>'Daily Returns'!B541</f>
        <v>2.3114973880084772E-4</v>
      </c>
      <c r="C541" s="25">
        <f>'Daily Returns'!C541</f>
        <v>-7.4393551303296251E-4</v>
      </c>
      <c r="D541" s="25">
        <f>'Daily Returns'!D541</f>
        <v>1.1421939897385809E-2</v>
      </c>
      <c r="E541" s="25">
        <f>'Daily Returns'!E541</f>
        <v>1.4574140927931396E-2</v>
      </c>
    </row>
    <row r="542" spans="1:5" ht="15" customHeight="1" x14ac:dyDescent="0.3">
      <c r="A542" s="26">
        <f>'Daily Returns'!F542</f>
        <v>1.4457426024879195E-2</v>
      </c>
      <c r="B542" s="26">
        <f>'Daily Returns'!B542</f>
        <v>-6.5169162506934037E-3</v>
      </c>
      <c r="C542" s="26">
        <f>'Daily Returns'!C542</f>
        <v>5.3622082120002509E-3</v>
      </c>
      <c r="D542" s="26">
        <f>'Daily Returns'!D542</f>
        <v>-6.039012017633915E-3</v>
      </c>
      <c r="E542" s="26">
        <f>'Daily Returns'!E542</f>
        <v>1.8120716921455305E-3</v>
      </c>
    </row>
    <row r="543" spans="1:5" ht="15" customHeight="1" x14ac:dyDescent="0.3">
      <c r="A543" s="25">
        <f>'Daily Returns'!F543</f>
        <v>1.4323017272740069E-2</v>
      </c>
      <c r="B543" s="25">
        <f>'Daily Returns'!B543</f>
        <v>1.5445452430797962E-2</v>
      </c>
      <c r="C543" s="25">
        <f>'Daily Returns'!C543</f>
        <v>9.8610824693950074E-3</v>
      </c>
      <c r="D543" s="25">
        <f>'Daily Returns'!D543</f>
        <v>4.0099641533507292E-3</v>
      </c>
      <c r="E543" s="25">
        <f>'Daily Returns'!E543</f>
        <v>-2.2363271615088855E-3</v>
      </c>
    </row>
    <row r="544" spans="1:5" ht="15" customHeight="1" x14ac:dyDescent="0.3">
      <c r="A544" s="26">
        <f>'Daily Returns'!F544</f>
        <v>-8.9260285473037222E-3</v>
      </c>
      <c r="B544" s="26">
        <f>'Daily Returns'!B544</f>
        <v>-3.2207816007696892E-2</v>
      </c>
      <c r="C544" s="26">
        <f>'Daily Returns'!C544</f>
        <v>-4.0785638702730644E-2</v>
      </c>
      <c r="D544" s="26">
        <f>'Daily Returns'!D544</f>
        <v>2.0695915279878897E-2</v>
      </c>
      <c r="E544" s="26">
        <f>'Daily Returns'!E544</f>
        <v>-1.7667029236296563E-2</v>
      </c>
    </row>
    <row r="545" spans="1:5" ht="15" customHeight="1" x14ac:dyDescent="0.3">
      <c r="A545" s="25">
        <f>'Daily Returns'!F545</f>
        <v>5.3766163305910485E-4</v>
      </c>
      <c r="B545" s="25">
        <f>'Daily Returns'!B545</f>
        <v>2.7930316227987285E-3</v>
      </c>
      <c r="C545" s="25">
        <f>'Daily Returns'!C545</f>
        <v>-1.5744145538997573E-2</v>
      </c>
      <c r="D545" s="25">
        <f>'Daily Returns'!D545</f>
        <v>2.7035038833224657E-2</v>
      </c>
      <c r="E545" s="25">
        <f>'Daily Returns'!E545</f>
        <v>-1.6105761164982096E-3</v>
      </c>
    </row>
    <row r="546" spans="1:5" ht="15" customHeight="1" x14ac:dyDescent="0.3">
      <c r="A546" s="26">
        <f>'Daily Returns'!F546</f>
        <v>1.7647081151593504E-2</v>
      </c>
      <c r="B546" s="26">
        <f>'Daily Returns'!B546</f>
        <v>2.3131756597270484E-3</v>
      </c>
      <c r="C546" s="26">
        <f>'Daily Returns'!C546</f>
        <v>2.6446963514988788E-3</v>
      </c>
      <c r="D546" s="26">
        <f>'Daily Returns'!D546</f>
        <v>9.8135426889107962E-3</v>
      </c>
      <c r="E546" s="26">
        <f>'Daily Returns'!E546</f>
        <v>-1.6669467316417531E-2</v>
      </c>
    </row>
    <row r="547" spans="1:5" ht="15" customHeight="1" x14ac:dyDescent="0.3">
      <c r="A547" s="25">
        <f>'Daily Returns'!F547</f>
        <v>-2.5987081946074707E-3</v>
      </c>
      <c r="B547" s="25">
        <f>'Daily Returns'!B547</f>
        <v>-7.6299924642049951E-3</v>
      </c>
      <c r="C547" s="25">
        <f>'Daily Returns'!C547</f>
        <v>1.8454237022219655E-2</v>
      </c>
      <c r="D547" s="25">
        <f>'Daily Returns'!D547</f>
        <v>-1.909335162636485E-2</v>
      </c>
      <c r="E547" s="25">
        <f>'Daily Returns'!E547</f>
        <v>2.1190061177757428E-3</v>
      </c>
    </row>
    <row r="548" spans="1:5" ht="15" customHeight="1" x14ac:dyDescent="0.3">
      <c r="A548" s="26">
        <f>'Daily Returns'!F548</f>
        <v>-1.4878174130981569E-2</v>
      </c>
      <c r="B548" s="26">
        <f>'Daily Returns'!B548</f>
        <v>1.96013289036546E-2</v>
      </c>
      <c r="C548" s="26">
        <f>'Daily Returns'!C548</f>
        <v>1.0696680274204631E-2</v>
      </c>
      <c r="D548" s="26">
        <f>'Daily Returns'!D548</f>
        <v>3.0887580861355623E-3</v>
      </c>
      <c r="E548" s="26">
        <f>'Daily Returns'!E548</f>
        <v>7.9124177210872521E-3</v>
      </c>
    </row>
    <row r="549" spans="1:5" ht="15" customHeight="1" x14ac:dyDescent="0.3">
      <c r="A549" s="25">
        <f>'Daily Returns'!F549</f>
        <v>-6.9885244307316937E-3</v>
      </c>
      <c r="B549" s="25">
        <f>'Daily Returns'!B549</f>
        <v>1.3778336358981425E-2</v>
      </c>
      <c r="C549" s="25">
        <f>'Daily Returns'!C549</f>
        <v>2.3710407239819101E-2</v>
      </c>
      <c r="D549" s="25">
        <f>'Daily Returns'!D549</f>
        <v>-1.5396235184754855E-2</v>
      </c>
      <c r="E549" s="25">
        <f>'Daily Returns'!E549</f>
        <v>-4.195851520996015E-3</v>
      </c>
    </row>
    <row r="550" spans="1:5" ht="15" customHeight="1" x14ac:dyDescent="0.3">
      <c r="A550" s="26">
        <f>'Daily Returns'!F550</f>
        <v>7.1272718269968496E-3</v>
      </c>
      <c r="B550" s="26">
        <f>'Daily Returns'!B550</f>
        <v>-3.30593691170393E-3</v>
      </c>
      <c r="C550" s="26">
        <f>'Daily Returns'!C550</f>
        <v>-3.3127372887666313E-3</v>
      </c>
      <c r="D550" s="26">
        <f>'Daily Returns'!D550</f>
        <v>1.7702248185520232E-4</v>
      </c>
      <c r="E550" s="26">
        <f>'Daily Returns'!E550</f>
        <v>8.0193006897956321E-3</v>
      </c>
    </row>
    <row r="551" spans="1:5" ht="15" customHeight="1" x14ac:dyDescent="0.3">
      <c r="A551" s="25">
        <f>'Daily Returns'!F551</f>
        <v>-8.1031476652707274E-4</v>
      </c>
      <c r="B551" s="25">
        <f>'Daily Returns'!B551</f>
        <v>-8.7529368406503766E-4</v>
      </c>
      <c r="C551" s="25">
        <f>'Daily Returns'!C551</f>
        <v>2.3714381745527542E-3</v>
      </c>
      <c r="D551" s="25">
        <f>'Daily Returns'!D551</f>
        <v>-3.421828908554646E-3</v>
      </c>
      <c r="E551" s="25">
        <f>'Daily Returns'!E551</f>
        <v>1.149502781055124E-2</v>
      </c>
    </row>
    <row r="552" spans="1:5" ht="15" customHeight="1" x14ac:dyDescent="0.3">
      <c r="A552" s="26">
        <f>'Daily Returns'!F552</f>
        <v>7.9939434888439049E-4</v>
      </c>
      <c r="B552" s="26">
        <f>'Daily Returns'!B552</f>
        <v>-5.0719291774252778E-3</v>
      </c>
      <c r="C552" s="26">
        <f>'Daily Returns'!C552</f>
        <v>-8.2245114658817155E-3</v>
      </c>
      <c r="D552" s="26">
        <f>'Daily Returns'!D552</f>
        <v>-8.5839450627515322E-3</v>
      </c>
      <c r="E552" s="26">
        <f>'Daily Returns'!E552</f>
        <v>1.5696860627874357E-2</v>
      </c>
    </row>
    <row r="553" spans="1:5" ht="15" customHeight="1" x14ac:dyDescent="0.3">
      <c r="A553" s="25">
        <f>'Daily Returns'!F553</f>
        <v>3.311248701728095E-3</v>
      </c>
      <c r="B553" s="25">
        <f>'Daily Returns'!B553</f>
        <v>-6.7661507090555567E-3</v>
      </c>
      <c r="C553" s="25">
        <f>'Daily Returns'!C553</f>
        <v>-7.0906000244179181E-3</v>
      </c>
      <c r="D553" s="25">
        <f>'Daily Returns'!D553</f>
        <v>2.4541708962799388E-2</v>
      </c>
      <c r="E553" s="25">
        <f>'Daily Returns'!E553</f>
        <v>3.7766184335728557E-2</v>
      </c>
    </row>
    <row r="554" spans="1:5" ht="15" customHeight="1" x14ac:dyDescent="0.3">
      <c r="A554" s="26">
        <f>'Daily Returns'!F554</f>
        <v>-2.7938954429490214E-3</v>
      </c>
      <c r="B554" s="26">
        <f>'Daily Returns'!B554</f>
        <v>-1.782381485628963E-2</v>
      </c>
      <c r="C554" s="26">
        <f>'Daily Returns'!C554</f>
        <v>-1.4046006583178757E-2</v>
      </c>
      <c r="D554" s="26">
        <f>'Daily Returns'!D554</f>
        <v>-3.205501806737448E-3</v>
      </c>
      <c r="E554" s="26">
        <f>'Daily Returns'!E554</f>
        <v>-2.6495510307322612E-2</v>
      </c>
    </row>
    <row r="555" spans="1:5" ht="15" customHeight="1" x14ac:dyDescent="0.3">
      <c r="A555" s="25">
        <f>'Daily Returns'!F555</f>
        <v>6.0458902309145513E-3</v>
      </c>
      <c r="B555" s="25">
        <f>'Daily Returns'!B555</f>
        <v>1.9477434679334889E-2</v>
      </c>
      <c r="C555" s="25">
        <f>'Daily Returns'!C555</f>
        <v>-8.9889580675180276E-3</v>
      </c>
      <c r="D555" s="25">
        <f>'Daily Returns'!D555</f>
        <v>-2.2919955563351385E-2</v>
      </c>
      <c r="E555" s="25">
        <f>'Daily Returns'!E555</f>
        <v>-2.2832088340370163E-2</v>
      </c>
    </row>
    <row r="556" spans="1:5" ht="15" customHeight="1" x14ac:dyDescent="0.3">
      <c r="A556" s="26">
        <f>'Daily Returns'!F556</f>
        <v>1.5402352104557083E-2</v>
      </c>
      <c r="B556" s="26">
        <f>'Daily Returns'!B556</f>
        <v>1.4538676607642147E-2</v>
      </c>
      <c r="C556" s="26">
        <f>'Daily Returns'!C556</f>
        <v>-2.7685814408238952E-3</v>
      </c>
      <c r="D556" s="26">
        <f>'Daily Returns'!D556</f>
        <v>6.3431272814312356E-3</v>
      </c>
      <c r="E556" s="26">
        <f>'Daily Returns'!E556</f>
        <v>-2.2534649516402532E-2</v>
      </c>
    </row>
    <row r="557" spans="1:5" ht="15" customHeight="1" x14ac:dyDescent="0.3">
      <c r="A557" s="25">
        <f>'Daily Returns'!F557</f>
        <v>5.1853423882285846E-3</v>
      </c>
      <c r="B557" s="25">
        <f>'Daily Returns'!B557</f>
        <v>1.1390777144956779E-2</v>
      </c>
      <c r="C557" s="25">
        <f>'Daily Returns'!C557</f>
        <v>-1.0891511998136238E-2</v>
      </c>
      <c r="D557" s="25">
        <f>'Daily Returns'!D557</f>
        <v>1.1238627579235386E-2</v>
      </c>
      <c r="E557" s="25">
        <f>'Daily Returns'!E557</f>
        <v>-3.2303036485429246E-3</v>
      </c>
    </row>
    <row r="558" spans="1:5" ht="15" customHeight="1" x14ac:dyDescent="0.3">
      <c r="A558" s="26">
        <f>'Daily Returns'!F558</f>
        <v>6.3092481684531585E-3</v>
      </c>
      <c r="B558" s="26">
        <f>'Daily Returns'!B558</f>
        <v>-1.4850136239781934E-2</v>
      </c>
      <c r="C558" s="26">
        <f>'Daily Returns'!C558</f>
        <v>1.0599250201188757E-3</v>
      </c>
      <c r="D558" s="26">
        <f>'Daily Returns'!D558</f>
        <v>1.1760555098199966E-3</v>
      </c>
      <c r="E558" s="26">
        <f>'Daily Returns'!E558</f>
        <v>-2.967865183871184E-2</v>
      </c>
    </row>
    <row r="559" spans="1:5" ht="15" customHeight="1" x14ac:dyDescent="0.3">
      <c r="A559" s="25">
        <f>'Daily Returns'!F559</f>
        <v>1.309694068445579E-2</v>
      </c>
      <c r="B559" s="25">
        <f>'Daily Returns'!B559</f>
        <v>2.9133821970220776E-2</v>
      </c>
      <c r="C559" s="25">
        <f>'Daily Returns'!C559</f>
        <v>-3.1479774906374401E-2</v>
      </c>
      <c r="D559" s="25">
        <f>'Daily Returns'!D559</f>
        <v>-1.1805473980970227E-2</v>
      </c>
      <c r="E559" s="25">
        <f>'Daily Returns'!E559</f>
        <v>-9.527492617072069E-3</v>
      </c>
    </row>
    <row r="560" spans="1:5" ht="15" customHeight="1" x14ac:dyDescent="0.3">
      <c r="A560" s="26">
        <f>'Daily Returns'!F560</f>
        <v>8.6409690310913882E-3</v>
      </c>
      <c r="B560" s="26">
        <f>'Daily Returns'!B560</f>
        <v>2.7771556550951797E-2</v>
      </c>
      <c r="C560" s="26">
        <f>'Daily Returns'!C560</f>
        <v>8.1383931734672968E-3</v>
      </c>
      <c r="D560" s="26">
        <f>'Daily Returns'!D560</f>
        <v>-6.4190193164933877E-3</v>
      </c>
      <c r="E560" s="26">
        <f>'Daily Returns'!E560</f>
        <v>1.6292194654456305E-2</v>
      </c>
    </row>
    <row r="561" spans="1:5" ht="15" customHeight="1" x14ac:dyDescent="0.3">
      <c r="A561" s="25">
        <f>'Daily Returns'!F561</f>
        <v>1.3193125435126959E-2</v>
      </c>
      <c r="B561" s="25">
        <f>'Daily Returns'!B561</f>
        <v>2.9200261494879754E-3</v>
      </c>
      <c r="C561" s="25">
        <f>'Daily Returns'!C561</f>
        <v>3.7250866007328908E-3</v>
      </c>
      <c r="D561" s="25">
        <f>'Daily Returns'!D561</f>
        <v>-8.8532631453011306E-3</v>
      </c>
      <c r="E561" s="25">
        <f>'Daily Returns'!E561</f>
        <v>1.4249790444258118E-2</v>
      </c>
    </row>
    <row r="562" spans="1:5" ht="15" customHeight="1" x14ac:dyDescent="0.3">
      <c r="A562" s="26">
        <f>'Daily Returns'!F562</f>
        <v>-2.2573035599603913E-2</v>
      </c>
      <c r="B562" s="26">
        <f>'Daily Returns'!B562</f>
        <v>-1.2211020337215375E-2</v>
      </c>
      <c r="C562" s="26">
        <f>'Daily Returns'!C562</f>
        <v>8.4728807794650449E-3</v>
      </c>
      <c r="D562" s="26">
        <f>'Daily Returns'!D562</f>
        <v>-7.5442090651216126E-3</v>
      </c>
      <c r="E562" s="26">
        <f>'Daily Returns'!E562</f>
        <v>3.1473829201102081E-2</v>
      </c>
    </row>
    <row r="563" spans="1:5" ht="15" customHeight="1" x14ac:dyDescent="0.3">
      <c r="A563" s="25">
        <f>'Daily Returns'!F563</f>
        <v>7.501731600758994E-4</v>
      </c>
      <c r="B563" s="25">
        <f>'Daily Returns'!B563</f>
        <v>-1.1702080858739151E-2</v>
      </c>
      <c r="C563" s="25">
        <f>'Daily Returns'!C563</f>
        <v>-7.5783877079344791E-3</v>
      </c>
      <c r="D563" s="25">
        <f>'Daily Returns'!D563</f>
        <v>-1.0702991972755965E-2</v>
      </c>
      <c r="E563" s="25">
        <f>'Daily Returns'!E563</f>
        <v>1.6625492421713163E-2</v>
      </c>
    </row>
    <row r="564" spans="1:5" ht="15" customHeight="1" x14ac:dyDescent="0.3">
      <c r="A564" s="26">
        <f>'Daily Returns'!F564</f>
        <v>4.9149402339884168E-3</v>
      </c>
      <c r="B564" s="26">
        <f>'Daily Returns'!B564</f>
        <v>6.1428889383485221E-3</v>
      </c>
      <c r="C564" s="26">
        <f>'Daily Returns'!C564</f>
        <v>-8.3758958110525788E-3</v>
      </c>
      <c r="D564" s="26">
        <f>'Daily Returns'!D564</f>
        <v>-3.0735185640521265E-3</v>
      </c>
      <c r="E564" s="26">
        <f>'Daily Returns'!E564</f>
        <v>1.9604623670038183E-2</v>
      </c>
    </row>
    <row r="565" spans="1:5" ht="15" customHeight="1" x14ac:dyDescent="0.3">
      <c r="A565" s="25">
        <f>'Daily Returns'!F565</f>
        <v>-1.175953578953375E-3</v>
      </c>
      <c r="B565" s="25">
        <f>'Daily Returns'!B565</f>
        <v>-1.2343494226430085E-2</v>
      </c>
      <c r="C565" s="25">
        <f>'Daily Returns'!C565</f>
        <v>1.7921399844775251E-2</v>
      </c>
      <c r="D565" s="25">
        <f>'Daily Returns'!D565</f>
        <v>-2.0964360587002132E-2</v>
      </c>
      <c r="E565" s="25">
        <f>'Daily Returns'!E565</f>
        <v>-9.5333183033271159E-3</v>
      </c>
    </row>
    <row r="566" spans="1:5" ht="15" customHeight="1" x14ac:dyDescent="0.3">
      <c r="A566" s="26">
        <f>'Daily Returns'!F566</f>
        <v>-9.31808475561334E-3</v>
      </c>
      <c r="B566" s="26">
        <f>'Daily Returns'!B566</f>
        <v>-1.3438451890342742E-4</v>
      </c>
      <c r="C566" s="26">
        <f>'Daily Returns'!C566</f>
        <v>-2.128944736555444E-3</v>
      </c>
      <c r="D566" s="26">
        <f>'Daily Returns'!D566</f>
        <v>4.2826552462527194E-3</v>
      </c>
      <c r="E566" s="26">
        <f>'Daily Returns'!E566</f>
        <v>-6.2758104900333305E-3</v>
      </c>
    </row>
    <row r="567" spans="1:5" ht="15" customHeight="1" x14ac:dyDescent="0.3">
      <c r="A567" s="25">
        <f>'Daily Returns'!F567</f>
        <v>-1.1476116829299715E-3</v>
      </c>
      <c r="B567" s="25">
        <f>'Daily Returns'!B567</f>
        <v>1.5366695040544682E-2</v>
      </c>
      <c r="C567" s="25">
        <f>'Daily Returns'!C567</f>
        <v>3.5634191358882329E-2</v>
      </c>
      <c r="D567" s="25">
        <f>'Daily Returns'!D567</f>
        <v>-1.1915213846732758E-2</v>
      </c>
      <c r="E567" s="25">
        <f>'Daily Returns'!E567</f>
        <v>1.7081151832460634E-2</v>
      </c>
    </row>
    <row r="568" spans="1:5" ht="15" customHeight="1" x14ac:dyDescent="0.3">
      <c r="A568" s="26">
        <f>'Daily Returns'!F568</f>
        <v>-8.0080956994551741E-3</v>
      </c>
      <c r="B568" s="26">
        <f>'Daily Returns'!B568</f>
        <v>-2.0561242499117529E-2</v>
      </c>
      <c r="C568" s="26">
        <f>'Daily Returns'!C568</f>
        <v>-2.4203516504575386E-2</v>
      </c>
      <c r="D568" s="26">
        <f>'Daily Returns'!D568</f>
        <v>1.4216806296014274E-2</v>
      </c>
      <c r="E568" s="26">
        <f>'Daily Returns'!E568</f>
        <v>1.66977671964481E-2</v>
      </c>
    </row>
    <row r="569" spans="1:5" ht="15" customHeight="1" x14ac:dyDescent="0.3">
      <c r="A569" s="25">
        <f>'Daily Returns'!F569</f>
        <v>4.1833812093204506E-3</v>
      </c>
      <c r="B569" s="25">
        <f>'Daily Returns'!B569</f>
        <v>2.8110640598252138E-2</v>
      </c>
      <c r="C569" s="25">
        <f>'Daily Returns'!C569</f>
        <v>-3.770657606614393E-3</v>
      </c>
      <c r="D569" s="25">
        <f>'Daily Returns'!D569</f>
        <v>6.3829787234041414E-3</v>
      </c>
      <c r="E569" s="25">
        <f>'Daily Returns'!E569</f>
        <v>-3.5726717508939479E-2</v>
      </c>
    </row>
    <row r="570" spans="1:5" ht="15" customHeight="1" x14ac:dyDescent="0.3">
      <c r="A570" s="26">
        <f>'Daily Returns'!F570</f>
        <v>8.0370184441373275E-3</v>
      </c>
      <c r="B570" s="26">
        <f>'Daily Returns'!B570</f>
        <v>2.2040136710191924E-2</v>
      </c>
      <c r="C570" s="26">
        <f>'Daily Returns'!C570</f>
        <v>-1.9289340101522782E-2</v>
      </c>
      <c r="D570" s="26">
        <f>'Daily Returns'!D570</f>
        <v>2.4126352443725879E-2</v>
      </c>
      <c r="E570" s="26">
        <f>'Daily Returns'!E570</f>
        <v>-2.5761354686269434E-2</v>
      </c>
    </row>
    <row r="571" spans="1:5" ht="15" customHeight="1" x14ac:dyDescent="0.3">
      <c r="A571" s="25">
        <f>'Daily Returns'!F571</f>
        <v>-2.3671287775177637E-3</v>
      </c>
      <c r="B571" s="25">
        <f>'Daily Returns'!B571</f>
        <v>-1.680600214362267E-2</v>
      </c>
      <c r="C571" s="25">
        <f>'Daily Returns'!C571</f>
        <v>-1.3276648776859872E-2</v>
      </c>
      <c r="D571" s="25">
        <f>'Daily Returns'!D571</f>
        <v>-2.1068609593199752E-2</v>
      </c>
      <c r="E571" s="25">
        <f>'Daily Returns'!E571</f>
        <v>-1.8021356149156273E-2</v>
      </c>
    </row>
    <row r="572" spans="1:5" ht="15" customHeight="1" x14ac:dyDescent="0.3">
      <c r="A572" s="26">
        <f>'Daily Returns'!F572</f>
        <v>1.241947847837529E-2</v>
      </c>
      <c r="B572" s="26">
        <f>'Daily Returns'!B572</f>
        <v>-1.9273535952557517E-2</v>
      </c>
      <c r="C572" s="26">
        <f>'Daily Returns'!C572</f>
        <v>-1.3343247400103918E-2</v>
      </c>
      <c r="D572" s="26">
        <f>'Daily Returns'!D572</f>
        <v>2.2638466786578215E-2</v>
      </c>
      <c r="E572" s="26">
        <f>'Daily Returns'!E572</f>
        <v>-1.5779363336992199E-2</v>
      </c>
    </row>
    <row r="573" spans="1:5" ht="15" customHeight="1" x14ac:dyDescent="0.3">
      <c r="A573" s="25">
        <f>'Daily Returns'!F573</f>
        <v>-5.5902850138750656E-3</v>
      </c>
      <c r="B573" s="25">
        <f>'Daily Returns'!B573</f>
        <v>-3.6459028055666406E-3</v>
      </c>
      <c r="C573" s="25">
        <f>'Daily Returns'!C573</f>
        <v>-7.8871029349520342E-3</v>
      </c>
      <c r="D573" s="25">
        <f>'Daily Returns'!D573</f>
        <v>-1.4556040756914671E-3</v>
      </c>
      <c r="E573" s="25">
        <f>'Daily Returns'!E573</f>
        <v>2.5372926251219757E-2</v>
      </c>
    </row>
    <row r="574" spans="1:5" ht="15" customHeight="1" x14ac:dyDescent="0.3">
      <c r="A574" s="26">
        <f>'Daily Returns'!F574</f>
        <v>-6.4406940321336554E-3</v>
      </c>
      <c r="B574" s="26">
        <f>'Daily Returns'!B574</f>
        <v>-1.3967602302646237E-2</v>
      </c>
      <c r="C574" s="26">
        <f>'Daily Returns'!C574</f>
        <v>1.4411620865113496E-2</v>
      </c>
      <c r="D574" s="26">
        <f>'Daily Returns'!D574</f>
        <v>1.0143343051506415E-2</v>
      </c>
      <c r="E574" s="26">
        <f>'Daily Returns'!E574</f>
        <v>3.4602311352821234E-2</v>
      </c>
    </row>
    <row r="575" spans="1:5" ht="15" customHeight="1" x14ac:dyDescent="0.3">
      <c r="A575" s="25">
        <f>'Daily Returns'!F575</f>
        <v>1.2617620192632579E-3</v>
      </c>
      <c r="B575" s="25">
        <f>'Daily Returns'!B575</f>
        <v>-3.3037653874005168E-3</v>
      </c>
      <c r="C575" s="25">
        <f>'Daily Returns'!C575</f>
        <v>-1.9581897259149876E-2</v>
      </c>
      <c r="D575" s="25">
        <f>'Daily Returns'!D575</f>
        <v>1.4370753412302244E-2</v>
      </c>
      <c r="E575" s="25">
        <f>'Daily Returns'!E575</f>
        <v>6.7350022997569202E-3</v>
      </c>
    </row>
    <row r="576" spans="1:5" ht="15" customHeight="1" x14ac:dyDescent="0.3">
      <c r="A576" s="26">
        <f>'Daily Returns'!F576</f>
        <v>-4.1845193918189109E-3</v>
      </c>
      <c r="B576" s="26">
        <f>'Daily Returns'!B576</f>
        <v>-3.5462925123734293E-2</v>
      </c>
      <c r="C576" s="26">
        <f>'Daily Returns'!C576</f>
        <v>1.1351865995668529E-2</v>
      </c>
      <c r="D576" s="26">
        <f>'Daily Returns'!D576</f>
        <v>1.5589804386485027E-2</v>
      </c>
      <c r="E576" s="26">
        <f>'Daily Returns'!E576</f>
        <v>6.9183826648826956E-3</v>
      </c>
    </row>
    <row r="577" spans="1:5" ht="15" customHeight="1" x14ac:dyDescent="0.3">
      <c r="A577" s="25">
        <f>'Daily Returns'!F577</f>
        <v>1.1615716847069128E-2</v>
      </c>
      <c r="B577" s="25">
        <f>'Daily Returns'!B577</f>
        <v>-2.8716693343375636E-3</v>
      </c>
      <c r="C577" s="25">
        <f>'Daily Returns'!C577</f>
        <v>-2.4817926011752058E-2</v>
      </c>
      <c r="D577" s="25">
        <f>'Daily Returns'!D577</f>
        <v>1.342438568843692E-3</v>
      </c>
      <c r="E577" s="25">
        <f>'Daily Returns'!E577</f>
        <v>3.7173877815588952E-2</v>
      </c>
    </row>
    <row r="578" spans="1:5" ht="15" customHeight="1" x14ac:dyDescent="0.3">
      <c r="A578" s="26">
        <f>'Daily Returns'!F578</f>
        <v>-1.6036549230400415E-3</v>
      </c>
      <c r="B578" s="26">
        <f>'Daily Returns'!B578</f>
        <v>2.5305698503375596E-2</v>
      </c>
      <c r="C578" s="26">
        <f>'Daily Returns'!C578</f>
        <v>-6.5559857847556887E-3</v>
      </c>
      <c r="D578" s="26">
        <f>'Daily Returns'!D578</f>
        <v>7.5775238983446687E-3</v>
      </c>
      <c r="E578" s="26">
        <f>'Daily Returns'!E578</f>
        <v>8.93694144115997E-3</v>
      </c>
    </row>
    <row r="579" spans="1:5" ht="15" customHeight="1" x14ac:dyDescent="0.3">
      <c r="A579" s="25">
        <f>'Daily Returns'!F579</f>
        <v>6.4018415586416079E-3</v>
      </c>
      <c r="B579" s="25">
        <f>'Daily Returns'!B579</f>
        <v>-1.5149422111709684E-2</v>
      </c>
      <c r="C579" s="25">
        <f>'Daily Returns'!C579</f>
        <v>2.3876899420162967E-2</v>
      </c>
      <c r="D579" s="25">
        <f>'Daily Returns'!D579</f>
        <v>-1.0991553858615418E-3</v>
      </c>
      <c r="E579" s="25">
        <f>'Daily Returns'!E579</f>
        <v>1.1056739345886996E-2</v>
      </c>
    </row>
    <row r="580" spans="1:5" ht="15" customHeight="1" x14ac:dyDescent="0.3">
      <c r="A580" s="26">
        <f>'Daily Returns'!F580</f>
        <v>1.0996317958718553E-2</v>
      </c>
      <c r="B580" s="26">
        <f>'Daily Returns'!B580</f>
        <v>-3.4598840471292739E-3</v>
      </c>
      <c r="C580" s="26">
        <f>'Daily Returns'!C580</f>
        <v>8.7398183202444593E-3</v>
      </c>
      <c r="D580" s="26">
        <f>'Daily Returns'!D580</f>
        <v>1.1872357676492799E-2</v>
      </c>
      <c r="E580" s="26">
        <f>'Daily Returns'!E580</f>
        <v>7.5049777913922151E-3</v>
      </c>
    </row>
    <row r="581" spans="1:5" ht="15" customHeight="1" x14ac:dyDescent="0.3">
      <c r="A581" s="25">
        <f>'Daily Returns'!F581</f>
        <v>-1.8110250483711336E-2</v>
      </c>
      <c r="B581" s="25">
        <f>'Daily Returns'!B581</f>
        <v>-2.0315285727690646E-2</v>
      </c>
      <c r="C581" s="25">
        <f>'Daily Returns'!C581</f>
        <v>5.3969665326039987E-3</v>
      </c>
      <c r="D581" s="25">
        <f>'Daily Returns'!D581</f>
        <v>-1.3621794871794846E-2</v>
      </c>
      <c r="E581" s="25">
        <f>'Daily Returns'!E581</f>
        <v>7.57069017938586E-3</v>
      </c>
    </row>
    <row r="582" spans="1:5" ht="15" customHeight="1" x14ac:dyDescent="0.3">
      <c r="A582" s="26">
        <f>'Daily Returns'!F582</f>
        <v>-2.57243375164213E-4</v>
      </c>
      <c r="B582" s="26">
        <f>'Daily Returns'!B582</f>
        <v>9.1470715004070523E-3</v>
      </c>
      <c r="C582" s="26">
        <f>'Daily Returns'!C582</f>
        <v>1.1712925351953457E-2</v>
      </c>
      <c r="D582" s="26">
        <f>'Daily Returns'!D582</f>
        <v>6.730880816989652E-3</v>
      </c>
      <c r="E582" s="26">
        <f>'Daily Returns'!E582</f>
        <v>2.5951296056006587E-2</v>
      </c>
    </row>
    <row r="583" spans="1:5" ht="15" customHeight="1" x14ac:dyDescent="0.3">
      <c r="A583" s="25">
        <f>'Daily Returns'!F583</f>
        <v>1.7175241094062993E-3</v>
      </c>
      <c r="B583" s="25">
        <f>'Daily Returns'!B583</f>
        <v>-2.7999240698557489E-3</v>
      </c>
      <c r="C583" s="25">
        <f>'Daily Returns'!C583</f>
        <v>1.0753999715395018E-2</v>
      </c>
      <c r="D583" s="25">
        <f>'Daily Returns'!D583</f>
        <v>2.4668587896253608E-2</v>
      </c>
      <c r="E583" s="25">
        <f>'Daily Returns'!E583</f>
        <v>1.420630018529952E-2</v>
      </c>
    </row>
    <row r="584" spans="1:5" ht="15" customHeight="1" x14ac:dyDescent="0.3">
      <c r="A584" s="26">
        <f>'Daily Returns'!F584</f>
        <v>-2.058407601926996E-2</v>
      </c>
      <c r="B584" s="26">
        <f>'Daily Returns'!B584</f>
        <v>2.7221243991814584E-2</v>
      </c>
      <c r="C584" s="26">
        <f>'Daily Returns'!C584</f>
        <v>1.1665325824617883E-2</v>
      </c>
      <c r="D584" s="26">
        <f>'Daily Returns'!D584</f>
        <v>3.2005849926875898E-2</v>
      </c>
      <c r="E584" s="26">
        <f>'Daily Returns'!E584</f>
        <v>2.0880459370106936E-3</v>
      </c>
    </row>
    <row r="585" spans="1:5" ht="15" customHeight="1" x14ac:dyDescent="0.3">
      <c r="A585" s="25">
        <f>'Daily Returns'!F585</f>
        <v>9.7031725682868836E-4</v>
      </c>
      <c r="B585" s="25">
        <f>'Daily Returns'!B585</f>
        <v>3.1503358813991513E-3</v>
      </c>
      <c r="C585" s="25">
        <f>'Daily Returns'!C585</f>
        <v>2.5357852882703768E-2</v>
      </c>
      <c r="D585" s="25">
        <f>'Daily Returns'!D585</f>
        <v>1.7223524281898928E-2</v>
      </c>
      <c r="E585" s="25">
        <f>'Daily Returns'!E585</f>
        <v>-6.9456502865081725E-3</v>
      </c>
    </row>
    <row r="586" spans="1:5" ht="15" customHeight="1" x14ac:dyDescent="0.3">
      <c r="A586" s="26">
        <f>'Daily Returns'!F586</f>
        <v>-1.8268886468959284E-3</v>
      </c>
      <c r="B586" s="26">
        <f>'Daily Returns'!B586</f>
        <v>-4.8030296032881914E-3</v>
      </c>
      <c r="C586" s="26">
        <f>'Daily Returns'!C586</f>
        <v>-1.7721592616649351E-2</v>
      </c>
      <c r="D586" s="26">
        <f>'Daily Returns'!D586</f>
        <v>2.3415313722338342E-2</v>
      </c>
      <c r="E586" s="26">
        <f>'Daily Returns'!E586</f>
        <v>5.3913854403451148E-3</v>
      </c>
    </row>
    <row r="587" spans="1:5" ht="15" customHeight="1" x14ac:dyDescent="0.3">
      <c r="A587" s="25">
        <f>'Daily Returns'!F587</f>
        <v>-1.5994080202280842E-2</v>
      </c>
      <c r="B587" s="25">
        <f>'Daily Returns'!B587</f>
        <v>7.9354030349435209E-3</v>
      </c>
      <c r="C587" s="25">
        <f>'Daily Returns'!C587</f>
        <v>-6.5138221331777397E-4</v>
      </c>
      <c r="D587" s="25">
        <f>'Daily Returns'!D587</f>
        <v>8.6387434554974114E-3</v>
      </c>
      <c r="E587" s="25">
        <f>'Daily Returns'!E587</f>
        <v>-3.0957419055624821E-2</v>
      </c>
    </row>
    <row r="588" spans="1:5" ht="15" customHeight="1" x14ac:dyDescent="0.3">
      <c r="A588" s="26">
        <f>'Daily Returns'!F588</f>
        <v>1.543982658533738E-2</v>
      </c>
      <c r="B588" s="26">
        <f>'Daily Returns'!B588</f>
        <v>-6.721915285451103E-3</v>
      </c>
      <c r="C588" s="26">
        <f>'Daily Returns'!C588</f>
        <v>1.1831280800339634E-2</v>
      </c>
      <c r="D588" s="26">
        <f>'Daily Returns'!D588</f>
        <v>1.6973786659745558E-2</v>
      </c>
      <c r="E588" s="26">
        <f>'Daily Returns'!E588</f>
        <v>9.1830935359396761E-3</v>
      </c>
    </row>
    <row r="589" spans="1:5" ht="15" customHeight="1" x14ac:dyDescent="0.3">
      <c r="A589" s="25">
        <f>'Daily Returns'!F589</f>
        <v>1.7802861698651233E-3</v>
      </c>
      <c r="B589" s="25">
        <f>'Daily Returns'!B589</f>
        <v>-1.8216371558357314E-2</v>
      </c>
      <c r="C589" s="25">
        <f>'Daily Returns'!C589</f>
        <v>1.3820701771509524E-2</v>
      </c>
      <c r="D589" s="25">
        <f>'Daily Returns'!D589</f>
        <v>3.1033074724377361E-2</v>
      </c>
      <c r="E589" s="25">
        <f>'Daily Returns'!E589</f>
        <v>2.8750963305472386E-3</v>
      </c>
    </row>
    <row r="590" spans="1:5" ht="15" customHeight="1" x14ac:dyDescent="0.3">
      <c r="A590" s="26">
        <f>'Daily Returns'!F590</f>
        <v>-2.5185362248408706E-2</v>
      </c>
      <c r="B590" s="26">
        <f>'Daily Returns'!B590</f>
        <v>4.4851517869788421E-3</v>
      </c>
      <c r="C590" s="26">
        <f>'Daily Returns'!C590</f>
        <v>1.043602160371992E-2</v>
      </c>
      <c r="D590" s="26">
        <f>'Daily Returns'!D590</f>
        <v>-4.4554455445546242E-4</v>
      </c>
      <c r="E590" s="26">
        <f>'Daily Returns'!E590</f>
        <v>6.5316979459139335E-3</v>
      </c>
    </row>
    <row r="591" spans="1:5" ht="15" customHeight="1" x14ac:dyDescent="0.3">
      <c r="A591" s="25">
        <f>'Daily Returns'!F591</f>
        <v>-5.0392680304970098E-3</v>
      </c>
      <c r="B591" s="25">
        <f>'Daily Returns'!B591</f>
        <v>-2.1150592216581531E-3</v>
      </c>
      <c r="C591" s="25">
        <f>'Daily Returns'!C591</f>
        <v>2.3648230193892561E-2</v>
      </c>
      <c r="D591" s="25">
        <f>'Daily Returns'!D591</f>
        <v>-2.4614927442920109E-2</v>
      </c>
      <c r="E591" s="25">
        <f>'Daily Returns'!E591</f>
        <v>-2.1376556260277277E-2</v>
      </c>
    </row>
    <row r="592" spans="1:5" ht="15" customHeight="1" x14ac:dyDescent="0.3">
      <c r="A592" s="26">
        <f>'Daily Returns'!F592</f>
        <v>-3.3195047816417193E-3</v>
      </c>
      <c r="B592" s="26">
        <f>'Daily Returns'!B592</f>
        <v>2.6376524892845477E-3</v>
      </c>
      <c r="C592" s="26">
        <f>'Daily Returns'!C592</f>
        <v>-8.246693411022181E-3</v>
      </c>
      <c r="D592" s="26">
        <f>'Daily Returns'!D592</f>
        <v>-2.2849598862597167E-3</v>
      </c>
      <c r="E592" s="26">
        <f>'Daily Returns'!E592</f>
        <v>9.3314930388862637E-3</v>
      </c>
    </row>
    <row r="593" spans="1:5" ht="15" customHeight="1" x14ac:dyDescent="0.3">
      <c r="A593" s="25">
        <f>'Daily Returns'!F593</f>
        <v>-9.214587339033412E-4</v>
      </c>
      <c r="B593" s="25">
        <f>'Daily Returns'!B593</f>
        <v>5.4963123032836358E-3</v>
      </c>
      <c r="C593" s="25">
        <f>'Daily Returns'!C593</f>
        <v>-2.3209542848025844E-2</v>
      </c>
      <c r="D593" s="25">
        <f>'Daily Returns'!D593</f>
        <v>3.3080563896380338E-3</v>
      </c>
      <c r="E593" s="25">
        <f>'Daily Returns'!E593</f>
        <v>3.9240167662534355E-3</v>
      </c>
    </row>
    <row r="594" spans="1:5" ht="15" customHeight="1" x14ac:dyDescent="0.3">
      <c r="A594" s="26">
        <f>'Daily Returns'!F594</f>
        <v>-8.2945898811390053E-3</v>
      </c>
      <c r="B594" s="26">
        <f>'Daily Returns'!B594</f>
        <v>-6.7277144458979523E-3</v>
      </c>
      <c r="C594" s="26">
        <f>'Daily Returns'!C594</f>
        <v>2.3040411998693305E-2</v>
      </c>
      <c r="D594" s="26">
        <f>'Daily Returns'!D594</f>
        <v>-1.2579892462209545E-2</v>
      </c>
      <c r="E594" s="26">
        <f>'Daily Returns'!E594</f>
        <v>3.5533445855913225E-4</v>
      </c>
    </row>
    <row r="595" spans="1:5" ht="15" customHeight="1" x14ac:dyDescent="0.3">
      <c r="A595" s="25">
        <f>'Daily Returns'!F595</f>
        <v>-1.1785854735509638E-2</v>
      </c>
      <c r="B595" s="25">
        <f>'Daily Returns'!B595</f>
        <v>6.161806208842908E-3</v>
      </c>
      <c r="C595" s="25">
        <f>'Daily Returns'!C595</f>
        <v>5.7289905706440884E-4</v>
      </c>
      <c r="D595" s="25">
        <f>'Daily Returns'!D595</f>
        <v>-1.844241241138397E-2</v>
      </c>
      <c r="E595" s="25">
        <f>'Daily Returns'!E595</f>
        <v>7.4593730574550477E-3</v>
      </c>
    </row>
    <row r="596" spans="1:5" ht="15" customHeight="1" x14ac:dyDescent="0.3">
      <c r="A596" s="26">
        <f>'Daily Returns'!F596</f>
        <v>3.1796971794787235E-3</v>
      </c>
      <c r="B596" s="26">
        <f>'Daily Returns'!B596</f>
        <v>2.4402786218503104E-2</v>
      </c>
      <c r="C596" s="26">
        <f>'Daily Returns'!C596</f>
        <v>-9.0766588133698589E-3</v>
      </c>
      <c r="D596" s="26">
        <f>'Daily Returns'!D596</f>
        <v>-7.3794944261265328E-3</v>
      </c>
      <c r="E596" s="26">
        <f>'Daily Returns'!E596</f>
        <v>-1.5190245335683901E-2</v>
      </c>
    </row>
    <row r="597" spans="1:5" ht="15" customHeight="1" x14ac:dyDescent="0.3">
      <c r="A597" s="25">
        <f>'Daily Returns'!F597</f>
        <v>-1.0596370718964514E-2</v>
      </c>
      <c r="B597" s="25">
        <f>'Daily Returns'!B597</f>
        <v>-1.5059553689590577E-2</v>
      </c>
      <c r="C597" s="25">
        <f>'Daily Returns'!C597</f>
        <v>1.2219380505825174E-3</v>
      </c>
      <c r="D597" s="25">
        <f>'Daily Returns'!D597</f>
        <v>-1.8981335020563084E-2</v>
      </c>
      <c r="E597" s="25">
        <f>'Daily Returns'!E597</f>
        <v>-2.7060087117369749E-2</v>
      </c>
    </row>
    <row r="598" spans="1:5" ht="15" customHeight="1" x14ac:dyDescent="0.3">
      <c r="A598" s="26">
        <f>'Daily Returns'!F598</f>
        <v>1.1290400736541185E-2</v>
      </c>
      <c r="B598" s="26">
        <f>'Daily Returns'!B598</f>
        <v>2.4417365519158511E-2</v>
      </c>
      <c r="C598" s="26">
        <f>'Daily Returns'!C598</f>
        <v>-7.0293947908684692E-3</v>
      </c>
      <c r="D598" s="26">
        <f>'Daily Returns'!D598</f>
        <v>1.4780178437063312E-2</v>
      </c>
      <c r="E598" s="26">
        <f>'Daily Returns'!E598</f>
        <v>9.0766919137713637E-3</v>
      </c>
    </row>
    <row r="599" spans="1:5" ht="15" customHeight="1" x14ac:dyDescent="0.3">
      <c r="A599" s="25">
        <f>'Daily Returns'!F599</f>
        <v>5.8867821206105286E-3</v>
      </c>
      <c r="B599" s="25">
        <f>'Daily Returns'!B599</f>
        <v>-3.0755314337404197E-3</v>
      </c>
      <c r="C599" s="25">
        <f>'Daily Returns'!C599</f>
        <v>1.8341019093715463E-2</v>
      </c>
      <c r="D599" s="25">
        <f>'Daily Returns'!D599</f>
        <v>2.7223134367882984E-2</v>
      </c>
      <c r="E599" s="25">
        <f>'Daily Returns'!E599</f>
        <v>-4.1146260674020788E-2</v>
      </c>
    </row>
    <row r="600" spans="1:5" ht="15" customHeight="1" x14ac:dyDescent="0.3">
      <c r="A600" s="26">
        <f>'Daily Returns'!F600</f>
        <v>3.0420348896021162E-3</v>
      </c>
      <c r="B600" s="26">
        <f>'Daily Returns'!B600</f>
        <v>-1.0298521005353334E-2</v>
      </c>
      <c r="C600" s="26">
        <f>'Daily Returns'!C600</f>
        <v>1.6298500201158365E-2</v>
      </c>
      <c r="D600" s="26">
        <f>'Daily Returns'!D600</f>
        <v>1.1033771590616215E-2</v>
      </c>
      <c r="E600" s="26">
        <f>'Daily Returns'!E600</f>
        <v>1.1726301777961036E-2</v>
      </c>
    </row>
    <row r="601" spans="1:5" ht="15" customHeight="1" x14ac:dyDescent="0.3">
      <c r="A601" s="25">
        <f>'Daily Returns'!F601</f>
        <v>-6.0951392543397865E-3</v>
      </c>
      <c r="B601" s="25">
        <f>'Daily Returns'!B601</f>
        <v>3.3967453586981416E-2</v>
      </c>
      <c r="C601" s="25">
        <f>'Daily Returns'!C601</f>
        <v>6.0944735461181251E-3</v>
      </c>
      <c r="D601" s="25">
        <f>'Daily Returns'!D601</f>
        <v>-2.1571727268091132E-2</v>
      </c>
      <c r="E601" s="25">
        <f>'Daily Returns'!E601</f>
        <v>3.9532625379820205E-2</v>
      </c>
    </row>
    <row r="602" spans="1:5" ht="15" customHeight="1" x14ac:dyDescent="0.3">
      <c r="A602" s="26">
        <f>'Daily Returns'!F602</f>
        <v>1.6192385538541933E-3</v>
      </c>
      <c r="B602" s="26">
        <f>'Daily Returns'!B602</f>
        <v>2.4827097003014818E-3</v>
      </c>
      <c r="C602" s="26">
        <f>'Daily Returns'!C602</f>
        <v>1.0138628357048228E-2</v>
      </c>
      <c r="D602" s="26">
        <f>'Daily Returns'!D602</f>
        <v>3.6484936933179851E-3</v>
      </c>
      <c r="E602" s="26">
        <f>'Daily Returns'!E602</f>
        <v>7.5033900858820311E-3</v>
      </c>
    </row>
    <row r="603" spans="1:5" ht="15" customHeight="1" x14ac:dyDescent="0.3">
      <c r="A603" s="25">
        <f>'Daily Returns'!F603</f>
        <v>1.0320071406126551E-3</v>
      </c>
      <c r="B603" s="25">
        <f>'Daily Returns'!B603</f>
        <v>1.9281797275782706E-2</v>
      </c>
      <c r="C603" s="25">
        <f>'Daily Returns'!C603</f>
        <v>1.1685523538629836E-3</v>
      </c>
      <c r="D603" s="25">
        <f>'Daily Returns'!D603</f>
        <v>-1.3086830078936488E-2</v>
      </c>
      <c r="E603" s="25">
        <f>'Daily Returns'!E603</f>
        <v>1.6599868397439769E-2</v>
      </c>
    </row>
    <row r="604" spans="1:5" ht="15" customHeight="1" x14ac:dyDescent="0.3">
      <c r="A604" s="26">
        <f>'Daily Returns'!F604</f>
        <v>2.0501105002567375E-3</v>
      </c>
      <c r="B604" s="26">
        <f>'Daily Returns'!B604</f>
        <v>1.1671294689343968E-2</v>
      </c>
      <c r="C604" s="26">
        <f>'Daily Returns'!C604</f>
        <v>1.8702158846202632E-2</v>
      </c>
      <c r="D604" s="26">
        <f>'Daily Returns'!D604</f>
        <v>4.7884655861923624E-3</v>
      </c>
      <c r="E604" s="26">
        <f>'Daily Returns'!E604</f>
        <v>3.1245402924475581E-2</v>
      </c>
    </row>
    <row r="605" spans="1:5" ht="15" customHeight="1" x14ac:dyDescent="0.3">
      <c r="A605" s="25">
        <f>'Daily Returns'!F605</f>
        <v>-1.7871560461853338E-2</v>
      </c>
      <c r="B605" s="25">
        <f>'Daily Returns'!B605</f>
        <v>-2.298751983531323E-2</v>
      </c>
      <c r="C605" s="25">
        <f>'Daily Returns'!C605</f>
        <v>-4.1087495225998978E-2</v>
      </c>
      <c r="D605" s="25">
        <f>'Daily Returns'!D605</f>
        <v>-1.2568735271013235E-2</v>
      </c>
      <c r="E605" s="25">
        <f>'Daily Returns'!E605</f>
        <v>2.0199138398333812E-2</v>
      </c>
    </row>
    <row r="606" spans="1:5" ht="15" customHeight="1" x14ac:dyDescent="0.3">
      <c r="A606" s="26">
        <f>'Daily Returns'!F606</f>
        <v>2.7707962561718383E-4</v>
      </c>
      <c r="B606" s="26">
        <f>'Daily Returns'!B606</f>
        <v>1.9753303191255372E-3</v>
      </c>
      <c r="C606" s="26">
        <f>'Daily Returns'!C606</f>
        <v>-2.0016116632550155E-2</v>
      </c>
      <c r="D606" s="26">
        <f>'Daily Returns'!D606</f>
        <v>1.5857862635905492E-2</v>
      </c>
      <c r="E606" s="26">
        <f>'Daily Returns'!E606</f>
        <v>4.3513521071618343E-2</v>
      </c>
    </row>
    <row r="607" spans="1:5" ht="15" customHeight="1" x14ac:dyDescent="0.3">
      <c r="A607" s="25">
        <f>'Daily Returns'!F607</f>
        <v>-2.5459965888647452E-2</v>
      </c>
      <c r="B607" s="25">
        <f>'Daily Returns'!B607</f>
        <v>-6.9657408218698124E-3</v>
      </c>
      <c r="C607" s="25">
        <f>'Daily Returns'!C607</f>
        <v>-1.039677888885843E-4</v>
      </c>
      <c r="D607" s="25">
        <f>'Daily Returns'!D607</f>
        <v>1.1485851519264996E-2</v>
      </c>
      <c r="E607" s="25">
        <f>'Daily Returns'!E607</f>
        <v>-1.599892804502203E-2</v>
      </c>
    </row>
    <row r="608" spans="1:5" ht="15" customHeight="1" x14ac:dyDescent="0.3">
      <c r="A608" s="26">
        <f>'Daily Returns'!F608</f>
        <v>1.7447555203761852E-3</v>
      </c>
      <c r="B608" s="26">
        <f>'Daily Returns'!B608</f>
        <v>-1.8264437287686886E-2</v>
      </c>
      <c r="C608" s="26">
        <f>'Daily Returns'!C608</f>
        <v>-6.7018933557676406E-3</v>
      </c>
      <c r="D608" s="26">
        <f>'Daily Returns'!D608</f>
        <v>-4.6454010529576014E-3</v>
      </c>
      <c r="E608" s="26">
        <f>'Daily Returns'!E608</f>
        <v>-5.9643771447246523E-3</v>
      </c>
    </row>
    <row r="609" spans="1:5" ht="15" customHeight="1" x14ac:dyDescent="0.3">
      <c r="A609" s="25">
        <f>'Daily Returns'!F609</f>
        <v>2.8362200479110897E-2</v>
      </c>
      <c r="B609" s="25">
        <f>'Daily Returns'!B609</f>
        <v>-2.4221453287197298E-2</v>
      </c>
      <c r="C609" s="25">
        <f>'Daily Returns'!C609</f>
        <v>-1.6168325688509934E-2</v>
      </c>
      <c r="D609" s="25">
        <f>'Daily Returns'!D609</f>
        <v>8.3488902717277803E-3</v>
      </c>
      <c r="E609" s="25">
        <f>'Daily Returns'!E609</f>
        <v>9.6167018274473017E-3</v>
      </c>
    </row>
    <row r="610" spans="1:5" ht="15" customHeight="1" x14ac:dyDescent="0.3">
      <c r="A610" s="26">
        <f>'Daily Returns'!F610</f>
        <v>-1.0672959056767087E-2</v>
      </c>
      <c r="B610" s="26">
        <f>'Daily Returns'!B610</f>
        <v>1.7039697890761931E-3</v>
      </c>
      <c r="C610" s="26">
        <f>'Daily Returns'!C610</f>
        <v>1.1529942060106666E-2</v>
      </c>
      <c r="D610" s="26">
        <f>'Daily Returns'!D610</f>
        <v>1.3885317562355888E-3</v>
      </c>
      <c r="E610" s="26">
        <f>'Daily Returns'!E610</f>
        <v>-3.0040705563093604E-2</v>
      </c>
    </row>
    <row r="611" spans="1:5" ht="15" customHeight="1" x14ac:dyDescent="0.3">
      <c r="A611" s="25">
        <f>'Daily Returns'!F611</f>
        <v>-8.8320676395013849E-3</v>
      </c>
      <c r="B611" s="25">
        <f>'Daily Returns'!B611</f>
        <v>8.5053560755828372E-3</v>
      </c>
      <c r="C611" s="25">
        <f>'Daily Returns'!C611</f>
        <v>-1.6657901027970427E-2</v>
      </c>
      <c r="D611" s="25">
        <f>'Daily Returns'!D611</f>
        <v>2.7578060805258858E-2</v>
      </c>
      <c r="E611" s="25">
        <f>'Daily Returns'!E611</f>
        <v>3.6370757910638574E-4</v>
      </c>
    </row>
    <row r="612" spans="1:5" ht="15" customHeight="1" x14ac:dyDescent="0.3">
      <c r="A612" s="26">
        <f>'Daily Returns'!F612</f>
        <v>9.7632642893732881E-3</v>
      </c>
      <c r="B612" s="26">
        <f>'Daily Returns'!B612</f>
        <v>5.7439824945294989E-3</v>
      </c>
      <c r="C612" s="26">
        <f>'Daily Returns'!C612</f>
        <v>4.4246496747154919E-3</v>
      </c>
      <c r="D612" s="26">
        <f>'Daily Returns'!D612</f>
        <v>-2.9536708481183449E-2</v>
      </c>
      <c r="E612" s="26">
        <f>'Daily Returns'!E612</f>
        <v>1.7339747175299377E-3</v>
      </c>
    </row>
    <row r="613" spans="1:5" ht="15" customHeight="1" x14ac:dyDescent="0.3">
      <c r="A613" s="25">
        <f>'Daily Returns'!F613</f>
        <v>-9.1954057568685542E-3</v>
      </c>
      <c r="B613" s="25">
        <f>'Daily Returns'!B613</f>
        <v>-3.8981053394978407E-3</v>
      </c>
      <c r="C613" s="25">
        <f>'Daily Returns'!C613</f>
        <v>2.7883200371774859E-3</v>
      </c>
      <c r="D613" s="25">
        <f>'Daily Returns'!D613</f>
        <v>6.9008136780307101E-3</v>
      </c>
      <c r="E613" s="25">
        <f>'Daily Returns'!E613</f>
        <v>2.4987436484449128E-2</v>
      </c>
    </row>
    <row r="614" spans="1:5" ht="15" customHeight="1" x14ac:dyDescent="0.3">
      <c r="A614" s="26">
        <f>'Daily Returns'!F614</f>
        <v>-1.1345875169184229E-2</v>
      </c>
      <c r="B614" s="26">
        <f>'Daily Returns'!B614</f>
        <v>-1.0784492173279963E-2</v>
      </c>
      <c r="C614" s="26">
        <f>'Daily Returns'!C614</f>
        <v>1.612342627635816E-3</v>
      </c>
      <c r="D614" s="26">
        <f>'Daily Returns'!D614</f>
        <v>1.9946808510638181E-2</v>
      </c>
      <c r="E614" s="26">
        <f>'Daily Returns'!E614</f>
        <v>2.0646637430882752E-2</v>
      </c>
    </row>
    <row r="615" spans="1:5" ht="15" customHeight="1" x14ac:dyDescent="0.3">
      <c r="A615" s="25">
        <f>'Daily Returns'!F615</f>
        <v>-2.3239707786636122E-3</v>
      </c>
      <c r="B615" s="25">
        <f>'Daily Returns'!B615</f>
        <v>-1.3340080040480139E-2</v>
      </c>
      <c r="C615" s="25">
        <f>'Daily Returns'!C615</f>
        <v>-1.4025042653480299E-2</v>
      </c>
      <c r="D615" s="25">
        <f>'Daily Returns'!D615</f>
        <v>-5.3655601243606122E-3</v>
      </c>
      <c r="E615" s="25">
        <f>'Daily Returns'!E615</f>
        <v>1.4971578020335764E-2</v>
      </c>
    </row>
    <row r="616" spans="1:5" ht="15" customHeight="1" x14ac:dyDescent="0.3">
      <c r="A616" s="26">
        <f>'Daily Returns'!F616</f>
        <v>2.0873452696877019E-3</v>
      </c>
      <c r="B616" s="26">
        <f>'Daily Returns'!B616</f>
        <v>-7.3663107837195789E-3</v>
      </c>
      <c r="C616" s="26">
        <f>'Daily Returns'!C616</f>
        <v>-2.8155795401220039E-3</v>
      </c>
      <c r="D616" s="26">
        <f>'Daily Returns'!D616</f>
        <v>-7.4615578522812696E-3</v>
      </c>
      <c r="E616" s="26">
        <f>'Daily Returns'!E616</f>
        <v>1.3646403029028181E-2</v>
      </c>
    </row>
    <row r="617" spans="1:5" ht="15" customHeight="1" x14ac:dyDescent="0.3">
      <c r="A617" s="25">
        <f>'Daily Returns'!F617</f>
        <v>1.0205707746776392E-2</v>
      </c>
      <c r="B617" s="25">
        <f>'Daily Returns'!B617</f>
        <v>-1.3996524353012962E-2</v>
      </c>
      <c r="C617" s="25">
        <f>'Daily Returns'!C617</f>
        <v>2.223529411764712E-2</v>
      </c>
      <c r="D617" s="25">
        <f>'Daily Returns'!D617</f>
        <v>3.2000812719052952E-3</v>
      </c>
      <c r="E617" s="25">
        <f>'Daily Returns'!E617</f>
        <v>1.6341988534668245E-3</v>
      </c>
    </row>
    <row r="618" spans="1:5" ht="15" customHeight="1" x14ac:dyDescent="0.3">
      <c r="A618" s="26">
        <f>'Daily Returns'!F618</f>
        <v>-4.9286184682548603E-3</v>
      </c>
      <c r="B618" s="26">
        <f>'Daily Returns'!B618</f>
        <v>-2.524651074167585E-3</v>
      </c>
      <c r="C618" s="26">
        <f>'Daily Returns'!C618</f>
        <v>1.0185291748187258E-2</v>
      </c>
      <c r="D618" s="26">
        <f>'Daily Returns'!D618</f>
        <v>-1.4075949367088614E-2</v>
      </c>
      <c r="E618" s="26">
        <f>'Daily Returns'!E618</f>
        <v>5.9822862174340975E-3</v>
      </c>
    </row>
    <row r="619" spans="1:5" ht="15" customHeight="1" x14ac:dyDescent="0.3">
      <c r="A619" s="25">
        <f>'Daily Returns'!F619</f>
        <v>-6.4705305980251688E-3</v>
      </c>
      <c r="B619" s="25">
        <f>'Daily Returns'!B619</f>
        <v>0</v>
      </c>
      <c r="C619" s="25">
        <f>'Daily Returns'!C619</f>
        <v>1.7573340928510386E-2</v>
      </c>
      <c r="D619" s="25">
        <f>'Daily Returns'!D619</f>
        <v>-8.0628594905504999E-3</v>
      </c>
      <c r="E619" s="25">
        <f>'Daily Returns'!E619</f>
        <v>1.4828163212768673E-2</v>
      </c>
    </row>
    <row r="620" spans="1:5" ht="15" customHeight="1" x14ac:dyDescent="0.3">
      <c r="A620" s="26">
        <f>'Daily Returns'!F620</f>
        <v>-2.628560706814186E-3</v>
      </c>
      <c r="B620" s="26">
        <f>'Daily Returns'!B620</f>
        <v>-1.2082139446036299E-2</v>
      </c>
      <c r="C620" s="26">
        <f>'Daily Returns'!C620</f>
        <v>-8.1171103087290743E-4</v>
      </c>
      <c r="D620" s="26">
        <f>'Daily Returns'!D620</f>
        <v>-1.5739062904478344E-2</v>
      </c>
      <c r="E620" s="26">
        <f>'Daily Returns'!E620</f>
        <v>1.9608837929022651E-2</v>
      </c>
    </row>
    <row r="621" spans="1:5" ht="15" customHeight="1" x14ac:dyDescent="0.3">
      <c r="A621" s="25">
        <f>'Daily Returns'!F621</f>
        <v>-7.6601286075089247E-3</v>
      </c>
      <c r="B621" s="25">
        <f>'Daily Returns'!B621</f>
        <v>-2.9003722144341584E-3</v>
      </c>
      <c r="C621" s="25">
        <f>'Daily Returns'!C621</f>
        <v>-2.9432087698657235E-2</v>
      </c>
      <c r="D621" s="25">
        <f>'Daily Returns'!D621</f>
        <v>-2.4196517805481453E-3</v>
      </c>
      <c r="E621" s="25">
        <f>'Daily Returns'!E621</f>
        <v>-1.3111409663133755E-2</v>
      </c>
    </row>
    <row r="622" spans="1:5" ht="15" customHeight="1" x14ac:dyDescent="0.3">
      <c r="A622" s="26">
        <f>'Daily Returns'!F622</f>
        <v>3.749204590571088E-3</v>
      </c>
      <c r="B622" s="26">
        <f>'Daily Returns'!B622</f>
        <v>-1.02293110971058E-2</v>
      </c>
      <c r="C622" s="26">
        <f>'Daily Returns'!C622</f>
        <v>-7.6388755267361164E-3</v>
      </c>
      <c r="D622" s="26">
        <f>'Daily Returns'!D622</f>
        <v>-3.2533614553124257E-2</v>
      </c>
      <c r="E622" s="26">
        <f>'Daily Returns'!E622</f>
        <v>8.9747144981974988E-3</v>
      </c>
    </row>
    <row r="623" spans="1:5" ht="15" customHeight="1" x14ac:dyDescent="0.3">
      <c r="A623" s="25">
        <f>'Daily Returns'!F623</f>
        <v>1.5866958588464864E-2</v>
      </c>
      <c r="B623" s="25">
        <f>'Daily Returns'!B623</f>
        <v>2.4490595611290837E-4</v>
      </c>
      <c r="C623" s="25">
        <f>'Daily Returns'!C623</f>
        <v>-2.0552991817583649E-3</v>
      </c>
      <c r="D623" s="25">
        <f>'Daily Returns'!D623</f>
        <v>-9.1018094615216236E-3</v>
      </c>
      <c r="E623" s="25">
        <f>'Daily Returns'!E623</f>
        <v>-9.4945406391323849E-4</v>
      </c>
    </row>
    <row r="624" spans="1:5" ht="15" customHeight="1" x14ac:dyDescent="0.3">
      <c r="A624" s="26">
        <f>'Daily Returns'!F624</f>
        <v>-9.0689021690844029E-3</v>
      </c>
      <c r="B624" s="26">
        <f>'Daily Returns'!B624</f>
        <v>7.345379756133392E-3</v>
      </c>
      <c r="C624" s="26">
        <f>'Daily Returns'!C624</f>
        <v>2.354861273024016E-2</v>
      </c>
      <c r="D624" s="26">
        <f>'Daily Returns'!D624</f>
        <v>9.1854133436003928E-3</v>
      </c>
      <c r="E624" s="26">
        <f>'Daily Returns'!E624</f>
        <v>5.4770538952106981E-3</v>
      </c>
    </row>
    <row r="625" spans="1:5" ht="15" customHeight="1" x14ac:dyDescent="0.3">
      <c r="A625" s="25">
        <f>'Daily Returns'!F625</f>
        <v>-1.2751106309520701E-2</v>
      </c>
      <c r="B625" s="25">
        <f>'Daily Returns'!B625</f>
        <v>2.8195031840940357E-3</v>
      </c>
      <c r="C625" s="25">
        <f>'Daily Returns'!C625</f>
        <v>2.063401670463175E-2</v>
      </c>
      <c r="D625" s="25">
        <f>'Daily Returns'!D625</f>
        <v>-5.5591890124263238E-3</v>
      </c>
      <c r="E625" s="25">
        <f>'Daily Returns'!E625</f>
        <v>2.2311212814645234E-2</v>
      </c>
    </row>
    <row r="626" spans="1:5" ht="15" customHeight="1" x14ac:dyDescent="0.3">
      <c r="A626" s="26">
        <f>'Daily Returns'!F626</f>
        <v>-4.3519329299955166E-4</v>
      </c>
      <c r="B626" s="26">
        <f>'Daily Returns'!B626</f>
        <v>6.835038053226025E-3</v>
      </c>
      <c r="C626" s="26">
        <f>'Daily Returns'!C626</f>
        <v>8.0904644112560174E-3</v>
      </c>
      <c r="D626" s="26">
        <f>'Daily Returns'!D626</f>
        <v>-6.0835251561986931E-3</v>
      </c>
      <c r="E626" s="26">
        <f>'Daily Returns'!E626</f>
        <v>-4.2578039463760011E-3</v>
      </c>
    </row>
    <row r="627" spans="1:5" ht="15" customHeight="1" x14ac:dyDescent="0.3">
      <c r="A627" s="25">
        <f>'Daily Returns'!F627</f>
        <v>-6.2426291742688029E-3</v>
      </c>
      <c r="B627" s="25">
        <f>'Daily Returns'!B627</f>
        <v>-2.2580645161290314E-2</v>
      </c>
      <c r="C627" s="25">
        <f>'Daily Returns'!C627</f>
        <v>-1.4519759418471652E-2</v>
      </c>
      <c r="D627" s="25">
        <f>'Daily Returns'!D627</f>
        <v>1.4557485525227542E-2</v>
      </c>
      <c r="E627" s="25">
        <f>'Daily Returns'!E627</f>
        <v>-1.6957435371157695E-2</v>
      </c>
    </row>
    <row r="628" spans="1:5" ht="15" customHeight="1" x14ac:dyDescent="0.3">
      <c r="A628" s="26">
        <f>'Daily Returns'!F628</f>
        <v>-1.5860647575317063E-2</v>
      </c>
      <c r="B628" s="26">
        <f>'Daily Returns'!B628</f>
        <v>-4.9258657209004485E-3</v>
      </c>
      <c r="C628" s="26">
        <f>'Daily Returns'!C628</f>
        <v>2.8643639427126701E-3</v>
      </c>
      <c r="D628" s="26">
        <f>'Daily Returns'!D628</f>
        <v>2.5218761889233034E-2</v>
      </c>
      <c r="E628" s="26">
        <f>'Daily Returns'!E628</f>
        <v>-1.6727977729170854E-2</v>
      </c>
    </row>
    <row r="629" spans="1:5" ht="15" customHeight="1" x14ac:dyDescent="0.3">
      <c r="A629" s="25">
        <f>'Daily Returns'!F629</f>
        <v>-1.4752641044430845E-2</v>
      </c>
      <c r="B629" s="25">
        <f>'Daily Returns'!B629</f>
        <v>4.1582099896044925E-3</v>
      </c>
      <c r="C629" s="25">
        <f>'Daily Returns'!C629</f>
        <v>-4.0229241338111798E-3</v>
      </c>
      <c r="D629" s="25">
        <f>'Daily Returns'!D629</f>
        <v>-1.1185919524995945E-2</v>
      </c>
      <c r="E629" s="25">
        <f>'Daily Returns'!E629</f>
        <v>-1.0364266033013894E-2</v>
      </c>
    </row>
    <row r="630" spans="1:5" ht="15" customHeight="1" x14ac:dyDescent="0.3">
      <c r="A630" s="26">
        <f>'Daily Returns'!F630</f>
        <v>-2.0691041065892053E-2</v>
      </c>
      <c r="B630" s="26">
        <f>'Daily Returns'!B630</f>
        <v>9.2186344589598457E-3</v>
      </c>
      <c r="C630" s="26">
        <f>'Daily Returns'!C630</f>
        <v>-3.701794667541395E-3</v>
      </c>
      <c r="D630" s="26">
        <f>'Daily Returns'!D630</f>
        <v>1.935449281578375E-2</v>
      </c>
      <c r="E630" s="26">
        <f>'Daily Returns'!E630</f>
        <v>1.1979871771948192E-2</v>
      </c>
    </row>
    <row r="631" spans="1:5" ht="15" customHeight="1" x14ac:dyDescent="0.3">
      <c r="A631" s="25">
        <f>'Daily Returns'!F631</f>
        <v>-4.0276248408875631E-4</v>
      </c>
      <c r="B631" s="25">
        <f>'Daily Returns'!B631</f>
        <v>-2.1834701055099642E-2</v>
      </c>
      <c r="C631" s="25">
        <f>'Daily Returns'!C631</f>
        <v>-2.1155112407111289E-2</v>
      </c>
      <c r="D631" s="25">
        <f>'Daily Returns'!D631</f>
        <v>-2.7139325724504268E-2</v>
      </c>
      <c r="E631" s="25">
        <f>'Daily Returns'!E631</f>
        <v>-2.6503104649402073E-3</v>
      </c>
    </row>
    <row r="632" spans="1:5" ht="15" customHeight="1" x14ac:dyDescent="0.3">
      <c r="A632" s="26">
        <f>'Daily Returns'!F632</f>
        <v>-8.0564301196072892E-3</v>
      </c>
      <c r="B632" s="26">
        <f>'Daily Returns'!B632</f>
        <v>2.4968789013732834E-3</v>
      </c>
      <c r="C632" s="26">
        <f>'Daily Returns'!C632</f>
        <v>8.7737000413220228E-3</v>
      </c>
      <c r="D632" s="26">
        <f>'Daily Returns'!D632</f>
        <v>-1.2921014218521848E-2</v>
      </c>
      <c r="E632" s="26">
        <f>'Daily Returns'!E632</f>
        <v>-1.0831878116062999E-2</v>
      </c>
    </row>
    <row r="633" spans="1:5" ht="15" customHeight="1" x14ac:dyDescent="0.3">
      <c r="A633" s="25">
        <f>'Daily Returns'!F633</f>
        <v>2.0639026792155561E-2</v>
      </c>
      <c r="B633" s="25">
        <f>'Daily Returns'!B633</f>
        <v>1.7036114570361083E-2</v>
      </c>
      <c r="C633" s="25">
        <f>'Daily Returns'!C633</f>
        <v>6.6683178691805912E-5</v>
      </c>
      <c r="D633" s="25">
        <f>'Daily Returns'!D633</f>
        <v>8.8180523606089661E-3</v>
      </c>
      <c r="E633" s="25">
        <f>'Daily Returns'!E633</f>
        <v>1.5095305104259887E-2</v>
      </c>
    </row>
    <row r="634" spans="1:5" ht="15" customHeight="1" x14ac:dyDescent="0.3">
      <c r="A634" s="26">
        <f>'Daily Returns'!F634</f>
        <v>4.824756803861698E-3</v>
      </c>
      <c r="B634" s="26">
        <f>'Daily Returns'!B634</f>
        <v>-2.1550668560513186E-3</v>
      </c>
      <c r="C634" s="26">
        <f>'Daily Returns'!C634</f>
        <v>1.4783627513550054E-2</v>
      </c>
      <c r="D634" s="26">
        <f>'Daily Returns'!D634</f>
        <v>4.4519246430316153E-3</v>
      </c>
      <c r="E634" s="26">
        <f>'Daily Returns'!E634</f>
        <v>3.503465658475076E-3</v>
      </c>
    </row>
    <row r="635" spans="1:5" ht="15" customHeight="1" x14ac:dyDescent="0.3">
      <c r="A635" s="25">
        <f>'Daily Returns'!F635</f>
        <v>-1.1228477904807813E-2</v>
      </c>
      <c r="B635" s="25">
        <f>'Daily Returns'!B635</f>
        <v>-9.8169145437583386E-4</v>
      </c>
      <c r="C635" s="25">
        <f>'Daily Returns'!C635</f>
        <v>-2.5184684557836474E-2</v>
      </c>
      <c r="D635" s="25">
        <f>'Daily Returns'!D635</f>
        <v>2.2701475595914597E-3</v>
      </c>
      <c r="E635" s="25">
        <f>'Daily Returns'!E635</f>
        <v>1.3713769025970856E-2</v>
      </c>
    </row>
    <row r="636" spans="1:5" ht="15" customHeight="1" x14ac:dyDescent="0.3">
      <c r="A636" s="26">
        <f>'Daily Returns'!F636</f>
        <v>-1.2129411044894733E-2</v>
      </c>
      <c r="B636" s="26">
        <f>'Daily Returns'!B636</f>
        <v>6.5346631946151057E-3</v>
      </c>
      <c r="C636" s="26">
        <f>'Daily Returns'!C636</f>
        <v>-1.9277804525758287E-2</v>
      </c>
      <c r="D636" s="26">
        <f>'Daily Returns'!D636</f>
        <v>1.4021463625087603E-2</v>
      </c>
      <c r="E636" s="26">
        <f>'Daily Returns'!E636</f>
        <v>4.19226957383547E-2</v>
      </c>
    </row>
    <row r="637" spans="1:5" ht="15" customHeight="1" x14ac:dyDescent="0.3">
      <c r="A637" s="25">
        <f>'Daily Returns'!F637</f>
        <v>-4.9340317461503891E-3</v>
      </c>
      <c r="B637" s="25">
        <f>'Daily Returns'!B637</f>
        <v>3.7586644537732196E-3</v>
      </c>
      <c r="C637" s="25">
        <f>'Daily Returns'!C637</f>
        <v>6.4910454795381253E-2</v>
      </c>
      <c r="D637" s="25">
        <f>'Daily Returns'!D637</f>
        <v>-2.8186991437536622E-3</v>
      </c>
      <c r="E637" s="25">
        <f>'Daily Returns'!E637</f>
        <v>3.602682393227441E-2</v>
      </c>
    </row>
    <row r="638" spans="1:5" ht="15" customHeight="1" x14ac:dyDescent="0.3">
      <c r="A638" s="26">
        <f>'Daily Returns'!F638</f>
        <v>-1.5087908890643887E-2</v>
      </c>
      <c r="B638" s="26">
        <f>'Daily Returns'!B638</f>
        <v>9.6775762291494878E-3</v>
      </c>
      <c r="C638" s="26">
        <f>'Daily Returns'!C638</f>
        <v>-1.4927299716943572E-2</v>
      </c>
      <c r="D638" s="26">
        <f>'Daily Returns'!D638</f>
        <v>1.2426666666666733E-2</v>
      </c>
      <c r="E638" s="26">
        <f>'Daily Returns'!E638</f>
        <v>6.9777583951154852E-3</v>
      </c>
    </row>
    <row r="639" spans="1:5" ht="15" customHeight="1" x14ac:dyDescent="0.3">
      <c r="A639" s="25">
        <f>'Daily Returns'!F639</f>
        <v>-5.3228668664046398E-4</v>
      </c>
      <c r="B639" s="25">
        <f>'Daily Returns'!B639</f>
        <v>1.3004527502166545E-3</v>
      </c>
      <c r="C639" s="25">
        <f>'Daily Returns'!C639</f>
        <v>5.66267315612126E-3</v>
      </c>
      <c r="D639" s="25">
        <f>'Daily Returns'!D639</f>
        <v>-7.3223410419850114E-3</v>
      </c>
      <c r="E639" s="25">
        <f>'Daily Returns'!E639</f>
        <v>6.8838184677806266E-3</v>
      </c>
    </row>
    <row r="640" spans="1:5" ht="15" customHeight="1" x14ac:dyDescent="0.3">
      <c r="A640" s="26">
        <f>'Daily Returns'!F640</f>
        <v>1.2827514739038447E-2</v>
      </c>
      <c r="B640" s="26">
        <f>'Daily Returns'!B640</f>
        <v>2.4532204531243413E-3</v>
      </c>
      <c r="C640" s="26">
        <f>'Daily Returns'!C640</f>
        <v>8.3205360882312382E-3</v>
      </c>
      <c r="D640" s="26">
        <f>'Daily Returns'!D640</f>
        <v>-9.4459774994693334E-3</v>
      </c>
      <c r="E640" s="26">
        <f>'Daily Returns'!E640</f>
        <v>2.1528988296017907E-2</v>
      </c>
    </row>
    <row r="641" spans="1:5" ht="15" customHeight="1" x14ac:dyDescent="0.3">
      <c r="A641" s="25">
        <f>'Daily Returns'!F641</f>
        <v>-3.2886067728792215E-3</v>
      </c>
      <c r="B641" s="25">
        <f>'Daily Returns'!B641</f>
        <v>-1.0508637236084441E-2</v>
      </c>
      <c r="C641" s="25">
        <f>'Daily Returns'!C641</f>
        <v>-1.6734509271822805E-2</v>
      </c>
      <c r="D641" s="25">
        <f>'Daily Returns'!D641</f>
        <v>-2.9143897996357002E-2</v>
      </c>
      <c r="E641" s="25">
        <f>'Daily Returns'!E641</f>
        <v>2.4621044233667257E-2</v>
      </c>
    </row>
    <row r="642" spans="1:5" ht="15" customHeight="1" x14ac:dyDescent="0.3">
      <c r="A642" s="26">
        <f>'Daily Returns'!F642</f>
        <v>-7.5268740363094444E-3</v>
      </c>
      <c r="B642" s="26">
        <f>'Daily Returns'!B642</f>
        <v>-2.0852528975316754E-3</v>
      </c>
      <c r="C642" s="26">
        <f>'Daily Returns'!C642</f>
        <v>3.1072226498695069E-2</v>
      </c>
      <c r="D642" s="26">
        <f>'Daily Returns'!D642</f>
        <v>1.1036309458117205E-2</v>
      </c>
      <c r="E642" s="26">
        <f>'Daily Returns'!E642</f>
        <v>-6.293933167513842E-3</v>
      </c>
    </row>
    <row r="643" spans="1:5" ht="15" customHeight="1" x14ac:dyDescent="0.3">
      <c r="A643" s="25">
        <f>'Daily Returns'!F643</f>
        <v>-2.2008534202354563E-2</v>
      </c>
      <c r="B643" s="25">
        <f>'Daily Returns'!B643</f>
        <v>1.7688793857517673E-2</v>
      </c>
      <c r="C643" s="25">
        <f>'Daily Returns'!C643</f>
        <v>-5.644779489419597E-4</v>
      </c>
      <c r="D643" s="25">
        <f>'Daily Returns'!D643</f>
        <v>-1.3262744241895027E-2</v>
      </c>
      <c r="E643" s="25">
        <f>'Daily Returns'!E643</f>
        <v>-2.2658018457252363E-2</v>
      </c>
    </row>
    <row r="644" spans="1:5" ht="15" customHeight="1" x14ac:dyDescent="0.3">
      <c r="A644" s="26">
        <f>'Daily Returns'!F644</f>
        <v>-1.6358749576116792E-2</v>
      </c>
      <c r="B644" s="26">
        <f>'Daily Returns'!B644</f>
        <v>-2.4830484194440926E-3</v>
      </c>
      <c r="C644" s="26">
        <f>'Daily Returns'!C644</f>
        <v>3.2339169566563616E-3</v>
      </c>
      <c r="D644" s="26">
        <f>'Daily Returns'!D644</f>
        <v>1.6261961391669882E-2</v>
      </c>
      <c r="E644" s="26">
        <f>'Daily Returns'!E644</f>
        <v>1.6769480881010244E-2</v>
      </c>
    </row>
    <row r="645" spans="1:5" ht="15" customHeight="1" x14ac:dyDescent="0.3">
      <c r="A645" s="25">
        <f>'Daily Returns'!F645</f>
        <v>1.3290117519684837E-3</v>
      </c>
      <c r="B645" s="25">
        <f>'Daily Returns'!B645</f>
        <v>-2.010531354715251E-3</v>
      </c>
      <c r="C645" s="25">
        <f>'Daily Returns'!C645</f>
        <v>3.2670776997884315E-2</v>
      </c>
      <c r="D645" s="25">
        <f>'Daily Returns'!D645</f>
        <v>1.6273880150220483E-2</v>
      </c>
      <c r="E645" s="25">
        <f>'Daily Returns'!E645</f>
        <v>4.7310320658840565E-3</v>
      </c>
    </row>
    <row r="646" spans="1:5" ht="15" customHeight="1" x14ac:dyDescent="0.3">
      <c r="A646" s="26">
        <f>'Daily Returns'!F646</f>
        <v>-1.1423521109110264E-3</v>
      </c>
      <c r="B646" s="26">
        <f>'Daily Returns'!B646</f>
        <v>-6.5234075211050716E-3</v>
      </c>
      <c r="C646" s="26">
        <f>'Daily Returns'!C646</f>
        <v>-1.3365339804971595E-2</v>
      </c>
      <c r="D646" s="26">
        <f>'Daily Returns'!D646</f>
        <v>-3.1062553556127489E-3</v>
      </c>
      <c r="E646" s="26">
        <f>'Daily Returns'!E646</f>
        <v>1.2011684687826976E-2</v>
      </c>
    </row>
    <row r="647" spans="1:5" ht="15" customHeight="1" x14ac:dyDescent="0.3">
      <c r="A647" s="25">
        <f>'Daily Returns'!F647</f>
        <v>2.4994970631569305E-3</v>
      </c>
      <c r="B647" s="25">
        <f>'Daily Returns'!B647</f>
        <v>1.1249517188103438E-2</v>
      </c>
      <c r="C647" s="25">
        <f>'Daily Returns'!C647</f>
        <v>-8.0030657623856079E-3</v>
      </c>
      <c r="D647" s="25">
        <f>'Daily Returns'!D647</f>
        <v>1.7728591382830802E-3</v>
      </c>
      <c r="E647" s="25">
        <f>'Daily Returns'!E647</f>
        <v>1.0727441139090453E-2</v>
      </c>
    </row>
    <row r="648" spans="1:5" ht="15" customHeight="1" x14ac:dyDescent="0.3">
      <c r="A648" s="26">
        <f>'Daily Returns'!F648</f>
        <v>-1.5806853185850941E-2</v>
      </c>
      <c r="B648" s="26">
        <f>'Daily Returns'!B648</f>
        <v>-1.1554070183814694E-2</v>
      </c>
      <c r="C648" s="26">
        <f>'Daily Returns'!C648</f>
        <v>-5.4982076921002718E-3</v>
      </c>
      <c r="D648" s="26">
        <f>'Daily Returns'!D648</f>
        <v>3.5394433420925437E-3</v>
      </c>
      <c r="E648" s="26">
        <f>'Daily Returns'!E648</f>
        <v>-1.2723513991602844E-2</v>
      </c>
    </row>
    <row r="649" spans="1:5" ht="15" customHeight="1" x14ac:dyDescent="0.3">
      <c r="A649" s="25">
        <f>'Daily Returns'!F649</f>
        <v>1.0252583557808597E-2</v>
      </c>
      <c r="B649" s="25">
        <f>'Daily Returns'!B649</f>
        <v>1.294498381877026E-2</v>
      </c>
      <c r="C649" s="25">
        <f>'Daily Returns'!C649</f>
        <v>-2.361400941308265E-2</v>
      </c>
      <c r="D649" s="25">
        <f>'Daily Returns'!D649</f>
        <v>-2.8322556511516119E-3</v>
      </c>
      <c r="E649" s="25">
        <f>'Daily Returns'!E649</f>
        <v>-9.1529228909420796E-3</v>
      </c>
    </row>
    <row r="650" spans="1:5" ht="15" customHeight="1" x14ac:dyDescent="0.3">
      <c r="A650" s="26">
        <f>'Daily Returns'!F650</f>
        <v>-5.3382543168646445E-3</v>
      </c>
      <c r="B650" s="26">
        <f>'Daily Returns'!B650</f>
        <v>-1.2684182919269451E-2</v>
      </c>
      <c r="C650" s="26">
        <f>'Daily Returns'!C650</f>
        <v>5.4587677988213604E-3</v>
      </c>
      <c r="D650" s="26">
        <f>'Daily Returns'!D650</f>
        <v>-2.2561629153269067E-2</v>
      </c>
      <c r="E650" s="26">
        <f>'Daily Returns'!E650</f>
        <v>2.0718954248365992E-2</v>
      </c>
    </row>
    <row r="651" spans="1:5" ht="15" customHeight="1" x14ac:dyDescent="0.3">
      <c r="A651" s="25">
        <f>'Daily Returns'!F651</f>
        <v>-2.054164551170282E-2</v>
      </c>
      <c r="B651" s="25">
        <f>'Daily Returns'!B651</f>
        <v>-1.4344361265394826E-2</v>
      </c>
      <c r="C651" s="25">
        <f>'Daily Returns'!C651</f>
        <v>8.9350620669347829E-3</v>
      </c>
      <c r="D651" s="25">
        <f>'Daily Returns'!D651</f>
        <v>2.3137233400954152E-2</v>
      </c>
      <c r="E651" s="25">
        <f>'Daily Returns'!E651</f>
        <v>-2.5826556530276399E-3</v>
      </c>
    </row>
    <row r="652" spans="1:5" ht="15" customHeight="1" x14ac:dyDescent="0.3">
      <c r="A652" s="26">
        <f>'Daily Returns'!F652</f>
        <v>-1.2208942571618349E-2</v>
      </c>
      <c r="B652" s="26">
        <f>'Daily Returns'!B652</f>
        <v>3.1850254802037298E-3</v>
      </c>
      <c r="C652" s="26">
        <f>'Daily Returns'!C652</f>
        <v>3.8305789646492696E-3</v>
      </c>
      <c r="D652" s="26">
        <f>'Daily Returns'!D652</f>
        <v>-8.5204437061250915E-3</v>
      </c>
      <c r="E652" s="26">
        <f>'Daily Returns'!E652</f>
        <v>-1.4294885512518739E-2</v>
      </c>
    </row>
    <row r="653" spans="1:5" ht="15" customHeight="1" x14ac:dyDescent="0.3">
      <c r="A653" s="25">
        <f>'Daily Returns'!F653</f>
        <v>-6.9287631093156964E-3</v>
      </c>
      <c r="B653" s="25">
        <f>'Daily Returns'!B653</f>
        <v>2.1491720803008731E-3</v>
      </c>
      <c r="C653" s="25">
        <f>'Daily Returns'!C653</f>
        <v>1.2165649076900596E-2</v>
      </c>
      <c r="D653" s="25">
        <f>'Daily Returns'!D653</f>
        <v>8.7017619716786565E-3</v>
      </c>
      <c r="E653" s="25">
        <f>'Daily Returns'!E653</f>
        <v>-4.7110416395293644E-3</v>
      </c>
    </row>
    <row r="654" spans="1:5" ht="15" customHeight="1" x14ac:dyDescent="0.3">
      <c r="A654" s="26">
        <f>'Daily Returns'!F654</f>
        <v>-4.9539392250556402E-4</v>
      </c>
      <c r="B654" s="26">
        <f>'Daily Returns'!B654</f>
        <v>4.4353462981918659E-3</v>
      </c>
      <c r="C654" s="26">
        <f>'Daily Returns'!C654</f>
        <v>1.5861332280100244E-2</v>
      </c>
      <c r="D654" s="26">
        <f>'Daily Returns'!D654</f>
        <v>4.9831216846166577E-3</v>
      </c>
      <c r="E654" s="26">
        <f>'Daily Returns'!E654</f>
        <v>7.9834224015705637E-3</v>
      </c>
    </row>
    <row r="655" spans="1:5" ht="15" customHeight="1" x14ac:dyDescent="0.3">
      <c r="A655" s="25">
        <f>'Daily Returns'!F655</f>
        <v>-1.8527530067214099E-2</v>
      </c>
      <c r="B655" s="25">
        <f>'Daily Returns'!B655</f>
        <v>1.5042701863354008E-2</v>
      </c>
      <c r="C655" s="25">
        <f>'Daily Returns'!C655</f>
        <v>6.5741804365114908E-3</v>
      </c>
      <c r="D655" s="25">
        <f>'Daily Returns'!D655</f>
        <v>4.9584133077415589E-3</v>
      </c>
      <c r="E655" s="25">
        <f>'Daily Returns'!E655</f>
        <v>-9.1753045811603495E-3</v>
      </c>
    </row>
    <row r="656" spans="1:5" ht="15" customHeight="1" x14ac:dyDescent="0.3">
      <c r="A656" s="26">
        <f>'Daily Returns'!F656</f>
        <v>1.0288582478718989E-2</v>
      </c>
      <c r="B656" s="26">
        <f>'Daily Returns'!B656</f>
        <v>-5.4020460847117096E-3</v>
      </c>
      <c r="C656" s="26">
        <f>'Daily Returns'!C656</f>
        <v>-3.6694348368067693E-3</v>
      </c>
      <c r="D656" s="26">
        <f>'Daily Returns'!D656</f>
        <v>3.8728845031566115E-3</v>
      </c>
      <c r="E656" s="26">
        <f>'Daily Returns'!E656</f>
        <v>3.3328237272588268E-2</v>
      </c>
    </row>
    <row r="657" spans="1:5" ht="15" customHeight="1" x14ac:dyDescent="0.3">
      <c r="A657" s="25">
        <f>'Daily Returns'!F657</f>
        <v>1.837146305621733E-4</v>
      </c>
      <c r="B657" s="25">
        <f>'Daily Returns'!B657</f>
        <v>6.4407594328285264E-3</v>
      </c>
      <c r="C657" s="25">
        <f>'Daily Returns'!C657</f>
        <v>2.2124127722562822E-2</v>
      </c>
      <c r="D657" s="25">
        <f>'Daily Returns'!D657</f>
        <v>1.4744741570658451E-2</v>
      </c>
      <c r="E657" s="25">
        <f>'Daily Returns'!E657</f>
        <v>1.5809608352884023E-2</v>
      </c>
    </row>
    <row r="658" spans="1:5" ht="15" customHeight="1" x14ac:dyDescent="0.3">
      <c r="A658" s="26">
        <f>'Daily Returns'!F658</f>
        <v>9.9749443421275688E-3</v>
      </c>
      <c r="B658" s="26">
        <f>'Daily Returns'!B658</f>
        <v>-1.2273747552414123E-2</v>
      </c>
      <c r="C658" s="26">
        <f>'Daily Returns'!C658</f>
        <v>-1.1688949804753115E-2</v>
      </c>
      <c r="D658" s="26">
        <f>'Daily Returns'!D658</f>
        <v>-1.3280558304254899E-2</v>
      </c>
      <c r="E658" s="26">
        <f>'Daily Returns'!E658</f>
        <v>-2.7673165352364727E-2</v>
      </c>
    </row>
    <row r="659" spans="1:5" ht="15" customHeight="1" x14ac:dyDescent="0.3">
      <c r="A659" s="25">
        <f>'Daily Returns'!F659</f>
        <v>1.6636886366961881E-2</v>
      </c>
      <c r="B659" s="25">
        <f>'Daily Returns'!B659</f>
        <v>1.7744898945943409E-2</v>
      </c>
      <c r="C659" s="25">
        <f>'Daily Returns'!C659</f>
        <v>2.5224376586335986E-2</v>
      </c>
      <c r="D659" s="25">
        <f>'Daily Returns'!D659</f>
        <v>1.5992821703789722E-2</v>
      </c>
      <c r="E659" s="25">
        <f>'Daily Returns'!E659</f>
        <v>4.8147910380689479E-3</v>
      </c>
    </row>
    <row r="660" spans="1:5" ht="15" customHeight="1" x14ac:dyDescent="0.3">
      <c r="A660" s="26">
        <f>'Daily Returns'!F660</f>
        <v>-2.9946012726203234E-3</v>
      </c>
      <c r="B660" s="26">
        <f>'Daily Returns'!B660</f>
        <v>9.074065276260139E-3</v>
      </c>
      <c r="C660" s="26">
        <f>'Daily Returns'!C660</f>
        <v>-2.8074832189070847E-3</v>
      </c>
      <c r="D660" s="26">
        <f>'Daily Returns'!D660</f>
        <v>3.0131435399240692E-3</v>
      </c>
      <c r="E660" s="26">
        <f>'Daily Returns'!E660</f>
        <v>3.011329755515799E-2</v>
      </c>
    </row>
    <row r="661" spans="1:5" ht="15" customHeight="1" x14ac:dyDescent="0.3">
      <c r="A661" s="25">
        <f>'Daily Returns'!F661</f>
        <v>-6.8510493344772407E-3</v>
      </c>
      <c r="B661" s="25">
        <f>'Daily Returns'!B661</f>
        <v>7.7683615819209304E-3</v>
      </c>
      <c r="C661" s="25">
        <f>'Daily Returns'!C661</f>
        <v>1.4085468335423536E-2</v>
      </c>
      <c r="D661" s="25">
        <f>'Daily Returns'!D661</f>
        <v>1.0358937173046928E-3</v>
      </c>
      <c r="E661" s="25">
        <f>'Daily Returns'!E661</f>
        <v>6.2786851354145259E-2</v>
      </c>
    </row>
    <row r="662" spans="1:5" ht="15" customHeight="1" x14ac:dyDescent="0.3">
      <c r="A662" s="26">
        <f>'Daily Returns'!F662</f>
        <v>6.892119675865482E-3</v>
      </c>
      <c r="B662" s="26">
        <f>'Daily Returns'!B662</f>
        <v>2.9432375613174279E-3</v>
      </c>
      <c r="C662" s="26">
        <f>'Daily Returns'!C662</f>
        <v>3.2810607080360744E-2</v>
      </c>
      <c r="D662" s="26">
        <f>'Daily Returns'!D662</f>
        <v>-6.1571894241216826E-3</v>
      </c>
      <c r="E662" s="26">
        <f>'Daily Returns'!E662</f>
        <v>-8.4229774155271473E-3</v>
      </c>
    </row>
    <row r="663" spans="1:5" ht="15" customHeight="1" x14ac:dyDescent="0.3">
      <c r="A663" s="25">
        <f>'Daily Returns'!F663</f>
        <v>-1.9344405560568691E-2</v>
      </c>
      <c r="B663" s="25">
        <f>'Daily Returns'!B663</f>
        <v>-1.0573877398919369E-2</v>
      </c>
      <c r="C663" s="25">
        <f>'Daily Returns'!C663</f>
        <v>-3.9351927275097072E-2</v>
      </c>
      <c r="D663" s="25">
        <f>'Daily Returns'!D663</f>
        <v>-3.1236984589755453E-4</v>
      </c>
      <c r="E663" s="25">
        <f>'Daily Returns'!E663</f>
        <v>9.4165653078043352E-4</v>
      </c>
    </row>
    <row r="664" spans="1:5" ht="15" customHeight="1" x14ac:dyDescent="0.3">
      <c r="A664" s="26">
        <f>'Daily Returns'!F664</f>
        <v>1.2582562180240651E-2</v>
      </c>
      <c r="B664" s="26">
        <f>'Daily Returns'!B664</f>
        <v>-4.2370886493103234E-3</v>
      </c>
      <c r="C664" s="26">
        <f>'Daily Returns'!C664</f>
        <v>-2.7981989773854261E-3</v>
      </c>
      <c r="D664" s="26">
        <f>'Daily Returns'!D664</f>
        <v>9.4781793563170139E-3</v>
      </c>
      <c r="E664" s="26">
        <f>'Daily Returns'!E664</f>
        <v>-2.5165614832817276E-2</v>
      </c>
    </row>
    <row r="665" spans="1:5" ht="15" customHeight="1" x14ac:dyDescent="0.3">
      <c r="A665" s="25">
        <f>'Daily Returns'!F665</f>
        <v>-3.2745203790736214E-4</v>
      </c>
      <c r="B665" s="25">
        <f>'Daily Returns'!B665</f>
        <v>7.2809796227129714E-3</v>
      </c>
      <c r="C665" s="25">
        <f>'Daily Returns'!C665</f>
        <v>-6.5304456518966896E-3</v>
      </c>
      <c r="D665" s="25">
        <f>'Daily Returns'!D665</f>
        <v>-1.8056128765992573E-2</v>
      </c>
      <c r="E665" s="25">
        <f>'Daily Returns'!E665</f>
        <v>1.0997627568458779E-2</v>
      </c>
    </row>
    <row r="666" spans="1:5" ht="15" customHeight="1" x14ac:dyDescent="0.3">
      <c r="A666" s="26">
        <f>'Daily Returns'!F666</f>
        <v>-4.4869659842973527E-3</v>
      </c>
      <c r="B666" s="26">
        <f>'Daily Returns'!B666</f>
        <v>4.6937338652855692E-5</v>
      </c>
      <c r="C666" s="26">
        <f>'Daily Returns'!C666</f>
        <v>3.0709975606624824E-2</v>
      </c>
      <c r="D666" s="26">
        <f>'Daily Returns'!D666</f>
        <v>-2.6689082694126367E-2</v>
      </c>
      <c r="E666" s="26">
        <f>'Daily Returns'!E666</f>
        <v>9.5257034901063201E-3</v>
      </c>
    </row>
    <row r="667" spans="1:5" ht="15" customHeight="1" x14ac:dyDescent="0.3">
      <c r="A667" s="25">
        <f>'Daily Returns'!F667</f>
        <v>-1.2517641311949133E-2</v>
      </c>
      <c r="B667" s="25">
        <f>'Daily Returns'!B667</f>
        <v>2.0182108326293382E-3</v>
      </c>
      <c r="C667" s="25">
        <f>'Daily Returns'!C667</f>
        <v>-6.5768167210583303E-3</v>
      </c>
      <c r="D667" s="25">
        <f>'Daily Returns'!D667</f>
        <v>-3.9404080751375891E-3</v>
      </c>
      <c r="E667" s="25">
        <f>'Daily Returns'!E667</f>
        <v>5.8309037900875355E-3</v>
      </c>
    </row>
    <row r="668" spans="1:5" ht="15" customHeight="1" x14ac:dyDescent="0.3">
      <c r="A668" s="26">
        <f>'Daily Returns'!F668</f>
        <v>-1.4466721221085586E-2</v>
      </c>
      <c r="B668" s="26">
        <f>'Daily Returns'!B668</f>
        <v>-1.8502037566162428E-2</v>
      </c>
      <c r="C668" s="26">
        <f>'Daily Returns'!C668</f>
        <v>4.8724828848709753E-2</v>
      </c>
      <c r="D668" s="26">
        <f>'Daily Returns'!D668</f>
        <v>1.1488646832493387E-2</v>
      </c>
      <c r="E668" s="26">
        <f>'Daily Returns'!E668</f>
        <v>-2.0015667841754851E-2</v>
      </c>
    </row>
    <row r="669" spans="1:5" ht="15" customHeight="1" x14ac:dyDescent="0.3">
      <c r="A669" s="25">
        <f>'Daily Returns'!F669</f>
        <v>-3.1598411792701157E-3</v>
      </c>
      <c r="B669" s="25">
        <f>'Daily Returns'!B669</f>
        <v>2.8156915147466042E-3</v>
      </c>
      <c r="C669" s="25">
        <f>'Daily Returns'!C669</f>
        <v>-2.6351028216164474E-2</v>
      </c>
      <c r="D669" s="25">
        <f>'Daily Returns'!D669</f>
        <v>-4.3396731851058253E-3</v>
      </c>
      <c r="E669" s="25">
        <f>'Daily Returns'!E669</f>
        <v>1.5228426395939096E-2</v>
      </c>
    </row>
    <row r="670" spans="1:5" ht="15" customHeight="1" x14ac:dyDescent="0.3">
      <c r="A670" s="26">
        <f>'Daily Returns'!F670</f>
        <v>5.5749208366941798E-3</v>
      </c>
      <c r="B670" s="26">
        <f>'Daily Returns'!B670</f>
        <v>-9.2799695426640117E-3</v>
      </c>
      <c r="C670" s="26">
        <f>'Daily Returns'!C670</f>
        <v>6.7619562191987091E-3</v>
      </c>
      <c r="D670" s="26">
        <f>'Daily Returns'!D670</f>
        <v>2.2008179078777459E-2</v>
      </c>
      <c r="E670" s="26">
        <f>'Daily Returns'!E670</f>
        <v>3.503937007874007E-2</v>
      </c>
    </row>
    <row r="671" spans="1:5" ht="15" customHeight="1" x14ac:dyDescent="0.3">
      <c r="A671" s="25">
        <f>'Daily Returns'!F671</f>
        <v>1.4856784377750804E-4</v>
      </c>
      <c r="B671" s="25">
        <f>'Daily Returns'!B671</f>
        <v>-1.4698818330291104E-2</v>
      </c>
      <c r="C671" s="25">
        <f>'Daily Returns'!C671</f>
        <v>-6.2205236623840169E-3</v>
      </c>
      <c r="D671" s="25">
        <f>'Daily Returns'!D671</f>
        <v>2.0797135786868787E-2</v>
      </c>
      <c r="E671" s="25">
        <f>'Daily Returns'!E671</f>
        <v>2.6150627615062764E-2</v>
      </c>
    </row>
    <row r="672" spans="1:5" ht="15" customHeight="1" x14ac:dyDescent="0.3">
      <c r="A672" s="26">
        <f>'Daily Returns'!F672</f>
        <v>-2.5793119898167037E-2</v>
      </c>
      <c r="B672" s="26">
        <f>'Daily Returns'!B672</f>
        <v>-1.8038221528861376E-3</v>
      </c>
      <c r="C672" s="26">
        <f>'Daily Returns'!C672</f>
        <v>9.5078345538599108E-3</v>
      </c>
      <c r="D672" s="26">
        <f>'Daily Returns'!D672</f>
        <v>2.2488136991953858E-2</v>
      </c>
      <c r="E672" s="26">
        <f>'Daily Returns'!E672</f>
        <v>7.3209155777963966E-3</v>
      </c>
    </row>
    <row r="673" spans="1:5" ht="15" customHeight="1" x14ac:dyDescent="0.3">
      <c r="A673" s="25">
        <f>'Daily Returns'!F673</f>
        <v>-7.4423653636324248E-3</v>
      </c>
      <c r="B673" s="25">
        <f>'Daily Returns'!B673</f>
        <v>-2.5445665445665483E-2</v>
      </c>
      <c r="C673" s="25">
        <f>'Daily Returns'!C673</f>
        <v>-9.3777608468352588E-3</v>
      </c>
      <c r="D673" s="25">
        <f>'Daily Returns'!D673</f>
        <v>2.3254640839386526E-2</v>
      </c>
      <c r="E673" s="25">
        <f>'Daily Returns'!E673</f>
        <v>-4.7838086476539263E-4</v>
      </c>
    </row>
    <row r="674" spans="1:5" ht="15" customHeight="1" x14ac:dyDescent="0.3">
      <c r="A674" s="26">
        <f>'Daily Returns'!F674</f>
        <v>6.1773623227056465E-3</v>
      </c>
      <c r="B674" s="26">
        <f>'Daily Returns'!B674</f>
        <v>1.0023053021950487E-2</v>
      </c>
      <c r="C674" s="26">
        <f>'Daily Returns'!C674</f>
        <v>-7.3555882834233418E-3</v>
      </c>
      <c r="D674" s="26">
        <f>'Daily Returns'!D674</f>
        <v>4.5846684742420849E-3</v>
      </c>
      <c r="E674" s="26">
        <f>'Daily Returns'!E674</f>
        <v>1.7450850452838559E-2</v>
      </c>
    </row>
    <row r="675" spans="1:5" ht="15" customHeight="1" x14ac:dyDescent="0.3">
      <c r="A675" s="25">
        <f>'Daily Returns'!F675</f>
        <v>2.11645875401935E-2</v>
      </c>
      <c r="B675" s="25">
        <f>'Daily Returns'!B675</f>
        <v>1.2106777810856395E-2</v>
      </c>
      <c r="C675" s="25">
        <f>'Daily Returns'!C675</f>
        <v>-3.1560900421196629E-2</v>
      </c>
      <c r="D675" s="25">
        <f>'Daily Returns'!D675</f>
        <v>9.3237805476494538E-3</v>
      </c>
      <c r="E675" s="25">
        <f>'Daily Returns'!E675</f>
        <v>-2.1891735417571942E-3</v>
      </c>
    </row>
    <row r="676" spans="1:5" ht="15" customHeight="1" x14ac:dyDescent="0.3">
      <c r="A676" s="26">
        <f>'Daily Returns'!F676</f>
        <v>-1.3430150855060863E-3</v>
      </c>
      <c r="B676" s="26">
        <f>'Daily Returns'!B676</f>
        <v>-3.9219531326592846E-4</v>
      </c>
      <c r="C676" s="26">
        <f>'Daily Returns'!C676</f>
        <v>2.5022980288018138E-3</v>
      </c>
      <c r="D676" s="26">
        <f>'Daily Returns'!D676</f>
        <v>-1.0355892648774774E-2</v>
      </c>
      <c r="E676" s="26">
        <f>'Daily Returns'!E676</f>
        <v>-4.7324617867309793E-2</v>
      </c>
    </row>
    <row r="677" spans="1:5" ht="15" customHeight="1" x14ac:dyDescent="0.3">
      <c r="A677" s="25">
        <f>'Daily Returns'!F677</f>
        <v>4.6718850489682988E-3</v>
      </c>
      <c r="B677" s="25">
        <f>'Daily Returns'!B677</f>
        <v>-1.3487003433055419E-2</v>
      </c>
      <c r="C677" s="25">
        <f>'Daily Returns'!C677</f>
        <v>-2.582649890479331E-2</v>
      </c>
      <c r="D677" s="25">
        <f>'Daily Returns'!D677</f>
        <v>-4.1906165561287158E-2</v>
      </c>
      <c r="E677" s="25">
        <f>'Daily Returns'!E677</f>
        <v>-3.1994061780323838E-2</v>
      </c>
    </row>
    <row r="678" spans="1:5" ht="15" customHeight="1" x14ac:dyDescent="0.3">
      <c r="A678" s="26">
        <f>'Daily Returns'!F678</f>
        <v>3.9991186776367719E-4</v>
      </c>
      <c r="B678" s="26">
        <f>'Daily Returns'!B678</f>
        <v>-1.2776534924185897E-2</v>
      </c>
      <c r="C678" s="26">
        <f>'Daily Returns'!C678</f>
        <v>-2.2502265913686259E-2</v>
      </c>
      <c r="D678" s="26">
        <f>'Daily Returns'!D678</f>
        <v>6.7685365603527489E-3</v>
      </c>
      <c r="E678" s="26">
        <f>'Daily Returns'!E678</f>
        <v>2.6346834447502902E-2</v>
      </c>
    </row>
    <row r="679" spans="1:5" ht="15" customHeight="1" x14ac:dyDescent="0.3">
      <c r="A679" s="25">
        <f>'Daily Returns'!F679</f>
        <v>-4.2215516535003177E-3</v>
      </c>
      <c r="B679" s="25">
        <f>'Daily Returns'!B679</f>
        <v>-1.7625138483232084E-3</v>
      </c>
      <c r="C679" s="25">
        <f>'Daily Returns'!C679</f>
        <v>2.1308464542359267E-3</v>
      </c>
      <c r="D679" s="25">
        <f>'Daily Returns'!D679</f>
        <v>-1.1765305083019264E-2</v>
      </c>
      <c r="E679" s="25">
        <f>'Daily Returns'!E679</f>
        <v>2.561302681992338E-2</v>
      </c>
    </row>
    <row r="680" spans="1:5" ht="15" customHeight="1" x14ac:dyDescent="0.3">
      <c r="A680" s="26">
        <f>'Daily Returns'!F680</f>
        <v>-1.2698131084724293E-2</v>
      </c>
      <c r="B680" s="26">
        <f>'Daily Returns'!B680</f>
        <v>-3.3294657720829311E-2</v>
      </c>
      <c r="C680" s="26">
        <f>'Daily Returns'!C680</f>
        <v>-1.5480289321269465E-3</v>
      </c>
      <c r="D680" s="26">
        <f>'Daily Returns'!D680</f>
        <v>-2.7315363603566518E-3</v>
      </c>
      <c r="E680" s="26">
        <f>'Daily Returns'!E680</f>
        <v>-1.9052244242299377E-3</v>
      </c>
    </row>
    <row r="681" spans="1:5" ht="15" customHeight="1" x14ac:dyDescent="0.3">
      <c r="A681" s="25">
        <f>'Daily Returns'!F681</f>
        <v>-1.0046974525936836E-2</v>
      </c>
      <c r="B681" s="25">
        <f>'Daily Returns'!B681</f>
        <v>2.8179303866826284E-3</v>
      </c>
      <c r="C681" s="25">
        <f>'Daily Returns'!C681</f>
        <v>1.8712074634446258E-2</v>
      </c>
      <c r="D681" s="25">
        <f>'Daily Returns'!D681</f>
        <v>-3.875968992248062E-2</v>
      </c>
      <c r="E681" s="25">
        <f>'Daily Returns'!E681</f>
        <v>-1.4597174136801849E-2</v>
      </c>
    </row>
    <row r="682" spans="1:5" ht="15" customHeight="1" x14ac:dyDescent="0.3">
      <c r="A682" s="26">
        <f>'Daily Returns'!F682</f>
        <v>-1.4853188440003948E-2</v>
      </c>
      <c r="B682" s="26">
        <f>'Daily Returns'!B682</f>
        <v>9.5228183379300231E-3</v>
      </c>
      <c r="C682" s="26">
        <f>'Daily Returns'!C682</f>
        <v>-2.3275341782780883E-2</v>
      </c>
      <c r="D682" s="26">
        <f>'Daily Returns'!D682</f>
        <v>1.4516129032258003E-2</v>
      </c>
      <c r="E682" s="26">
        <f>'Daily Returns'!E682</f>
        <v>-5.2036843604596136E-3</v>
      </c>
    </row>
    <row r="683" spans="1:5" ht="15" customHeight="1" x14ac:dyDescent="0.3">
      <c r="A683" s="25">
        <f>'Daily Returns'!F683</f>
        <v>5.6117498977435697E-3</v>
      </c>
      <c r="B683" s="25">
        <f>'Daily Returns'!B683</f>
        <v>-3.9690721649485059E-3</v>
      </c>
      <c r="C683" s="25">
        <f>'Daily Returns'!C683</f>
        <v>8.0239285010655064E-3</v>
      </c>
      <c r="D683" s="25">
        <f>'Daily Returns'!D683</f>
        <v>-2.7556968733438358E-3</v>
      </c>
      <c r="E683" s="25">
        <f>'Daily Returns'!E683</f>
        <v>-2.3825432885970034E-2</v>
      </c>
    </row>
    <row r="684" spans="1:5" ht="15" customHeight="1" x14ac:dyDescent="0.3">
      <c r="A684" s="26">
        <f>'Daily Returns'!F684</f>
        <v>1.0006219039890263E-2</v>
      </c>
      <c r="B684" s="26">
        <f>'Daily Returns'!B684</f>
        <v>-6.5724783936240844E-3</v>
      </c>
      <c r="C684" s="26">
        <f>'Daily Returns'!C684</f>
        <v>6.2809829249659424E-3</v>
      </c>
      <c r="D684" s="26">
        <f>'Daily Returns'!D684</f>
        <v>-8.92762248910621E-3</v>
      </c>
      <c r="E684" s="26">
        <f>'Daily Returns'!E684</f>
        <v>-4.3220620734163448E-3</v>
      </c>
    </row>
    <row r="685" spans="1:5" ht="15" customHeight="1" x14ac:dyDescent="0.3">
      <c r="A685" s="25">
        <f>'Daily Returns'!F685</f>
        <v>-1.7878912197566066E-3</v>
      </c>
      <c r="B685" s="25">
        <f>'Daily Returns'!B685</f>
        <v>2.8651802458844705E-3</v>
      </c>
      <c r="C685" s="25">
        <f>'Daily Returns'!C685</f>
        <v>-4.7320979261758532E-3</v>
      </c>
      <c r="D685" s="25">
        <f>'Daily Returns'!D685</f>
        <v>-1.7801608579088437E-2</v>
      </c>
      <c r="E685" s="25">
        <f>'Daily Returns'!E685</f>
        <v>3.3489157762413485E-2</v>
      </c>
    </row>
    <row r="686" spans="1:5" ht="15" customHeight="1" x14ac:dyDescent="0.3">
      <c r="A686" s="26">
        <f>'Daily Returns'!F686</f>
        <v>-6.8637470445862226E-3</v>
      </c>
      <c r="B686" s="26">
        <f>'Daily Returns'!B686</f>
        <v>5.1945353488130489E-3</v>
      </c>
      <c r="C686" s="26">
        <f>'Daily Returns'!C686</f>
        <v>-1.3580761622594934E-2</v>
      </c>
      <c r="D686" s="26">
        <f>'Daily Returns'!D686</f>
        <v>-1.2392182552680479E-2</v>
      </c>
      <c r="E686" s="26">
        <f>'Daily Returns'!E686</f>
        <v>-1.1346142881578035E-2</v>
      </c>
    </row>
    <row r="687" spans="1:5" ht="15" customHeight="1" x14ac:dyDescent="0.3">
      <c r="A687" s="25">
        <f>'Daily Returns'!F687</f>
        <v>1.1803028076714373E-2</v>
      </c>
      <c r="B687" s="25">
        <f>'Daily Returns'!B687</f>
        <v>1.5451397860575729E-2</v>
      </c>
      <c r="C687" s="25">
        <f>'Daily Returns'!C687</f>
        <v>-8.0034531753014578E-4</v>
      </c>
      <c r="D687" s="25">
        <f>'Daily Returns'!D687</f>
        <v>-1.2934608368802185E-2</v>
      </c>
      <c r="E687" s="25">
        <f>'Daily Returns'!E687</f>
        <v>-1.4532871972318451E-2</v>
      </c>
    </row>
    <row r="688" spans="1:5" ht="15" customHeight="1" x14ac:dyDescent="0.3">
      <c r="A688" s="26">
        <f>'Daily Returns'!F688</f>
        <v>2.5489387462885166E-2</v>
      </c>
      <c r="B688" s="26">
        <f>'Daily Returns'!B688</f>
        <v>5.5979643765910253E-4</v>
      </c>
      <c r="C688" s="26">
        <f>'Daily Returns'!C688</f>
        <v>1.6181724910676328E-2</v>
      </c>
      <c r="D688" s="26">
        <f>'Daily Returns'!D688</f>
        <v>-1.4896119168953333E-2</v>
      </c>
      <c r="E688" s="26">
        <f>'Daily Returns'!E688</f>
        <v>-2.4929775280898823E-2</v>
      </c>
    </row>
    <row r="689" spans="1:5" ht="15" customHeight="1" x14ac:dyDescent="0.3">
      <c r="A689" s="25">
        <f>'Daily Returns'!F689</f>
        <v>-1.9460106344624115E-2</v>
      </c>
      <c r="B689" s="25">
        <f>'Daily Returns'!B689</f>
        <v>-9.2060424190020963E-3</v>
      </c>
      <c r="C689" s="25">
        <f>'Daily Returns'!C689</f>
        <v>-5.995872855611927E-3</v>
      </c>
      <c r="D689" s="25">
        <f>'Daily Returns'!D689</f>
        <v>-2.1829344551190968E-2</v>
      </c>
      <c r="E689" s="25">
        <f>'Daily Returns'!E689</f>
        <v>4.3612211419197513E-3</v>
      </c>
    </row>
    <row r="690" spans="1:5" ht="15" customHeight="1" x14ac:dyDescent="0.3">
      <c r="A690" s="26">
        <f>'Daily Returns'!F690</f>
        <v>6.7052117892139364E-3</v>
      </c>
      <c r="B690" s="26">
        <f>'Daily Returns'!B690</f>
        <v>-6.108829568788489E-3</v>
      </c>
      <c r="C690" s="26">
        <f>'Daily Returns'!C690</f>
        <v>1.5538963237521656E-2</v>
      </c>
      <c r="D690" s="26">
        <f>'Daily Returns'!D690</f>
        <v>-2.9057941535421631E-3</v>
      </c>
      <c r="E690" s="26">
        <f>'Daily Returns'!E690</f>
        <v>-1.7468727591427053E-2</v>
      </c>
    </row>
    <row r="691" spans="1:5" ht="15" customHeight="1" x14ac:dyDescent="0.3">
      <c r="A691" s="25">
        <f>'Daily Returns'!F691</f>
        <v>1.9129026927211822E-3</v>
      </c>
      <c r="B691" s="25">
        <f>'Daily Returns'!B691</f>
        <v>2.840762357316166E-3</v>
      </c>
      <c r="C691" s="25">
        <f>'Daily Returns'!C691</f>
        <v>-4.228886276298879E-3</v>
      </c>
      <c r="D691" s="25">
        <f>'Daily Returns'!D691</f>
        <v>-4.9542460803170384E-3</v>
      </c>
      <c r="E691" s="25">
        <f>'Daily Returns'!E691</f>
        <v>1.2771909907352995E-2</v>
      </c>
    </row>
    <row r="692" spans="1:5" ht="15" customHeight="1" x14ac:dyDescent="0.3">
      <c r="A692" s="26">
        <f>'Daily Returns'!F692</f>
        <v>3.9920474589900789E-3</v>
      </c>
      <c r="B692" s="26">
        <f>'Daily Returns'!B692</f>
        <v>2.1889163576431808E-2</v>
      </c>
      <c r="C692" s="26">
        <f>'Daily Returns'!C692</f>
        <v>3.1014308874321602E-2</v>
      </c>
      <c r="D692" s="26">
        <f>'Daily Returns'!D692</f>
        <v>1.3940955951265203E-2</v>
      </c>
      <c r="E692" s="26">
        <f>'Daily Returns'!E692</f>
        <v>-5.3646135676682083E-3</v>
      </c>
    </row>
    <row r="693" spans="1:5" ht="15" customHeight="1" x14ac:dyDescent="0.3">
      <c r="A693" s="25">
        <f>'Daily Returns'!F693</f>
        <v>8.2054429779690099E-3</v>
      </c>
      <c r="B693" s="25">
        <f>'Daily Returns'!B693</f>
        <v>-4.1328562068443792E-3</v>
      </c>
      <c r="C693" s="25">
        <f>'Daily Returns'!C693</f>
        <v>1.0682299856429889E-3</v>
      </c>
      <c r="D693" s="25">
        <f>'Daily Returns'!D693</f>
        <v>-2.7209705372617032E-2</v>
      </c>
      <c r="E693" s="25">
        <f>'Daily Returns'!E693</f>
        <v>3.2260661313369104E-2</v>
      </c>
    </row>
    <row r="694" spans="1:5" ht="15" customHeight="1" x14ac:dyDescent="0.3">
      <c r="A694" s="26">
        <f>'Daily Returns'!F694</f>
        <v>1.7806672838223271E-2</v>
      </c>
      <c r="B694" s="26">
        <f>'Daily Returns'!B694</f>
        <v>-1.4221367478111252E-2</v>
      </c>
      <c r="C694" s="26">
        <f>'Daily Returns'!C694</f>
        <v>-2.5012591663039103E-3</v>
      </c>
      <c r="D694" s="26">
        <f>'Daily Returns'!D694</f>
        <v>-6.5918403705682365E-3</v>
      </c>
      <c r="E694" s="26">
        <f>'Daily Returns'!E694</f>
        <v>1.1639241987054566E-2</v>
      </c>
    </row>
    <row r="695" spans="1:5" ht="15" customHeight="1" x14ac:dyDescent="0.3">
      <c r="A695" s="25">
        <f>'Daily Returns'!F695</f>
        <v>-1.0789158496682741E-3</v>
      </c>
      <c r="B695" s="25">
        <f>'Daily Returns'!B695</f>
        <v>-1.1756853886435938E-2</v>
      </c>
      <c r="C695" s="25">
        <f>'Daily Returns'!C695</f>
        <v>-2.7813912090921537E-2</v>
      </c>
      <c r="D695" s="25">
        <f>'Daily Returns'!D695</f>
        <v>-1.3629842180774756E-2</v>
      </c>
      <c r="E695" s="25">
        <f>'Daily Returns'!E695</f>
        <v>9.5010503189501896E-3</v>
      </c>
    </row>
    <row r="696" spans="1:5" ht="15" customHeight="1" x14ac:dyDescent="0.3">
      <c r="A696" s="26">
        <f>'Daily Returns'!F696</f>
        <v>2.4768932313055384E-2</v>
      </c>
      <c r="B696" s="26">
        <f>'Daily Returns'!B696</f>
        <v>-2.8728765130656142E-2</v>
      </c>
      <c r="C696" s="26">
        <f>'Daily Returns'!C696</f>
        <v>-2.4577897498195455E-2</v>
      </c>
      <c r="D696" s="26">
        <f>'Daily Returns'!D696</f>
        <v>5.7575757575756888E-3</v>
      </c>
      <c r="E696" s="26">
        <f>'Daily Returns'!E696</f>
        <v>-2.6115841319537366E-2</v>
      </c>
    </row>
    <row r="697" spans="1:5" ht="15" customHeight="1" x14ac:dyDescent="0.3">
      <c r="A697" s="25">
        <f>'Daily Returns'!F697</f>
        <v>-1.3020108489193246E-2</v>
      </c>
      <c r="B697" s="25">
        <f>'Daily Returns'!B697</f>
        <v>4.8673513050919801E-3</v>
      </c>
      <c r="C697" s="25">
        <f>'Daily Returns'!C697</f>
        <v>7.3190982437775281E-3</v>
      </c>
      <c r="D697" s="25">
        <f>'Daily Returns'!D697</f>
        <v>-4.2181379933710865E-4</v>
      </c>
      <c r="E697" s="25">
        <f>'Daily Returns'!E697</f>
        <v>9.4091817932335869E-4</v>
      </c>
    </row>
    <row r="698" spans="1:5" ht="15" customHeight="1" x14ac:dyDescent="0.3">
      <c r="A698" s="26">
        <f>'Daily Returns'!F698</f>
        <v>8.9897058739098062E-3</v>
      </c>
      <c r="B698" s="26">
        <f>'Daily Returns'!B698</f>
        <v>-1.8523447064459565E-2</v>
      </c>
      <c r="C698" s="26">
        <f>'Daily Returns'!C698</f>
        <v>-3.4134585233433728E-3</v>
      </c>
      <c r="D698" s="26">
        <f>'Daily Returns'!D698</f>
        <v>1.3744875813841338E-2</v>
      </c>
      <c r="E698" s="26">
        <f>'Daily Returns'!E698</f>
        <v>6.2081391249852319E-3</v>
      </c>
    </row>
    <row r="699" spans="1:5" ht="15" customHeight="1" x14ac:dyDescent="0.3">
      <c r="A699" s="25">
        <f>'Daily Returns'!F699</f>
        <v>-1.5847704713934201E-2</v>
      </c>
      <c r="B699" s="25">
        <f>'Daily Returns'!B699</f>
        <v>-1.6812191550517896E-2</v>
      </c>
      <c r="C699" s="25">
        <f>'Daily Returns'!C699</f>
        <v>5.5557553310080048E-3</v>
      </c>
      <c r="D699" s="25">
        <f>'Daily Returns'!D699</f>
        <v>2.9317316841103752E-2</v>
      </c>
      <c r="E699" s="25">
        <f>'Daily Returns'!E699</f>
        <v>6.9483641176357079E-3</v>
      </c>
    </row>
    <row r="700" spans="1:5" ht="15" customHeight="1" x14ac:dyDescent="0.3">
      <c r="A700" s="26">
        <f>'Daily Returns'!F700</f>
        <v>-1.5730553277541658E-2</v>
      </c>
      <c r="B700" s="26">
        <f>'Daily Returns'!B700</f>
        <v>-2.7028517844337834E-2</v>
      </c>
      <c r="C700" s="26">
        <f>'Daily Returns'!C700</f>
        <v>-1.1479249736263271E-2</v>
      </c>
      <c r="D700" s="26">
        <f>'Daily Returns'!D700</f>
        <v>4.6218730140380195E-4</v>
      </c>
      <c r="E700" s="26">
        <f>'Daily Returns'!E700</f>
        <v>7.2096799134065605E-3</v>
      </c>
    </row>
    <row r="701" spans="1:5" ht="15" customHeight="1" x14ac:dyDescent="0.3">
      <c r="A701" s="25">
        <f>'Daily Returns'!F701</f>
        <v>5.1074690243529406E-3</v>
      </c>
      <c r="B701" s="25">
        <f>'Daily Returns'!B701</f>
        <v>-1.519360507965292E-2</v>
      </c>
      <c r="C701" s="25">
        <f>'Daily Returns'!C701</f>
        <v>-2.0620421452473298E-3</v>
      </c>
      <c r="D701" s="25">
        <f>'Daily Returns'!D701</f>
        <v>8.7197551538951285E-3</v>
      </c>
      <c r="E701" s="25">
        <f>'Daily Returns'!E701</f>
        <v>2.7826287205663736E-3</v>
      </c>
    </row>
    <row r="702" spans="1:5" ht="15" customHeight="1" x14ac:dyDescent="0.3">
      <c r="A702" s="26">
        <f>'Daily Returns'!F702</f>
        <v>8.5203105154896836E-3</v>
      </c>
      <c r="B702" s="26">
        <f>'Daily Returns'!B702</f>
        <v>8.1745437798629184E-3</v>
      </c>
      <c r="C702" s="26">
        <f>'Daily Returns'!C702</f>
        <v>-1.0404016602925465E-2</v>
      </c>
      <c r="D702" s="26">
        <f>'Daily Returns'!D702</f>
        <v>-1.1392260132814341E-2</v>
      </c>
      <c r="E702" s="26">
        <f>'Daily Returns'!E702</f>
        <v>-2.1586864163508964E-2</v>
      </c>
    </row>
    <row r="703" spans="1:5" ht="15" customHeight="1" x14ac:dyDescent="0.3">
      <c r="A703" s="25">
        <f>'Daily Returns'!F703</f>
        <v>-6.2068450766648419E-3</v>
      </c>
      <c r="B703" s="25">
        <f>'Daily Returns'!B703</f>
        <v>-1.7815337178096299E-2</v>
      </c>
      <c r="C703" s="25">
        <f>'Daily Returns'!C703</f>
        <v>5.797021814385339E-3</v>
      </c>
      <c r="D703" s="25">
        <f>'Daily Returns'!D703</f>
        <v>-1.6214025131739021E-3</v>
      </c>
      <c r="E703" s="25">
        <f>'Daily Returns'!E703</f>
        <v>-4.5006454641473986E-2</v>
      </c>
    </row>
    <row r="704" spans="1:5" ht="15" customHeight="1" x14ac:dyDescent="0.3">
      <c r="A704" s="26">
        <f>'Daily Returns'!F704</f>
        <v>6.6999725470228448E-3</v>
      </c>
      <c r="B704" s="26">
        <f>'Daily Returns'!B704</f>
        <v>-2.3952095808383263E-2</v>
      </c>
      <c r="C704" s="26">
        <f>'Daily Returns'!C704</f>
        <v>-3.250566800513477E-3</v>
      </c>
      <c r="D704" s="26">
        <f>'Daily Returns'!D704</f>
        <v>8.120178643931024E-4</v>
      </c>
      <c r="E704" s="26">
        <f>'Daily Returns'!E704</f>
        <v>-2.0624679979518674E-2</v>
      </c>
    </row>
    <row r="705" spans="1:5" ht="15" customHeight="1" x14ac:dyDescent="0.3">
      <c r="A705" s="25">
        <f>'Daily Returns'!F705</f>
        <v>-7.8791841440426103E-3</v>
      </c>
      <c r="B705" s="25">
        <f>'Daily Returns'!B705</f>
        <v>2.7994520221575276E-3</v>
      </c>
      <c r="C705" s="25">
        <f>'Daily Returns'!C705</f>
        <v>3.3488627021101537E-2</v>
      </c>
      <c r="D705" s="25">
        <f>'Daily Returns'!D705</f>
        <v>3.4077079107505043E-2</v>
      </c>
      <c r="E705" s="25">
        <f>'Daily Returns'!E705</f>
        <v>1.9636956794512498E-2</v>
      </c>
    </row>
    <row r="706" spans="1:5" ht="15" customHeight="1" x14ac:dyDescent="0.3">
      <c r="A706" s="26">
        <f>'Daily Returns'!F706</f>
        <v>1.2955479958309727E-2</v>
      </c>
      <c r="B706" s="26">
        <f>'Daily Returns'!B706</f>
        <v>-4.4547398431931569E-3</v>
      </c>
      <c r="C706" s="26">
        <f>'Daily Returns'!C706</f>
        <v>-1.1543628906802385E-2</v>
      </c>
      <c r="D706" s="26">
        <f>'Daily Returns'!D706</f>
        <v>-1.7541893179398058E-2</v>
      </c>
      <c r="E706" s="26">
        <f>'Daily Returns'!E706</f>
        <v>1.5608015259347404E-2</v>
      </c>
    </row>
    <row r="707" spans="1:5" ht="15" customHeight="1" x14ac:dyDescent="0.3">
      <c r="A707" s="25">
        <f>'Daily Returns'!F707</f>
        <v>-1.6428954299975231E-2</v>
      </c>
      <c r="B707" s="25">
        <f>'Daily Returns'!B707</f>
        <v>6.3242049997015316E-3</v>
      </c>
      <c r="C707" s="25">
        <f>'Daily Returns'!C707</f>
        <v>2.0325494053474041E-2</v>
      </c>
      <c r="D707" s="25">
        <f>'Daily Returns'!D707</f>
        <v>-1.711351968054828E-3</v>
      </c>
      <c r="E707" s="25">
        <f>'Daily Returns'!E707</f>
        <v>2.2052586938083152E-2</v>
      </c>
    </row>
    <row r="708" spans="1:5" ht="15" customHeight="1" x14ac:dyDescent="0.3">
      <c r="A708" s="26">
        <f>'Daily Returns'!F708</f>
        <v>2.7035363962474848E-3</v>
      </c>
      <c r="B708" s="26">
        <f>'Daily Returns'!B708</f>
        <v>1.061243848935804E-2</v>
      </c>
      <c r="C708" s="26">
        <f>'Daily Returns'!C708</f>
        <v>-1.8001279545673616E-2</v>
      </c>
      <c r="D708" s="26">
        <f>'Daily Returns'!D708</f>
        <v>6.8571428571431172E-4</v>
      </c>
      <c r="E708" s="26">
        <f>'Daily Returns'!E708</f>
        <v>6.6785220312191177E-3</v>
      </c>
    </row>
    <row r="709" spans="1:5" ht="15" customHeight="1" x14ac:dyDescent="0.3">
      <c r="A709" s="25">
        <f>'Daily Returns'!F709</f>
        <v>3.6011518075420024E-3</v>
      </c>
      <c r="B709" s="25">
        <f>'Daily Returns'!B709</f>
        <v>1.759943681802249E-4</v>
      </c>
      <c r="C709" s="25">
        <f>'Daily Returns'!C709</f>
        <v>-7.6127408544475837E-3</v>
      </c>
      <c r="D709" s="25">
        <f>'Daily Returns'!D709</f>
        <v>-1.1477843764275873E-2</v>
      </c>
      <c r="E709" s="25">
        <f>'Daily Returns'!E709</f>
        <v>4.7695689722854805E-3</v>
      </c>
    </row>
    <row r="710" spans="1:5" ht="15" customHeight="1" x14ac:dyDescent="0.3">
      <c r="A710" s="26">
        <f>'Daily Returns'!F710</f>
        <v>2.7394465158065108E-3</v>
      </c>
      <c r="B710" s="26">
        <f>'Daily Returns'!B710</f>
        <v>-1.7654994427825792E-2</v>
      </c>
      <c r="C710" s="26">
        <f>'Daily Returns'!C710</f>
        <v>-1.4245116730817785E-2</v>
      </c>
      <c r="D710" s="26">
        <f>'Daily Returns'!D710</f>
        <v>5.9499740049677816E-3</v>
      </c>
      <c r="E710" s="26">
        <f>'Daily Returns'!E710</f>
        <v>8.009220370768787E-4</v>
      </c>
    </row>
    <row r="711" spans="1:5" ht="15" customHeight="1" x14ac:dyDescent="0.3">
      <c r="A711" s="25">
        <f>'Daily Returns'!F711</f>
        <v>3.7259312737576608E-4</v>
      </c>
      <c r="B711" s="25">
        <f>'Daily Returns'!B711</f>
        <v>-1.433006926200028E-3</v>
      </c>
      <c r="C711" s="25">
        <f>'Daily Returns'!C711</f>
        <v>2.2807721782286614E-2</v>
      </c>
      <c r="D711" s="25">
        <f>'Daily Returns'!D711</f>
        <v>6.3167566325952483E-4</v>
      </c>
      <c r="E711" s="25">
        <f>'Daily Returns'!E711</f>
        <v>-3.1796533416614765E-2</v>
      </c>
    </row>
    <row r="712" spans="1:5" ht="15" customHeight="1" x14ac:dyDescent="0.3">
      <c r="A712" s="26">
        <f>'Daily Returns'!F712</f>
        <v>-1.0082274330742776E-3</v>
      </c>
      <c r="B712" s="26">
        <f>'Daily Returns'!B712</f>
        <v>7.2949055249940135E-3</v>
      </c>
      <c r="C712" s="26">
        <f>'Daily Returns'!C712</f>
        <v>8.3041958041959584E-3</v>
      </c>
      <c r="D712" s="26">
        <f>'Daily Returns'!D712</f>
        <v>2.2381635581060909E-3</v>
      </c>
      <c r="E712" s="26">
        <f>'Daily Returns'!E712</f>
        <v>3.8304134830555291E-3</v>
      </c>
    </row>
    <row r="713" spans="1:5" ht="15" customHeight="1" x14ac:dyDescent="0.3">
      <c r="A713" s="25">
        <f>'Daily Returns'!F713</f>
        <v>-2.8838559387628738E-2</v>
      </c>
      <c r="B713" s="25">
        <f>'Daily Returns'!B713</f>
        <v>-7.776326724444985E-3</v>
      </c>
      <c r="C713" s="25">
        <f>'Daily Returns'!C713</f>
        <v>3.0165512238704336E-3</v>
      </c>
      <c r="D713" s="25">
        <f>'Daily Returns'!D713</f>
        <v>-1.0936784241868969E-2</v>
      </c>
      <c r="E713" s="25">
        <f>'Daily Returns'!E713</f>
        <v>-1.1748639366979339E-2</v>
      </c>
    </row>
    <row r="714" spans="1:5" ht="15" customHeight="1" x14ac:dyDescent="0.3">
      <c r="A714" s="26">
        <f>'Daily Returns'!F714</f>
        <v>-1.6282541867752132E-2</v>
      </c>
      <c r="B714" s="26">
        <f>'Daily Returns'!B714</f>
        <v>-1.9623093030212389E-2</v>
      </c>
      <c r="C714" s="26">
        <f>'Daily Returns'!C714</f>
        <v>4.7272983842518591E-3</v>
      </c>
      <c r="D714" s="26">
        <f>'Daily Returns'!D714</f>
        <v>1.1926127482197664E-2</v>
      </c>
      <c r="E714" s="26">
        <f>'Daily Returns'!E714</f>
        <v>-1.1034791090879546E-2</v>
      </c>
    </row>
    <row r="715" spans="1:5" ht="15" customHeight="1" x14ac:dyDescent="0.3">
      <c r="A715" s="25">
        <f>'Daily Returns'!F715</f>
        <v>1.1666798455034745E-2</v>
      </c>
      <c r="B715" s="25">
        <f>'Daily Returns'!B715</f>
        <v>1.5622139500823837E-2</v>
      </c>
      <c r="C715" s="25">
        <f>'Daily Returns'!C715</f>
        <v>-1.8530547752809101E-2</v>
      </c>
      <c r="D715" s="25">
        <f>'Daily Returns'!D715</f>
        <v>-1.4245666228044972E-2</v>
      </c>
      <c r="E715" s="25">
        <f>'Daily Returns'!E715</f>
        <v>-1.8206102948731033E-2</v>
      </c>
    </row>
    <row r="716" spans="1:5" ht="15" customHeight="1" x14ac:dyDescent="0.3">
      <c r="A716" s="26">
        <f>'Daily Returns'!F716</f>
        <v>8.2362592130930043E-3</v>
      </c>
      <c r="B716" s="26">
        <f>'Daily Returns'!B716</f>
        <v>-5.4677642251997633E-3</v>
      </c>
      <c r="C716" s="26">
        <f>'Daily Returns'!C716</f>
        <v>2.5346796769490962E-2</v>
      </c>
      <c r="D716" s="26">
        <f>'Daily Returns'!D716</f>
        <v>-5.4556006964596501E-3</v>
      </c>
      <c r="E716" s="26">
        <f>'Daily Returns'!E716</f>
        <v>-7.953284915967171E-4</v>
      </c>
    </row>
    <row r="717" spans="1:5" ht="15" customHeight="1" x14ac:dyDescent="0.3">
      <c r="A717" s="25">
        <f>'Daily Returns'!F717</f>
        <v>1.5753553399021698E-2</v>
      </c>
      <c r="B717" s="25">
        <f>'Daily Returns'!B717</f>
        <v>-5.3165780570325269E-3</v>
      </c>
      <c r="C717" s="25">
        <f>'Daily Returns'!C717</f>
        <v>2.5104018561970615E-2</v>
      </c>
      <c r="D717" s="25">
        <f>'Daily Returns'!D717</f>
        <v>1.371381886087765E-2</v>
      </c>
      <c r="E717" s="25">
        <f>'Daily Returns'!E717</f>
        <v>1.7783456567729942E-2</v>
      </c>
    </row>
    <row r="718" spans="1:5" ht="15" customHeight="1" x14ac:dyDescent="0.3">
      <c r="A718" s="26">
        <f>'Daily Returns'!F718</f>
        <v>1.0600305093406539E-3</v>
      </c>
      <c r="B718" s="26">
        <f>'Daily Returns'!B718</f>
        <v>5.4664723032072044E-4</v>
      </c>
      <c r="C718" s="26">
        <f>'Daily Returns'!C718</f>
        <v>-1.7018235038828642E-5</v>
      </c>
      <c r="D718" s="26">
        <f>'Daily Returns'!D718</f>
        <v>2.2451211789764582E-2</v>
      </c>
      <c r="E718" s="26">
        <f>'Daily Returns'!E718</f>
        <v>1.5579337312204261E-2</v>
      </c>
    </row>
    <row r="719" spans="1:5" ht="15" customHeight="1" x14ac:dyDescent="0.3">
      <c r="A719" s="25">
        <f>'Daily Returns'!F719</f>
        <v>1.9486816665345113E-2</v>
      </c>
      <c r="B719" s="25">
        <f>'Daily Returns'!B719</f>
        <v>1.4569295210344235E-2</v>
      </c>
      <c r="C719" s="25">
        <f>'Daily Returns'!C719</f>
        <v>8.3390770854076203E-4</v>
      </c>
      <c r="D719" s="25">
        <f>'Daily Returns'!D719</f>
        <v>-1.1429536625190029E-2</v>
      </c>
      <c r="E719" s="25">
        <f>'Daily Returns'!E719</f>
        <v>-1.787342695604606E-2</v>
      </c>
    </row>
    <row r="720" spans="1:5" ht="15" customHeight="1" x14ac:dyDescent="0.3">
      <c r="A720" s="26">
        <f>'Daily Returns'!F720</f>
        <v>-1.2213664577978422E-3</v>
      </c>
      <c r="B720" s="26">
        <f>'Daily Returns'!B720</f>
        <v>3.9490217196194374E-3</v>
      </c>
      <c r="C720" s="26">
        <f>'Daily Returns'!C720</f>
        <v>1.2047578156218782E-2</v>
      </c>
      <c r="D720" s="26">
        <f>'Daily Returns'!D720</f>
        <v>1.0194783004898006E-2</v>
      </c>
      <c r="E720" s="26">
        <f>'Daily Returns'!E720</f>
        <v>5.0551944702363471E-3</v>
      </c>
    </row>
    <row r="721" spans="1:5" ht="15" customHeight="1" x14ac:dyDescent="0.3">
      <c r="A721" s="25">
        <f>'Daily Returns'!F721</f>
        <v>1.2045908395159689E-2</v>
      </c>
      <c r="B721" s="25">
        <f>'Daily Returns'!B721</f>
        <v>-4.2910781333810053E-3</v>
      </c>
      <c r="C721" s="25">
        <f>'Daily Returns'!C721</f>
        <v>-2.5034863988440434E-3</v>
      </c>
      <c r="D721" s="25">
        <f>'Daily Returns'!D721</f>
        <v>-9.5844844111188994E-4</v>
      </c>
      <c r="E721" s="25">
        <f>'Daily Returns'!E721</f>
        <v>-9.2383494149054699E-4</v>
      </c>
    </row>
    <row r="722" spans="1:5" ht="15" customHeight="1" x14ac:dyDescent="0.3">
      <c r="A722" s="26">
        <f>'Daily Returns'!F722</f>
        <v>-4.9534126531921071E-3</v>
      </c>
      <c r="B722" s="26">
        <f>'Daily Returns'!B722</f>
        <v>9.8162446878554792E-3</v>
      </c>
      <c r="C722" s="26">
        <f>'Daily Returns'!C722</f>
        <v>-2.9308718501547897E-3</v>
      </c>
      <c r="D722" s="26">
        <f>'Daily Returns'!D722</f>
        <v>1.6873589164785607E-2</v>
      </c>
      <c r="E722" s="26">
        <f>'Daily Returns'!E722</f>
        <v>-3.7542381588410528E-2</v>
      </c>
    </row>
    <row r="723" spans="1:5" ht="15" customHeight="1" x14ac:dyDescent="0.3">
      <c r="A723" s="25">
        <f>'Daily Returns'!F723</f>
        <v>-5.8890398019203153E-3</v>
      </c>
      <c r="B723" s="25">
        <f>'Daily Returns'!B723</f>
        <v>3.0051567779029061E-2</v>
      </c>
      <c r="C723" s="25">
        <f>'Daily Returns'!C723</f>
        <v>-8.1004831570768536E-3</v>
      </c>
      <c r="D723" s="25">
        <f>'Daily Returns'!D723</f>
        <v>2.1088850657638904E-3</v>
      </c>
      <c r="E723" s="25">
        <f>'Daily Returns'!E723</f>
        <v>1.8254408813356701E-2</v>
      </c>
    </row>
    <row r="724" spans="1:5" ht="15" customHeight="1" x14ac:dyDescent="0.3">
      <c r="A724" s="26">
        <f>'Daily Returns'!F724</f>
        <v>1.0618054051740379E-2</v>
      </c>
      <c r="B724" s="26">
        <f>'Daily Returns'!B724</f>
        <v>1.9564967199907961E-2</v>
      </c>
      <c r="C724" s="26">
        <f>'Daily Returns'!C724</f>
        <v>-5.5011964676528252E-3</v>
      </c>
      <c r="D724" s="26">
        <f>'Daily Returns'!D724</f>
        <v>2.7136290635210752E-2</v>
      </c>
      <c r="E724" s="26">
        <f>'Daily Returns'!E724</f>
        <v>-1.176273247646408E-2</v>
      </c>
    </row>
    <row r="725" spans="1:5" ht="15" customHeight="1" x14ac:dyDescent="0.3">
      <c r="A725" s="25">
        <f>'Daily Returns'!F725</f>
        <v>-1.6042330201347217E-2</v>
      </c>
      <c r="B725" s="25">
        <f>'Daily Returns'!B725</f>
        <v>9.5947623885313717E-3</v>
      </c>
      <c r="C725" s="25">
        <f>'Daily Returns'!C725</f>
        <v>-7.8007929236274974E-3</v>
      </c>
      <c r="D725" s="25">
        <f>'Daily Returns'!D725</f>
        <v>2.4532269369709449E-2</v>
      </c>
      <c r="E725" s="25">
        <f>'Daily Returns'!E725</f>
        <v>1.1457184078757605E-2</v>
      </c>
    </row>
    <row r="726" spans="1:5" ht="15" customHeight="1" x14ac:dyDescent="0.3">
      <c r="A726" s="26">
        <f>'Daily Returns'!F726</f>
        <v>1.7648904751038908E-2</v>
      </c>
      <c r="B726" s="26">
        <f>'Daily Returns'!B726</f>
        <v>-1.5205724508050083E-2</v>
      </c>
      <c r="C726" s="26">
        <f>'Daily Returns'!C726</f>
        <v>1.3463131731565787E-2</v>
      </c>
      <c r="D726" s="26">
        <f>'Daily Returns'!D726</f>
        <v>-1.4893169140090581E-2</v>
      </c>
      <c r="E726" s="26">
        <f>'Daily Returns'!E726</f>
        <v>-1.4473905017620477E-2</v>
      </c>
    </row>
    <row r="727" spans="1:5" ht="15" customHeight="1" x14ac:dyDescent="0.3">
      <c r="A727" s="25">
        <f>'Daily Returns'!F727</f>
        <v>2.1249239035689732E-2</v>
      </c>
      <c r="B727" s="25">
        <f>'Daily Returns'!B727</f>
        <v>5.2282016348773885E-2</v>
      </c>
      <c r="C727" s="25">
        <f>'Daily Returns'!C727</f>
        <v>-5.1944955378431003E-3</v>
      </c>
      <c r="D727" s="25">
        <f>'Daily Returns'!D727</f>
        <v>-4.7545274854425253E-3</v>
      </c>
      <c r="E727" s="25">
        <f>'Daily Returns'!E727</f>
        <v>1.5176024860584895E-2</v>
      </c>
    </row>
    <row r="728" spans="1:5" ht="15" customHeight="1" x14ac:dyDescent="0.3">
      <c r="A728" s="26">
        <f>'Daily Returns'!F728</f>
        <v>2.8435774118851291E-4</v>
      </c>
      <c r="B728" s="26">
        <f>'Daily Returns'!B728</f>
        <v>-1.62917408426391E-2</v>
      </c>
      <c r="C728" s="26">
        <f>'Daily Returns'!C728</f>
        <v>-6.9593056102447391E-3</v>
      </c>
      <c r="D728" s="26">
        <f>'Daily Returns'!D728</f>
        <v>-1.1433172302737648E-2</v>
      </c>
      <c r="E728" s="26">
        <f>'Daily Returns'!E728</f>
        <v>2.4069608973687009E-2</v>
      </c>
    </row>
    <row r="729" spans="1:5" ht="15" customHeight="1" x14ac:dyDescent="0.3">
      <c r="A729" s="25">
        <f>'Daily Returns'!F729</f>
        <v>1.5988739339894406E-2</v>
      </c>
      <c r="B729" s="25">
        <f>'Daily Returns'!B729</f>
        <v>-4.8258842884562406E-3</v>
      </c>
      <c r="C729" s="25">
        <f>'Daily Returns'!C729</f>
        <v>-1.0456085303726334E-2</v>
      </c>
      <c r="D729" s="25">
        <f>'Daily Returns'!D729</f>
        <v>-8.687625563338036E-4</v>
      </c>
      <c r="E729" s="25">
        <f>'Daily Returns'!E729</f>
        <v>5.4050733984398712E-3</v>
      </c>
    </row>
    <row r="730" spans="1:5" ht="15" customHeight="1" x14ac:dyDescent="0.3">
      <c r="A730" s="26">
        <f>'Daily Returns'!F730</f>
        <v>-5.7194228998654851E-3</v>
      </c>
      <c r="B730" s="26">
        <f>'Daily Returns'!B730</f>
        <v>-9.3679396043422538E-3</v>
      </c>
      <c r="C730" s="26">
        <f>'Daily Returns'!C730</f>
        <v>-2.5854559392313375E-2</v>
      </c>
      <c r="D730" s="26">
        <f>'Daily Returns'!D730</f>
        <v>-2.8259333731862339E-2</v>
      </c>
      <c r="E730" s="26">
        <f>'Daily Returns'!E730</f>
        <v>1.0752031278636507E-2</v>
      </c>
    </row>
    <row r="731" spans="1:5" ht="15" customHeight="1" x14ac:dyDescent="0.3">
      <c r="A731" s="25">
        <f>'Daily Returns'!F731</f>
        <v>-2.4547034599661072E-3</v>
      </c>
      <c r="B731" s="25">
        <f>'Daily Returns'!B731</f>
        <v>2.286254658730592E-2</v>
      </c>
      <c r="C731" s="25">
        <f>'Daily Returns'!C731</f>
        <v>2.8114604571305983E-2</v>
      </c>
      <c r="D731" s="25">
        <f>'Daily Returns'!D731</f>
        <v>-2.5949331692858423E-2</v>
      </c>
      <c r="E731" s="25">
        <f>'Daily Returns'!E731</f>
        <v>-1.1866626372519479E-2</v>
      </c>
    </row>
    <row r="732" spans="1:5" ht="15" customHeight="1" x14ac:dyDescent="0.3">
      <c r="A732" s="26">
        <f>'Daily Returns'!F732</f>
        <v>3.0501382911979577E-3</v>
      </c>
      <c r="B732" s="26">
        <f>'Daily Returns'!B732</f>
        <v>6.1453121601043915E-3</v>
      </c>
      <c r="C732" s="26">
        <f>'Daily Returns'!C732</f>
        <v>9.5588491110879248E-3</v>
      </c>
      <c r="D732" s="26">
        <f>'Daily Returns'!D732</f>
        <v>1.6478153528162169E-2</v>
      </c>
      <c r="E732" s="26">
        <f>'Daily Returns'!E732</f>
        <v>-5.5254251111201318E-3</v>
      </c>
    </row>
    <row r="733" spans="1:5" ht="15" customHeight="1" x14ac:dyDescent="0.3">
      <c r="A733" s="25">
        <f>'Daily Returns'!F733</f>
        <v>-5.9174269191829042E-3</v>
      </c>
      <c r="B733" s="25">
        <f>'Daily Returns'!B733</f>
        <v>-1.9458407653640312E-2</v>
      </c>
      <c r="C733" s="25">
        <f>'Daily Returns'!C733</f>
        <v>1.5886827889826101E-2</v>
      </c>
      <c r="D733" s="25">
        <f>'Daily Returns'!D733</f>
        <v>5.7614098508812148E-3</v>
      </c>
      <c r="E733" s="25">
        <f>'Daily Returns'!E733</f>
        <v>-2.0666324961558142E-2</v>
      </c>
    </row>
    <row r="734" spans="1:5" ht="15" customHeight="1" x14ac:dyDescent="0.3">
      <c r="A734" s="26">
        <f>'Daily Returns'!F734</f>
        <v>8.3389847481588359E-3</v>
      </c>
      <c r="B734" s="26">
        <f>'Daily Returns'!B734</f>
        <v>4.0240339562316839E-3</v>
      </c>
      <c r="C734" s="26">
        <f>'Daily Returns'!C734</f>
        <v>-8.7520671670272346E-3</v>
      </c>
      <c r="D734" s="26">
        <f>'Daily Returns'!D734</f>
        <v>1.2243064135684639E-2</v>
      </c>
      <c r="E734" s="26">
        <f>'Daily Returns'!E734</f>
        <v>2.0369711306969164E-2</v>
      </c>
    </row>
    <row r="735" spans="1:5" ht="15" customHeight="1" x14ac:dyDescent="0.3">
      <c r="A735" s="25">
        <f>'Daily Returns'!F735</f>
        <v>1.0485452593546689E-2</v>
      </c>
      <c r="B735" s="25">
        <f>'Daily Returns'!B735</f>
        <v>7.9060063687274966E-3</v>
      </c>
      <c r="C735" s="25">
        <f>'Daily Returns'!C735</f>
        <v>2.6291248513470752E-2</v>
      </c>
      <c r="D735" s="25">
        <f>'Daily Returns'!D735</f>
        <v>-1.381491344873507E-2</v>
      </c>
      <c r="E735" s="25">
        <f>'Daily Returns'!E735</f>
        <v>2.2897004513746461E-2</v>
      </c>
    </row>
    <row r="736" spans="1:5" ht="15" customHeight="1" x14ac:dyDescent="0.3">
      <c r="A736" s="26">
        <f>'Daily Returns'!F736</f>
        <v>7.7330190607482396E-3</v>
      </c>
      <c r="B736" s="26">
        <f>'Daily Returns'!B736</f>
        <v>-4.0854123542869592E-3</v>
      </c>
      <c r="C736" s="26">
        <f>'Daily Returns'!C736</f>
        <v>3.1594918136649804E-3</v>
      </c>
      <c r="D736" s="26">
        <f>'Daily Returns'!D736</f>
        <v>-1.6202531645569593E-2</v>
      </c>
      <c r="E736" s="26">
        <f>'Daily Returns'!E736</f>
        <v>-8.5847240051348476E-3</v>
      </c>
    </row>
    <row r="737" spans="1:5" ht="15" customHeight="1" x14ac:dyDescent="0.3">
      <c r="A737" s="25">
        <f>'Daily Returns'!F737</f>
        <v>-5.4587894731392174E-3</v>
      </c>
      <c r="B737" s="25">
        <f>'Daily Returns'!B737</f>
        <v>-1.6627468139802114E-2</v>
      </c>
      <c r="C737" s="25">
        <f>'Daily Returns'!C737</f>
        <v>2.6218473428346021E-2</v>
      </c>
      <c r="D737" s="25">
        <f>'Daily Returns'!D737</f>
        <v>-2.6305255332533194E-3</v>
      </c>
      <c r="E737" s="25">
        <f>'Daily Returns'!E737</f>
        <v>1.1734239702193919E-3</v>
      </c>
    </row>
    <row r="738" spans="1:5" ht="15" customHeight="1" x14ac:dyDescent="0.3">
      <c r="A738" s="26">
        <f>'Daily Returns'!F738</f>
        <v>-1.6915568601799217E-2</v>
      </c>
      <c r="B738" s="26">
        <f>'Daily Returns'!B738</f>
        <v>-9.7335780632960677E-3</v>
      </c>
      <c r="C738" s="26">
        <f>'Daily Returns'!C738</f>
        <v>3.5630415418238495E-4</v>
      </c>
      <c r="D738" s="26">
        <f>'Daily Returns'!D738</f>
        <v>2.2189094662003351E-2</v>
      </c>
      <c r="E738" s="26">
        <f>'Daily Returns'!E738</f>
        <v>-1.2124641312694499E-2</v>
      </c>
    </row>
    <row r="739" spans="1:5" ht="15" customHeight="1" x14ac:dyDescent="0.3">
      <c r="A739" s="25">
        <f>'Daily Returns'!F739</f>
        <v>5.083776604255282E-3</v>
      </c>
      <c r="B739" s="25">
        <f>'Daily Returns'!B739</f>
        <v>-5.7290496517635467E-3</v>
      </c>
      <c r="C739" s="25">
        <f>'Daily Returns'!C739</f>
        <v>-1.9427849822721609E-4</v>
      </c>
      <c r="D739" s="25">
        <f>'Daily Returns'!D739</f>
        <v>1.5705631590756178E-3</v>
      </c>
      <c r="E739" s="25">
        <f>'Daily Returns'!E739</f>
        <v>-2.426052448553781E-2</v>
      </c>
    </row>
    <row r="740" spans="1:5" ht="15" customHeight="1" x14ac:dyDescent="0.3">
      <c r="A740" s="26">
        <f>'Daily Returns'!F740</f>
        <v>-3.6556556389514285E-3</v>
      </c>
      <c r="B740" s="26">
        <f>'Daily Returns'!B740</f>
        <v>6.2139871200985884E-4</v>
      </c>
      <c r="C740" s="26">
        <f>'Daily Returns'!C740</f>
        <v>-8.7118451947210684E-3</v>
      </c>
      <c r="D740" s="26">
        <f>'Daily Returns'!D740</f>
        <v>3.3042114695340692E-3</v>
      </c>
      <c r="E740" s="26">
        <f>'Daily Returns'!E740</f>
        <v>-9.2452830188679766E-3</v>
      </c>
    </row>
    <row r="741" spans="1:5" ht="15" customHeight="1" x14ac:dyDescent="0.3">
      <c r="A741" s="25">
        <f>'Daily Returns'!F741</f>
        <v>-1.7976209785475459E-2</v>
      </c>
      <c r="B741" s="25">
        <f>'Daily Returns'!B741</f>
        <v>-6.8875966804042166E-3</v>
      </c>
      <c r="C741" s="25">
        <f>'Daily Returns'!C741</f>
        <v>1.9602398026692678E-3</v>
      </c>
      <c r="D741" s="25">
        <f>'Daily Returns'!D741</f>
        <v>1.8922690482835534E-2</v>
      </c>
      <c r="E741" s="25">
        <f>'Daily Returns'!E741</f>
        <v>-2.2154510252015428E-2</v>
      </c>
    </row>
    <row r="742" spans="1:5" ht="15" customHeight="1" x14ac:dyDescent="0.3">
      <c r="A742" s="26">
        <f>'Daily Returns'!F742</f>
        <v>-1.3301559617009946E-2</v>
      </c>
      <c r="B742" s="26">
        <f>'Daily Returns'!B742</f>
        <v>1.0516741515547691E-2</v>
      </c>
      <c r="C742" s="26">
        <f>'Daily Returns'!C742</f>
        <v>4.5649444870142887E-3</v>
      </c>
      <c r="D742" s="26">
        <f>'Daily Returns'!D742</f>
        <v>6.354771556919013E-3</v>
      </c>
      <c r="E742" s="26">
        <f>'Daily Returns'!E742</f>
        <v>-3.6181078507746961E-2</v>
      </c>
    </row>
    <row r="743" spans="1:5" ht="15" customHeight="1" x14ac:dyDescent="0.3">
      <c r="A743" s="25">
        <f>'Daily Returns'!F743</f>
        <v>-2.8786707487068433E-3</v>
      </c>
      <c r="B743" s="25">
        <f>'Daily Returns'!B743</f>
        <v>-1.2826282628262834E-2</v>
      </c>
      <c r="C743" s="25">
        <f>'Daily Returns'!C743</f>
        <v>2.6924387750133946E-2</v>
      </c>
      <c r="D743" s="25">
        <f>'Daily Returns'!D743</f>
        <v>3.2661948829614739E-3</v>
      </c>
      <c r="E743" s="25">
        <f>'Daily Returns'!E743</f>
        <v>6.0619667714415038E-3</v>
      </c>
    </row>
    <row r="744" spans="1:5" ht="15" customHeight="1" x14ac:dyDescent="0.3">
      <c r="A744" s="26">
        <f>'Daily Returns'!F744</f>
        <v>1.7633920628881552E-2</v>
      </c>
      <c r="B744" s="26">
        <f>'Daily Returns'!B744</f>
        <v>-2.3706405288351932E-2</v>
      </c>
      <c r="C744" s="26">
        <f>'Daily Returns'!C744</f>
        <v>2.7751438144004138E-2</v>
      </c>
      <c r="D744" s="26">
        <f>'Daily Returns'!D744</f>
        <v>7.1622354856212319E-3</v>
      </c>
      <c r="E744" s="26">
        <f>'Daily Returns'!E744</f>
        <v>-1.8344119616157169E-2</v>
      </c>
    </row>
    <row r="745" spans="1:5" ht="15" customHeight="1" x14ac:dyDescent="0.3">
      <c r="A745" s="25">
        <f>'Daily Returns'!F745</f>
        <v>4.677602066043696E-3</v>
      </c>
      <c r="B745" s="25">
        <f>'Daily Returns'!B745</f>
        <v>-9.9229512024281378E-3</v>
      </c>
      <c r="C745" s="25">
        <f>'Daily Returns'!C745</f>
        <v>2.1835404108745834E-3</v>
      </c>
      <c r="D745" s="25">
        <f>'Daily Returns'!D745</f>
        <v>-2.6398017455016112E-3</v>
      </c>
      <c r="E745" s="25">
        <f>'Daily Returns'!E745</f>
        <v>-3.1826861871416375E-4</v>
      </c>
    </row>
    <row r="746" spans="1:5" ht="15" customHeight="1" x14ac:dyDescent="0.3">
      <c r="A746" s="26">
        <f>'Daily Returns'!F746</f>
        <v>-9.6179609637192104E-3</v>
      </c>
      <c r="B746" s="26">
        <f>'Daily Returns'!B746</f>
        <v>1.9042565735172677E-2</v>
      </c>
      <c r="C746" s="26">
        <f>'Daily Returns'!C746</f>
        <v>2.2094700340626595E-2</v>
      </c>
      <c r="D746" s="26">
        <f>'Daily Returns'!D746</f>
        <v>2.5171501107329967E-2</v>
      </c>
      <c r="E746" s="26">
        <f>'Daily Returns'!E746</f>
        <v>-4.9733933688088428E-2</v>
      </c>
    </row>
    <row r="747" spans="1:5" ht="15" customHeight="1" x14ac:dyDescent="0.3">
      <c r="A747" s="25">
        <f>'Daily Returns'!F747</f>
        <v>-1.1882911278347291E-2</v>
      </c>
      <c r="B747" s="25">
        <f>'Daily Returns'!B747</f>
        <v>-7.6366792016198627E-3</v>
      </c>
      <c r="C747" s="25">
        <f>'Daily Returns'!C747</f>
        <v>-4.7339898519830621E-2</v>
      </c>
      <c r="D747" s="25">
        <f>'Daily Returns'!D747</f>
        <v>-1.2118657463511765E-3</v>
      </c>
      <c r="E747" s="25">
        <f>'Daily Returns'!E747</f>
        <v>2.1298489960992328E-3</v>
      </c>
    </row>
    <row r="748" spans="1:5" ht="15" customHeight="1" x14ac:dyDescent="0.3">
      <c r="A748" s="26">
        <f>'Daily Returns'!F748</f>
        <v>-1.0900765328745211E-2</v>
      </c>
      <c r="B748" s="26">
        <f>'Daily Returns'!B748</f>
        <v>3.2763947997434879E-2</v>
      </c>
      <c r="C748" s="26">
        <f>'Daily Returns'!C748</f>
        <v>-7.6977017199675243E-3</v>
      </c>
      <c r="D748" s="26">
        <f>'Daily Returns'!D748</f>
        <v>-1.0972779067313846E-2</v>
      </c>
      <c r="E748" s="26">
        <f>'Daily Returns'!E748</f>
        <v>-1.2584774094946943E-2</v>
      </c>
    </row>
    <row r="749" spans="1:5" ht="15" customHeight="1" x14ac:dyDescent="0.3">
      <c r="A749" s="25">
        <f>'Daily Returns'!F749</f>
        <v>-1.1207594962966765E-2</v>
      </c>
      <c r="B749" s="25">
        <f>'Daily Returns'!B749</f>
        <v>7.112616426756934E-3</v>
      </c>
      <c r="C749" s="25">
        <f>'Daily Returns'!C749</f>
        <v>5.0022232103156599E-3</v>
      </c>
      <c r="D749" s="25">
        <f>'Daily Returns'!D749</f>
        <v>1.114785577128229E-2</v>
      </c>
      <c r="E749" s="25">
        <f>'Daily Returns'!E749</f>
        <v>-1.1342475029625862E-2</v>
      </c>
    </row>
    <row r="750" spans="1:5" ht="15" customHeight="1" x14ac:dyDescent="0.3">
      <c r="A750" s="26">
        <f>'Daily Returns'!F750</f>
        <v>2.1741061095249736E-3</v>
      </c>
      <c r="B750" s="26">
        <f>'Daily Returns'!B750</f>
        <v>-1.5806288885152141E-2</v>
      </c>
      <c r="C750" s="26">
        <f>'Daily Returns'!C750</f>
        <v>1.6235561805742059E-2</v>
      </c>
      <c r="D750" s="26">
        <f>'Daily Returns'!D750</f>
        <v>1.5297779184470147E-2</v>
      </c>
      <c r="E750" s="26">
        <f>'Daily Returns'!E750</f>
        <v>1.6927592954990255E-2</v>
      </c>
    </row>
    <row r="751" spans="1:5" ht="15" customHeight="1" x14ac:dyDescent="0.3">
      <c r="A751" s="25">
        <f>'Daily Returns'!F751</f>
        <v>1.2971447418061059E-2</v>
      </c>
      <c r="B751" s="25">
        <f>'Daily Returns'!B751</f>
        <v>-1.1276268580215215E-2</v>
      </c>
      <c r="C751" s="25">
        <f>'Daily Returns'!C751</f>
        <v>8.0619455954723425E-3</v>
      </c>
      <c r="D751" s="25">
        <f>'Daily Returns'!D751</f>
        <v>-7.0140801163817443E-3</v>
      </c>
      <c r="E751" s="25">
        <f>'Daily Returns'!E751</f>
        <v>-1.8522082170692739E-3</v>
      </c>
    </row>
    <row r="752" spans="1:5" ht="15" customHeight="1" x14ac:dyDescent="0.3">
      <c r="A752" s="26">
        <f>'Daily Returns'!F752</f>
        <v>3.104748762093491E-2</v>
      </c>
      <c r="B752" s="26">
        <f>'Daily Returns'!B752</f>
        <v>3.686423593110917E-3</v>
      </c>
      <c r="C752" s="26">
        <f>'Daily Returns'!C752</f>
        <v>-3.9331821757437635E-4</v>
      </c>
      <c r="D752" s="26">
        <f>'Daily Returns'!D752</f>
        <v>1.1772708246128086E-2</v>
      </c>
      <c r="E752" s="26">
        <f>'Daily Returns'!E752</f>
        <v>6.1453187130979916E-3</v>
      </c>
    </row>
    <row r="753" spans="1:5" ht="15" customHeight="1" x14ac:dyDescent="0.3">
      <c r="A753" s="25">
        <f>'Daily Returns'!F753</f>
        <v>2.0374576508606999E-2</v>
      </c>
      <c r="B753" s="25">
        <f>'Daily Returns'!B753</f>
        <v>-1.5954088952654238E-2</v>
      </c>
      <c r="C753" s="25">
        <f>'Daily Returns'!C753</f>
        <v>-7.545422983451143E-3</v>
      </c>
      <c r="D753" s="25">
        <f>'Daily Returns'!D753</f>
        <v>1.7376014893726976E-2</v>
      </c>
      <c r="E753" s="25">
        <f>'Daily Returns'!E753</f>
        <v>1.4850299401197714E-3</v>
      </c>
    </row>
    <row r="754" spans="1:5" ht="15" customHeight="1" x14ac:dyDescent="0.3">
      <c r="A754" s="26">
        <f>'Daily Returns'!F754</f>
        <v>-5.1127931136836302E-3</v>
      </c>
      <c r="B754" s="26">
        <f>'Daily Returns'!B754</f>
        <v>3.3183647285239384E-2</v>
      </c>
      <c r="C754" s="26">
        <f>'Daily Returns'!C754</f>
        <v>-1.3510887225292787E-2</v>
      </c>
      <c r="D754" s="26">
        <f>'Daily Returns'!D754</f>
        <v>-5.2406852030701993E-2</v>
      </c>
      <c r="E754" s="26">
        <f>'Daily Returns'!E754</f>
        <v>9.5666315890175074E-3</v>
      </c>
    </row>
    <row r="755" spans="1:5" ht="15" customHeight="1" x14ac:dyDescent="0.3">
      <c r="A755" s="25">
        <f>'Daily Returns'!F755</f>
        <v>1.1015234684695218E-2</v>
      </c>
      <c r="B755" s="25">
        <f>'Daily Returns'!B755</f>
        <v>-1.3377737638293094E-2</v>
      </c>
      <c r="C755" s="25">
        <f>'Daily Returns'!C755</f>
        <v>3.4145265132112884E-2</v>
      </c>
      <c r="D755" s="25">
        <f>'Daily Returns'!D755</f>
        <v>-2.6767514215212857E-2</v>
      </c>
      <c r="E755" s="25">
        <f>'Daily Returns'!E755</f>
        <v>-1.4474556998010077E-2</v>
      </c>
    </row>
    <row r="756" spans="1:5" ht="15" customHeight="1" x14ac:dyDescent="0.3">
      <c r="A756" s="26">
        <f>'Daily Returns'!F756</f>
        <v>1.4748430443260348E-3</v>
      </c>
      <c r="B756" s="26">
        <f>'Daily Returns'!B756</f>
        <v>9.7259568625208369E-3</v>
      </c>
      <c r="C756" s="26">
        <f>'Daily Returns'!C756</f>
        <v>2.0383747866374057E-2</v>
      </c>
      <c r="D756" s="26">
        <f>'Daily Returns'!D756</f>
        <v>6.7243565011299057E-3</v>
      </c>
      <c r="E756" s="26">
        <f>'Daily Returns'!E756</f>
        <v>2.4037883704724103E-4</v>
      </c>
    </row>
    <row r="757" spans="1:5" ht="15" customHeight="1" x14ac:dyDescent="0.3">
      <c r="A757" s="25">
        <f>'Daily Returns'!F757</f>
        <v>2.0097832853023405E-2</v>
      </c>
      <c r="B757" s="25">
        <f>'Daily Returns'!B757</f>
        <v>2.0567737548869598E-2</v>
      </c>
      <c r="C757" s="25">
        <f>'Daily Returns'!C757</f>
        <v>2.3665678418603998E-2</v>
      </c>
      <c r="D757" s="25">
        <f>'Daily Returns'!D757</f>
        <v>-1.4289624965781624E-2</v>
      </c>
      <c r="E757" s="25">
        <f>'Daily Returns'!E757</f>
        <v>-3.9172334238542581E-3</v>
      </c>
    </row>
    <row r="758" spans="1:5" ht="15" customHeight="1" x14ac:dyDescent="0.3">
      <c r="A758" s="26">
        <f>'Daily Returns'!F758</f>
        <v>6.1938968812383748E-3</v>
      </c>
      <c r="B758" s="26">
        <f>'Daily Returns'!B758</f>
        <v>-1.221407950255379E-3</v>
      </c>
      <c r="C758" s="26">
        <f>'Daily Returns'!C758</f>
        <v>7.805888704076106E-4</v>
      </c>
      <c r="D758" s="26">
        <f>'Daily Returns'!D758</f>
        <v>2.6994001333037181E-2</v>
      </c>
      <c r="E758" s="26">
        <f>'Daily Returns'!E758</f>
        <v>1.3872804477900019E-2</v>
      </c>
    </row>
    <row r="759" spans="1:5" ht="15" customHeight="1" x14ac:dyDescent="0.3">
      <c r="A759" s="25">
        <f>'Daily Returns'!F759</f>
        <v>-5.2592749736401758E-3</v>
      </c>
      <c r="B759" s="25">
        <f>'Daily Returns'!B759</f>
        <v>-1.3451917732073462E-2</v>
      </c>
      <c r="C759" s="25">
        <f>'Daily Returns'!C759</f>
        <v>-8.8276244141037158E-3</v>
      </c>
      <c r="D759" s="25">
        <f>'Daily Returns'!D759</f>
        <v>5.4624121146565219E-3</v>
      </c>
      <c r="E759" s="25">
        <f>'Daily Returns'!E759</f>
        <v>-1.0422863669895047E-2</v>
      </c>
    </row>
    <row r="760" spans="1:5" ht="15" customHeight="1" x14ac:dyDescent="0.3">
      <c r="A760" s="26">
        <f>'Daily Returns'!F760</f>
        <v>1.1290565589303133E-2</v>
      </c>
      <c r="B760" s="26">
        <f>'Daily Returns'!B760</f>
        <v>-3.4933513635337851E-3</v>
      </c>
      <c r="C760" s="26">
        <f>'Daily Returns'!C760</f>
        <v>1.0377136469273011E-2</v>
      </c>
      <c r="D760" s="26">
        <f>'Daily Returns'!D760</f>
        <v>-1.1833682964875417E-3</v>
      </c>
      <c r="E760" s="26">
        <f>'Daily Returns'!E760</f>
        <v>1.4716845016231824E-2</v>
      </c>
    </row>
    <row r="761" spans="1:5" ht="15" customHeight="1" x14ac:dyDescent="0.3">
      <c r="A761" s="25">
        <f>'Daily Returns'!F761</f>
        <v>-8.6229833751466194E-3</v>
      </c>
      <c r="B761" s="25">
        <f>'Daily Returns'!B761</f>
        <v>5.3714802668776915E-3</v>
      </c>
      <c r="C761" s="25">
        <f>'Daily Returns'!C761</f>
        <v>1.6013626140062983E-4</v>
      </c>
      <c r="D761" s="25">
        <f>'Daily Returns'!D761</f>
        <v>1.3463299046798428E-3</v>
      </c>
      <c r="E761" s="25">
        <f>'Daily Returns'!E761</f>
        <v>1.0450979927482919E-2</v>
      </c>
    </row>
    <row r="762" spans="1:5" ht="15" customHeight="1" x14ac:dyDescent="0.3">
      <c r="A762" s="26">
        <f>'Daily Returns'!F762</f>
        <v>-6.7691217476741174E-3</v>
      </c>
      <c r="B762" s="26">
        <f>'Daily Returns'!B762</f>
        <v>1.2428997244249524E-2</v>
      </c>
      <c r="C762" s="26">
        <f>'Daily Returns'!C762</f>
        <v>-1.6666060187038054E-3</v>
      </c>
      <c r="D762" s="26">
        <f>'Daily Returns'!D762</f>
        <v>-5.5932021082069055E-3</v>
      </c>
      <c r="E762" s="26">
        <f>'Daily Returns'!E762</f>
        <v>-1.0507059430554947E-2</v>
      </c>
    </row>
    <row r="763" spans="1:5" ht="15" customHeight="1" x14ac:dyDescent="0.3">
      <c r="A763" s="25">
        <f>'Daily Returns'!F763</f>
        <v>-3.1933522014950589E-3</v>
      </c>
      <c r="B763" s="25">
        <f>'Daily Returns'!B763</f>
        <v>1.1109876680368215E-3</v>
      </c>
      <c r="C763" s="25">
        <f>'Daily Returns'!C763</f>
        <v>1.6037790867209082E-4</v>
      </c>
      <c r="D763" s="25">
        <f>'Daily Returns'!D763</f>
        <v>-9.680908599242791E-3</v>
      </c>
      <c r="E763" s="25">
        <f>'Daily Returns'!E763</f>
        <v>1.422137947380896E-2</v>
      </c>
    </row>
    <row r="764" spans="1:5" ht="15" customHeight="1" x14ac:dyDescent="0.3">
      <c r="A764" s="26">
        <f>'Daily Returns'!F764</f>
        <v>-2.6789516621430619E-3</v>
      </c>
      <c r="B764" s="26">
        <f>'Daily Returns'!B764</f>
        <v>-1.9087781600266328E-2</v>
      </c>
      <c r="C764" s="26">
        <f>'Daily Returns'!C764</f>
        <v>-1.0568667181737343E-2</v>
      </c>
      <c r="D764" s="26">
        <f>'Daily Returns'!D764</f>
        <v>2.2937032384904564E-3</v>
      </c>
      <c r="E764" s="26">
        <f>'Daily Returns'!E764</f>
        <v>-7.0810937134843958E-3</v>
      </c>
    </row>
    <row r="765" spans="1:5" ht="15" customHeight="1" x14ac:dyDescent="0.3">
      <c r="A765" s="25">
        <f>'Daily Returns'!F765</f>
        <v>-2.3250579576402676E-2</v>
      </c>
      <c r="B765" s="25">
        <f>'Daily Returns'!B765</f>
        <v>9.0507976015384421E-4</v>
      </c>
      <c r="C765" s="25">
        <f>'Daily Returns'!C765</f>
        <v>-1.4777381618882006E-2</v>
      </c>
      <c r="D765" s="25">
        <f>'Daily Returns'!D765</f>
        <v>1.6182640440254994E-2</v>
      </c>
      <c r="E765" s="25">
        <f>'Daily Returns'!E765</f>
        <v>-1.1627085932167481E-2</v>
      </c>
    </row>
    <row r="766" spans="1:5" ht="15" customHeight="1" x14ac:dyDescent="0.3">
      <c r="A766" s="26">
        <f>'Daily Returns'!F766</f>
        <v>1.1845945862905881E-2</v>
      </c>
      <c r="B766" s="26">
        <f>'Daily Returns'!B766</f>
        <v>-9.0426133152480739E-3</v>
      </c>
      <c r="C766" s="26">
        <f>'Daily Returns'!C766</f>
        <v>-3.6787247087676812E-3</v>
      </c>
      <c r="D766" s="26">
        <f>'Daily Returns'!D766</f>
        <v>-2.3967828418230558E-2</v>
      </c>
      <c r="E766" s="26">
        <f>'Daily Returns'!E766</f>
        <v>-1.4645298025861534E-2</v>
      </c>
    </row>
    <row r="767" spans="1:5" ht="15" customHeight="1" x14ac:dyDescent="0.3">
      <c r="A767" s="25">
        <f>'Daily Returns'!F767</f>
        <v>3.0634910272229633E-2</v>
      </c>
      <c r="B767" s="25">
        <f>'Daily Returns'!B767</f>
        <v>-2.9941827306946504E-2</v>
      </c>
      <c r="C767" s="25">
        <f>'Daily Returns'!C767</f>
        <v>-2.3842401500938071E-2</v>
      </c>
      <c r="D767" s="25">
        <f>'Daily Returns'!D767</f>
        <v>4.2300719661594807E-3</v>
      </c>
      <c r="E767" s="25">
        <f>'Daily Returns'!E767</f>
        <v>-1.9817294214316761E-2</v>
      </c>
    </row>
    <row r="768" spans="1:5" ht="15" customHeight="1" x14ac:dyDescent="0.3">
      <c r="A768" s="26">
        <f>'Daily Returns'!F768</f>
        <v>-1.3694807505617343E-2</v>
      </c>
      <c r="B768" s="26">
        <f>'Daily Returns'!B768</f>
        <v>-9.3479922394026898E-3</v>
      </c>
      <c r="C768" s="26">
        <f>'Daily Returns'!C768</f>
        <v>1.1147586355354301E-2</v>
      </c>
      <c r="D768" s="26">
        <f>'Daily Returns'!D768</f>
        <v>-6.7286652078775606E-3</v>
      </c>
      <c r="E768" s="26">
        <f>'Daily Returns'!E768</f>
        <v>6.336604369051712E-3</v>
      </c>
    </row>
    <row r="769" spans="1:5" ht="15" customHeight="1" x14ac:dyDescent="0.3">
      <c r="A769" s="25">
        <f>'Daily Returns'!F769</f>
        <v>1.5698378782971267E-2</v>
      </c>
      <c r="B769" s="25">
        <f>'Daily Returns'!B769</f>
        <v>-1.9525222551928737E-2</v>
      </c>
      <c r="C769" s="25">
        <f>'Daily Returns'!C769</f>
        <v>1.5388943378724641E-2</v>
      </c>
      <c r="D769" s="25">
        <f>'Daily Returns'!D769</f>
        <v>1.7624056837582927E-3</v>
      </c>
      <c r="E769" s="25">
        <f>'Daily Returns'!E769</f>
        <v>-3.2341051084160068E-3</v>
      </c>
    </row>
    <row r="770" spans="1:5" ht="15" customHeight="1" x14ac:dyDescent="0.3">
      <c r="A770" s="26">
        <f>'Daily Returns'!F770</f>
        <v>-1.8890826208432285E-2</v>
      </c>
      <c r="B770" s="26">
        <f>'Daily Returns'!B770</f>
        <v>8.474063313358789E-3</v>
      </c>
      <c r="C770" s="26">
        <f>'Daily Returns'!C770</f>
        <v>-1.298419283098828E-2</v>
      </c>
      <c r="D770" s="26">
        <f>'Daily Returns'!D770</f>
        <v>-1.1435482984221146E-2</v>
      </c>
      <c r="E770" s="26">
        <f>'Daily Returns'!E770</f>
        <v>-5.3093429688075323E-3</v>
      </c>
    </row>
    <row r="771" spans="1:5" ht="15" customHeight="1" x14ac:dyDescent="0.3">
      <c r="A771" s="25">
        <f>'Daily Returns'!F771</f>
        <v>-5.7575688799225543E-4</v>
      </c>
      <c r="B771" s="25">
        <f>'Daily Returns'!B771</f>
        <v>2.7249264750014955E-2</v>
      </c>
      <c r="C771" s="25">
        <f>'Daily Returns'!C771</f>
        <v>-3.1635726369933198E-2</v>
      </c>
      <c r="D771" s="25">
        <f>'Daily Returns'!D771</f>
        <v>2.6694844558144137E-3</v>
      </c>
      <c r="E771" s="25">
        <f>'Daily Returns'!E771</f>
        <v>1.6606123508043517E-2</v>
      </c>
    </row>
    <row r="772" spans="1:5" ht="15" customHeight="1" x14ac:dyDescent="0.3">
      <c r="A772" s="26">
        <f>'Daily Returns'!F772</f>
        <v>-9.0556667812844074E-3</v>
      </c>
      <c r="B772" s="26">
        <f>'Daily Returns'!B772</f>
        <v>2.6059012562080094E-2</v>
      </c>
      <c r="C772" s="26">
        <f>'Daily Returns'!C772</f>
        <v>7.5366451744317275E-3</v>
      </c>
      <c r="D772" s="26">
        <f>'Daily Returns'!D772</f>
        <v>-1.6473459426479556E-2</v>
      </c>
      <c r="E772" s="26">
        <f>'Daily Returns'!E772</f>
        <v>1.7137023262597563E-2</v>
      </c>
    </row>
    <row r="773" spans="1:5" ht="15" customHeight="1" x14ac:dyDescent="0.3">
      <c r="A773" s="25">
        <f>'Daily Returns'!F773</f>
        <v>2.4895058087746956E-3</v>
      </c>
      <c r="B773" s="25">
        <f>'Daily Returns'!B773</f>
        <v>-7.6305449575764664E-3</v>
      </c>
      <c r="C773" s="25">
        <f>'Daily Returns'!C773</f>
        <v>4.8054119202208812E-3</v>
      </c>
      <c r="D773" s="25">
        <f>'Daily Returns'!D773</f>
        <v>5.6395217685649262E-5</v>
      </c>
      <c r="E773" s="25">
        <f>'Daily Returns'!E773</f>
        <v>2.5571169104291968E-3</v>
      </c>
    </row>
    <row r="774" spans="1:5" ht="15" customHeight="1" x14ac:dyDescent="0.3">
      <c r="A774" s="26">
        <f>'Daily Returns'!F774</f>
        <v>6.288642207529201E-3</v>
      </c>
      <c r="B774" s="26">
        <f>'Daily Returns'!B774</f>
        <v>-6.1398978596432065E-3</v>
      </c>
      <c r="C774" s="26">
        <f>'Daily Returns'!C774</f>
        <v>9.5184293817665447E-4</v>
      </c>
      <c r="D774" s="26">
        <f>'Daily Returns'!D774</f>
        <v>-3.7218744713247895E-3</v>
      </c>
      <c r="E774" s="26">
        <f>'Daily Returns'!E774</f>
        <v>-3.6089723725298534E-2</v>
      </c>
    </row>
    <row r="775" spans="1:5" ht="15" customHeight="1" x14ac:dyDescent="0.3">
      <c r="A775" s="25">
        <f>'Daily Returns'!F775</f>
        <v>-1.4295906359305999E-2</v>
      </c>
      <c r="B775" s="25">
        <f>'Daily Returns'!B775</f>
        <v>9.8729792147806469E-3</v>
      </c>
      <c r="C775" s="25">
        <f>'Daily Returns'!C775</f>
        <v>-2.2938475097799754E-2</v>
      </c>
      <c r="D775" s="25">
        <f>'Daily Returns'!D775</f>
        <v>-2.581083375785348E-2</v>
      </c>
      <c r="E775" s="25">
        <f>'Daily Returns'!E775</f>
        <v>9.6446323911268811E-3</v>
      </c>
    </row>
    <row r="776" spans="1:5" ht="15" customHeight="1" x14ac:dyDescent="0.3">
      <c r="A776" s="26">
        <f>'Daily Returns'!F776</f>
        <v>-1.4988960480584916E-3</v>
      </c>
      <c r="B776" s="26">
        <f>'Daily Returns'!B776</f>
        <v>1.5036304385112317E-2</v>
      </c>
      <c r="C776" s="26">
        <f>'Daily Returns'!C776</f>
        <v>-3.3233369468028712E-2</v>
      </c>
      <c r="D776" s="26">
        <f>'Daily Returns'!D776</f>
        <v>6.9722851664632416E-3</v>
      </c>
      <c r="E776" s="26">
        <f>'Daily Returns'!E776</f>
        <v>-3.6544443627991183E-2</v>
      </c>
    </row>
    <row r="777" spans="1:5" ht="15" customHeight="1" x14ac:dyDescent="0.3">
      <c r="A777" s="25">
        <f>'Daily Returns'!F777</f>
        <v>8.7142250251551288E-3</v>
      </c>
      <c r="B777" s="25">
        <f>'Daily Returns'!B777</f>
        <v>-5.5198828433028601E-3</v>
      </c>
      <c r="C777" s="25">
        <f>'Daily Returns'!C777</f>
        <v>3.078270406534685E-2</v>
      </c>
      <c r="D777" s="25">
        <f>'Daily Returns'!D777</f>
        <v>-4.3852057007674076E-2</v>
      </c>
      <c r="E777" s="25">
        <f>'Daily Returns'!E777</f>
        <v>-1.6397610270751355E-2</v>
      </c>
    </row>
    <row r="778" spans="1:5" ht="15" customHeight="1" x14ac:dyDescent="0.3">
      <c r="A778" s="26">
        <f>'Daily Returns'!F778</f>
        <v>-1.0168567327740779E-2</v>
      </c>
      <c r="B778" s="26">
        <f>'Daily Returns'!B778</f>
        <v>-1.6425011327593569E-3</v>
      </c>
      <c r="C778" s="26">
        <f>'Daily Returns'!C778</f>
        <v>-3.2158170557409732E-3</v>
      </c>
      <c r="D778" s="26">
        <f>'Daily Returns'!D778</f>
        <v>-5.5518677207170106E-3</v>
      </c>
      <c r="E778" s="26">
        <f>'Daily Returns'!E778</f>
        <v>-2.5588007237010916E-3</v>
      </c>
    </row>
    <row r="779" spans="1:5" ht="15" customHeight="1" x14ac:dyDescent="0.3">
      <c r="A779" s="25">
        <f>'Daily Returns'!F779</f>
        <v>1.4411813133190994E-2</v>
      </c>
      <c r="B779" s="25">
        <f>'Daily Returns'!B779</f>
        <v>3.0918477335905078E-2</v>
      </c>
      <c r="C779" s="25">
        <f>'Daily Returns'!C779</f>
        <v>9.4873939538774703E-3</v>
      </c>
      <c r="D779" s="25">
        <f>'Daily Returns'!D779</f>
        <v>-2.3059651677892975E-2</v>
      </c>
      <c r="E779" s="25">
        <f>'Daily Returns'!E779</f>
        <v>2.9462828120546104E-2</v>
      </c>
    </row>
    <row r="780" spans="1:5" ht="15" customHeight="1" x14ac:dyDescent="0.3">
      <c r="A780" s="26">
        <f>'Daily Returns'!F780</f>
        <v>1.4926618121637989E-2</v>
      </c>
      <c r="B780" s="26">
        <f>'Daily Returns'!B780</f>
        <v>-1.2106537530266282E-3</v>
      </c>
      <c r="C780" s="26">
        <f>'Daily Returns'!C780</f>
        <v>-6.5495636254590795E-4</v>
      </c>
      <c r="D780" s="26">
        <f>'Daily Returns'!D780</f>
        <v>4.4723274737561262E-3</v>
      </c>
      <c r="E780" s="26">
        <f>'Daily Returns'!E780</f>
        <v>-4.641562625855819E-2</v>
      </c>
    </row>
    <row r="781" spans="1:5" ht="15" customHeight="1" x14ac:dyDescent="0.3">
      <c r="A781" s="25">
        <f>'Daily Returns'!F781</f>
        <v>-5.0187251637392773E-3</v>
      </c>
      <c r="B781" s="25">
        <f>'Daily Returns'!B781</f>
        <v>-6.3911845730027358E-3</v>
      </c>
      <c r="C781" s="25">
        <f>'Daily Returns'!C781</f>
        <v>7.8962121870138884E-3</v>
      </c>
      <c r="D781" s="25">
        <f>'Daily Returns'!D781</f>
        <v>-4.9471275740523863E-3</v>
      </c>
      <c r="E781" s="25">
        <f>'Daily Returns'!E781</f>
        <v>-2.8455284552845458E-2</v>
      </c>
    </row>
    <row r="782" spans="1:5" ht="15" customHeight="1" x14ac:dyDescent="0.3">
      <c r="A782" s="26">
        <f>'Daily Returns'!F782</f>
        <v>1.6437570507024692E-2</v>
      </c>
      <c r="B782" s="26">
        <f>'Daily Returns'!B782</f>
        <v>1.9962293445712834E-3</v>
      </c>
      <c r="C782" s="26">
        <f>'Daily Returns'!C782</f>
        <v>-2.1951850081868948E-2</v>
      </c>
      <c r="D782" s="26">
        <f>'Daily Returns'!D782</f>
        <v>1.3299359890622179E-2</v>
      </c>
      <c r="E782" s="26">
        <f>'Daily Returns'!E782</f>
        <v>-1.3041351953485875E-2</v>
      </c>
    </row>
    <row r="783" spans="1:5" ht="15" customHeight="1" x14ac:dyDescent="0.3">
      <c r="A783" s="25">
        <f>'Daily Returns'!F783</f>
        <v>-2.1681504713224851E-2</v>
      </c>
      <c r="B783" s="25">
        <f>'Daily Returns'!B783</f>
        <v>8.3563918096293266E-3</v>
      </c>
      <c r="C783" s="25">
        <f>'Daily Returns'!C783</f>
        <v>-7.2652413870444507E-3</v>
      </c>
      <c r="D783" s="25">
        <f>'Daily Returns'!D783</f>
        <v>-2.8212204845140016E-3</v>
      </c>
      <c r="E783" s="25">
        <f>'Daily Returns'!E783</f>
        <v>1.3516489566701605E-2</v>
      </c>
    </row>
    <row r="784" spans="1:5" ht="15" customHeight="1" x14ac:dyDescent="0.3">
      <c r="A784" s="26">
        <f>'Daily Returns'!F784</f>
        <v>-6.6121863332734279E-3</v>
      </c>
      <c r="B784" s="26">
        <f>'Daily Returns'!B784</f>
        <v>-1.3885077657647774E-2</v>
      </c>
      <c r="C784" s="26">
        <f>'Daily Returns'!C784</f>
        <v>-2.3310794455113103E-2</v>
      </c>
      <c r="D784" s="26">
        <f>'Daily Returns'!D784</f>
        <v>-2.9522110830923782E-3</v>
      </c>
      <c r="E784" s="26">
        <f>'Daily Returns'!E784</f>
        <v>-3.0366406822935073E-2</v>
      </c>
    </row>
    <row r="785" spans="1:5" ht="15" customHeight="1" x14ac:dyDescent="0.3">
      <c r="A785" s="25">
        <f>'Daily Returns'!F785</f>
        <v>6.4281828847878942E-3</v>
      </c>
      <c r="B785" s="25">
        <f>'Daily Returns'!B785</f>
        <v>-3.1166518254675101E-3</v>
      </c>
      <c r="C785" s="25">
        <f>'Daily Returns'!C785</f>
        <v>-1.8579866991614697E-2</v>
      </c>
      <c r="D785" s="25">
        <f>'Daily Returns'!D785</f>
        <v>1.8074147184010722E-2</v>
      </c>
      <c r="E785" s="25">
        <f>'Daily Returns'!E785</f>
        <v>-1.4622258326563844E-2</v>
      </c>
    </row>
    <row r="786" spans="1:5" ht="15" customHeight="1" x14ac:dyDescent="0.3">
      <c r="A786" s="26">
        <f>'Daily Returns'!F786</f>
        <v>1.108747729858465E-2</v>
      </c>
      <c r="B786" s="26">
        <f>'Daily Returns'!B786</f>
        <v>-1.5855292541313105E-2</v>
      </c>
      <c r="C786" s="26">
        <f>'Daily Returns'!C786</f>
        <v>-1.191117546045329E-2</v>
      </c>
      <c r="D786" s="26">
        <f>'Daily Returns'!D786</f>
        <v>-6.9074163839068494E-3</v>
      </c>
      <c r="E786" s="26">
        <f>'Daily Returns'!E786</f>
        <v>2.3395968956988995E-2</v>
      </c>
    </row>
    <row r="787" spans="1:5" ht="15" customHeight="1" x14ac:dyDescent="0.3">
      <c r="A787" s="25">
        <f>'Daily Returns'!F787</f>
        <v>1.2848713582568731E-2</v>
      </c>
      <c r="B787" s="25">
        <f>'Daily Returns'!B787</f>
        <v>-3.5171318357159324E-3</v>
      </c>
      <c r="C787" s="25">
        <f>'Daily Returns'!C787</f>
        <v>-3.1274226663599761E-2</v>
      </c>
      <c r="D787" s="25">
        <f>'Daily Returns'!D787</f>
        <v>-1.220256253813925E-4</v>
      </c>
      <c r="E787" s="25">
        <f>'Daily Returns'!E787</f>
        <v>1.7138888888888933E-2</v>
      </c>
    </row>
    <row r="788" spans="1:5" ht="15" customHeight="1" x14ac:dyDescent="0.3">
      <c r="A788" s="26">
        <f>'Daily Returns'!F788</f>
        <v>1.1464759581515759E-2</v>
      </c>
      <c r="B788" s="26">
        <f>'Daily Returns'!B788</f>
        <v>2.6357736536490924E-2</v>
      </c>
      <c r="C788" s="26">
        <f>'Daily Returns'!C788</f>
        <v>-7.5367162078972269E-3</v>
      </c>
      <c r="D788" s="26">
        <f>'Daily Returns'!D788</f>
        <v>2.2882597022211376E-2</v>
      </c>
      <c r="E788" s="26">
        <f>'Daily Returns'!E788</f>
        <v>-1.1033126689788951E-2</v>
      </c>
    </row>
    <row r="789" spans="1:5" ht="15" customHeight="1" x14ac:dyDescent="0.3">
      <c r="A789" s="25">
        <f>'Daily Returns'!F789</f>
        <v>8.037815773180748E-4</v>
      </c>
      <c r="B789" s="25">
        <f>'Daily Returns'!B789</f>
        <v>1.0594042930833639E-2</v>
      </c>
      <c r="C789" s="25">
        <f>'Daily Returns'!C789</f>
        <v>-1.1944742275349364E-2</v>
      </c>
      <c r="D789" s="25">
        <f>'Daily Returns'!D789</f>
        <v>1.0797589930203438E-2</v>
      </c>
      <c r="E789" s="25">
        <f>'Daily Returns'!E789</f>
        <v>1.9633833153839819E-2</v>
      </c>
    </row>
    <row r="790" spans="1:5" ht="15" customHeight="1" x14ac:dyDescent="0.3">
      <c r="A790" s="26">
        <f>'Daily Returns'!F790</f>
        <v>8.1641834794008595E-3</v>
      </c>
      <c r="B790" s="26">
        <f>'Daily Returns'!B790</f>
        <v>-9.8792535675070467E-4</v>
      </c>
      <c r="C790" s="26">
        <f>'Daily Returns'!C790</f>
        <v>-2.033092686426604E-2</v>
      </c>
      <c r="D790" s="26">
        <f>'Daily Returns'!D790</f>
        <v>3.1633616619452395E-2</v>
      </c>
      <c r="E790" s="26">
        <f>'Daily Returns'!E790</f>
        <v>2.0853645325533037E-3</v>
      </c>
    </row>
    <row r="791" spans="1:5" ht="15" customHeight="1" x14ac:dyDescent="0.3">
      <c r="A791" s="25">
        <f>'Daily Returns'!F791</f>
        <v>6.9746294779315411E-4</v>
      </c>
      <c r="B791" s="25">
        <f>'Daily Returns'!B791</f>
        <v>-1.2635974068783713E-2</v>
      </c>
      <c r="C791" s="25">
        <f>'Daily Returns'!C791</f>
        <v>-1.7484758051228343E-3</v>
      </c>
      <c r="D791" s="25">
        <f>'Daily Returns'!D791</f>
        <v>7.6659038901600394E-3</v>
      </c>
      <c r="E791" s="25">
        <f>'Daily Returns'!E791</f>
        <v>-1.664819869733242E-2</v>
      </c>
    </row>
    <row r="792" spans="1:5" ht="15" customHeight="1" x14ac:dyDescent="0.3">
      <c r="A792" s="26">
        <f>'Daily Returns'!F792</f>
        <v>-1.6289274050717097E-2</v>
      </c>
      <c r="B792" s="26">
        <f>'Daily Returns'!B792</f>
        <v>-3.9505898063655013E-3</v>
      </c>
      <c r="C792" s="26">
        <f>'Daily Returns'!C792</f>
        <v>3.9432538263323489E-4</v>
      </c>
      <c r="D792" s="26">
        <f>'Daily Returns'!D792</f>
        <v>-7.948223004428167E-3</v>
      </c>
      <c r="E792" s="26">
        <f>'Daily Returns'!E792</f>
        <v>-1.2999862580733868E-2</v>
      </c>
    </row>
    <row r="793" spans="1:5" ht="15" customHeight="1" x14ac:dyDescent="0.3">
      <c r="A793" s="25">
        <f>'Daily Returns'!F793</f>
        <v>1.0609038309514105E-2</v>
      </c>
      <c r="B793" s="25">
        <f>'Daily Returns'!B793</f>
        <v>1.4859505055583469E-2</v>
      </c>
      <c r="C793" s="25">
        <f>'Daily Returns'!C793</f>
        <v>-1.4162618021816889E-2</v>
      </c>
      <c r="D793" s="25">
        <f>'Daily Returns'!D793</f>
        <v>1.728282018999646E-2</v>
      </c>
      <c r="E793" s="25">
        <f>'Daily Returns'!E793</f>
        <v>-1.1388950768545422E-2</v>
      </c>
    </row>
    <row r="794" spans="1:5" ht="15" customHeight="1" x14ac:dyDescent="0.3">
      <c r="A794" s="26">
        <f>'Daily Returns'!F794</f>
        <v>6.8118476802150772E-3</v>
      </c>
      <c r="B794" s="26">
        <f>'Daily Returns'!B794</f>
        <v>-7.4861011724554703E-3</v>
      </c>
      <c r="C794" s="26">
        <f>'Daily Returns'!C794</f>
        <v>3.6077920870333305E-2</v>
      </c>
      <c r="D794" s="26">
        <f>'Daily Returns'!D794</f>
        <v>1.490774077407744E-2</v>
      </c>
      <c r="E794" s="26">
        <f>'Daily Returns'!E794</f>
        <v>-1.9913810100554864E-2</v>
      </c>
    </row>
    <row r="795" spans="1:5" ht="15" customHeight="1" x14ac:dyDescent="0.3">
      <c r="A795" s="25">
        <f>'Daily Returns'!F795</f>
        <v>-1.0733489920500964E-3</v>
      </c>
      <c r="B795" s="25">
        <f>'Daily Returns'!B795</f>
        <v>2.0409295102878415E-2</v>
      </c>
      <c r="C795" s="25">
        <f>'Daily Returns'!C795</f>
        <v>1.3264527709221425E-2</v>
      </c>
      <c r="D795" s="25">
        <f>'Daily Returns'!D795</f>
        <v>-3.8800509949558706E-3</v>
      </c>
      <c r="E795" s="25">
        <f>'Daily Returns'!E795</f>
        <v>9.1389814921255513E-3</v>
      </c>
    </row>
    <row r="796" spans="1:5" ht="15" customHeight="1" x14ac:dyDescent="0.3">
      <c r="A796" s="26">
        <f>'Daily Returns'!F796</f>
        <v>-6.1896002019990615E-3</v>
      </c>
      <c r="B796" s="26">
        <f>'Daily Returns'!B796</f>
        <v>-1.869666829719005E-2</v>
      </c>
      <c r="C796" s="26">
        <f>'Daily Returns'!C796</f>
        <v>2.0380326474938655E-2</v>
      </c>
      <c r="D796" s="26">
        <f>'Daily Returns'!D796</f>
        <v>8.9032329864781826E-3</v>
      </c>
      <c r="E796" s="26">
        <f>'Daily Returns'!E796</f>
        <v>1.9564845930398145E-2</v>
      </c>
    </row>
    <row r="797" spans="1:5" ht="15" customHeight="1" x14ac:dyDescent="0.3">
      <c r="A797" s="25">
        <f>'Daily Returns'!F797</f>
        <v>2.2434321608682108E-2</v>
      </c>
      <c r="B797" s="25">
        <f>'Daily Returns'!B797</f>
        <v>-3.7108834117973739E-3</v>
      </c>
      <c r="C797" s="25">
        <f>'Daily Returns'!C797</f>
        <v>-5.1907919863893775E-3</v>
      </c>
      <c r="D797" s="25">
        <f>'Daily Returns'!D797</f>
        <v>-8.8246649385029284E-4</v>
      </c>
      <c r="E797" s="25">
        <f>'Daily Returns'!E797</f>
        <v>-2.673109689673471E-2</v>
      </c>
    </row>
    <row r="798" spans="1:5" ht="15" customHeight="1" x14ac:dyDescent="0.3">
      <c r="A798" s="26">
        <f>'Daily Returns'!F798</f>
        <v>-1.0207102648836432E-2</v>
      </c>
      <c r="B798" s="26">
        <f>'Daily Returns'!B798</f>
        <v>2.4460751612185933E-2</v>
      </c>
      <c r="C798" s="26">
        <f>'Daily Returns'!C798</f>
        <v>1.63516744324032E-2</v>
      </c>
      <c r="D798" s="26">
        <f>'Daily Returns'!D798</f>
        <v>8.225227711840909E-3</v>
      </c>
      <c r="E798" s="26">
        <f>'Daily Returns'!E798</f>
        <v>1.3058202272988208E-2</v>
      </c>
    </row>
    <row r="799" spans="1:5" ht="15" customHeight="1" x14ac:dyDescent="0.3">
      <c r="A799" s="25">
        <f>'Daily Returns'!F799</f>
        <v>1.1756817539037452E-3</v>
      </c>
      <c r="B799" s="25">
        <f>'Daily Returns'!B799</f>
        <v>-2.7512481007162977E-2</v>
      </c>
      <c r="C799" s="25">
        <f>'Daily Returns'!C799</f>
        <v>1.4096840659340722E-2</v>
      </c>
      <c r="D799" s="25">
        <f>'Daily Returns'!D799</f>
        <v>8.760402978538383E-4</v>
      </c>
      <c r="E799" s="25">
        <f>'Daily Returns'!E799</f>
        <v>-1.9264001813082555E-2</v>
      </c>
    </row>
    <row r="800" spans="1:5" ht="15" customHeight="1" x14ac:dyDescent="0.3">
      <c r="A800" s="26">
        <f>'Daily Returns'!F800</f>
        <v>-7.6018407282375262E-3</v>
      </c>
      <c r="B800" s="26">
        <f>'Daily Returns'!B800</f>
        <v>1.6795937726689306E-2</v>
      </c>
      <c r="C800" s="26">
        <f>'Daily Returns'!C800</f>
        <v>-1.7363403938301072E-2</v>
      </c>
      <c r="D800" s="26">
        <f>'Daily Returns'!D800</f>
        <v>-1.6411378555799309E-3</v>
      </c>
      <c r="E800" s="26">
        <f>'Daily Returns'!E800</f>
        <v>-8.9546202952136764E-4</v>
      </c>
    </row>
    <row r="801" spans="1:5" ht="15" customHeight="1" x14ac:dyDescent="0.3">
      <c r="A801" s="25">
        <f>'Daily Returns'!F801</f>
        <v>-2.6088262761466026E-4</v>
      </c>
      <c r="B801" s="25">
        <f>'Daily Returns'!B801</f>
        <v>-2.5299089013280568E-2</v>
      </c>
      <c r="C801" s="25">
        <f>'Daily Returns'!C801</f>
        <v>-1.1441273013931105E-2</v>
      </c>
      <c r="D801" s="25">
        <f>'Daily Returns'!D801</f>
        <v>2.7013698630137025E-2</v>
      </c>
      <c r="E801" s="25">
        <f>'Daily Returns'!E801</f>
        <v>6.2160286804671481E-3</v>
      </c>
    </row>
    <row r="802" spans="1:5" ht="15" customHeight="1" x14ac:dyDescent="0.3">
      <c r="A802" s="26">
        <f>'Daily Returns'!F802</f>
        <v>1.3239404745407909E-2</v>
      </c>
      <c r="B802" s="26">
        <f>'Daily Returns'!B802</f>
        <v>-9.5715331343964813E-4</v>
      </c>
      <c r="C802" s="26">
        <f>'Daily Returns'!C802</f>
        <v>5.2011887435398967E-2</v>
      </c>
      <c r="D802" s="26">
        <f>'Daily Returns'!D802</f>
        <v>7.5761617670596351E-3</v>
      </c>
      <c r="E802" s="26">
        <f>'Daily Returns'!E802</f>
        <v>1.9653478148435571E-2</v>
      </c>
    </row>
    <row r="803" spans="1:5" ht="15" customHeight="1" x14ac:dyDescent="0.3">
      <c r="A803" s="25">
        <f>'Daily Returns'!F803</f>
        <v>5.0049545793140688E-3</v>
      </c>
      <c r="B803" s="25">
        <f>'Daily Returns'!B803</f>
        <v>-2.085211902614994E-3</v>
      </c>
      <c r="C803" s="25">
        <f>'Daily Returns'!C803</f>
        <v>-6.6522520731333292E-3</v>
      </c>
      <c r="D803" s="25">
        <f>'Daily Returns'!D803</f>
        <v>-2.0545406407201459E-2</v>
      </c>
      <c r="E803" s="25">
        <f>'Daily Returns'!E803</f>
        <v>0</v>
      </c>
    </row>
    <row r="804" spans="1:5" ht="15" customHeight="1" x14ac:dyDescent="0.3">
      <c r="A804" s="26">
        <f>'Daily Returns'!F804</f>
        <v>-3.132070131476968E-3</v>
      </c>
      <c r="B804" s="26">
        <f>'Daily Returns'!B804</f>
        <v>1.1746766815383818E-2</v>
      </c>
      <c r="C804" s="26">
        <f>'Daily Returns'!C804</f>
        <v>9.1820395636654697E-3</v>
      </c>
      <c r="D804" s="26">
        <f>'Daily Returns'!D804</f>
        <v>3.6762718278640148E-3</v>
      </c>
      <c r="E804" s="26">
        <f>'Daily Returns'!E804</f>
        <v>5.1849973229632683E-3</v>
      </c>
    </row>
    <row r="805" spans="1:5" ht="15" customHeight="1" x14ac:dyDescent="0.3">
      <c r="A805" s="25">
        <f>'Daily Returns'!F805</f>
        <v>9.5806167991564425E-3</v>
      </c>
      <c r="B805" s="25">
        <f>'Daily Returns'!B805</f>
        <v>-4.3371476416410884E-2</v>
      </c>
      <c r="C805" s="25">
        <f>'Daily Returns'!C805</f>
        <v>-3.1898453834011522E-3</v>
      </c>
      <c r="D805" s="25">
        <f>'Daily Returns'!D805</f>
        <v>-4.309183948289854E-3</v>
      </c>
      <c r="E805" s="25">
        <f>'Daily Returns'!E805</f>
        <v>3.1257884556082069E-2</v>
      </c>
    </row>
    <row r="806" spans="1:5" ht="15" customHeight="1" x14ac:dyDescent="0.3">
      <c r="A806" s="26">
        <f>'Daily Returns'!F806</f>
        <v>1.0920035219338734E-2</v>
      </c>
      <c r="B806" s="26">
        <f>'Daily Returns'!B806</f>
        <v>-2.6257439607888903E-2</v>
      </c>
      <c r="C806" s="26">
        <f>'Daily Returns'!C806</f>
        <v>1.5254138928728428E-2</v>
      </c>
      <c r="D806" s="26">
        <f>'Daily Returns'!D806</f>
        <v>5.3015958885583893E-3</v>
      </c>
      <c r="E806" s="26">
        <f>'Daily Returns'!E806</f>
        <v>3.1017234817593563E-2</v>
      </c>
    </row>
    <row r="807" spans="1:5" ht="15" customHeight="1" x14ac:dyDescent="0.3">
      <c r="A807" s="25">
        <f>'Daily Returns'!F807</f>
        <v>-4.0264172543551181E-4</v>
      </c>
      <c r="B807" s="25">
        <f>'Daily Returns'!B807</f>
        <v>-7.5503355704697444E-3</v>
      </c>
      <c r="C807" s="25">
        <f>'Daily Returns'!C807</f>
        <v>-1.6943893257555343E-2</v>
      </c>
      <c r="D807" s="25">
        <f>'Daily Returns'!D807</f>
        <v>4.1973847064521392E-3</v>
      </c>
      <c r="E807" s="25">
        <f>'Daily Returns'!E807</f>
        <v>2.0381258733883561E-2</v>
      </c>
    </row>
    <row r="808" spans="1:5" ht="15" customHeight="1" x14ac:dyDescent="0.3">
      <c r="A808" s="26">
        <f>'Daily Returns'!F808</f>
        <v>-4.5211027682427315E-3</v>
      </c>
      <c r="B808" s="26">
        <f>'Daily Returns'!B808</f>
        <v>8.4530853761614758E-4</v>
      </c>
      <c r="C808" s="26">
        <f>'Daily Returns'!C808</f>
        <v>-1.7136259427850041E-2</v>
      </c>
      <c r="D808" s="26">
        <f>'Daily Returns'!D808</f>
        <v>6.1625850704676985E-3</v>
      </c>
      <c r="E808" s="26">
        <f>'Daily Returns'!E808</f>
        <v>1.4651162790697716E-2</v>
      </c>
    </row>
    <row r="809" spans="1:5" ht="15" customHeight="1" x14ac:dyDescent="0.3">
      <c r="A809" s="25">
        <f>'Daily Returns'!F809</f>
        <v>-7.8655941398757569E-3</v>
      </c>
      <c r="B809" s="25">
        <f>'Daily Returns'!B809</f>
        <v>-1.2065637065637066E-2</v>
      </c>
      <c r="C809" s="25">
        <f>'Daily Returns'!C809</f>
        <v>2.060426790619067E-2</v>
      </c>
      <c r="D809" s="25">
        <f>'Daily Returns'!D809</f>
        <v>-2.636344269279926E-2</v>
      </c>
      <c r="E809" s="25">
        <f>'Daily Returns'!E809</f>
        <v>1.0084804033921561E-2</v>
      </c>
    </row>
    <row r="810" spans="1:5" ht="15" customHeight="1" x14ac:dyDescent="0.3">
      <c r="A810" s="26">
        <f>'Daily Returns'!F810</f>
        <v>-2.1111143845295399E-2</v>
      </c>
      <c r="B810" s="26">
        <f>'Daily Returns'!B810</f>
        <v>-2.7479237909134625E-3</v>
      </c>
      <c r="C810" s="26">
        <f>'Daily Returns'!C810</f>
        <v>4.0989375884996375E-3</v>
      </c>
      <c r="D810" s="26">
        <f>'Daily Returns'!D810</f>
        <v>-2.4287511624090572E-2</v>
      </c>
      <c r="E810" s="26">
        <f>'Daily Returns'!E810</f>
        <v>3.1439880997403191E-2</v>
      </c>
    </row>
    <row r="811" spans="1:5" ht="15" customHeight="1" x14ac:dyDescent="0.3">
      <c r="A811" s="25">
        <f>'Daily Returns'!F811</f>
        <v>1.7943230510350582E-2</v>
      </c>
      <c r="B811" s="25">
        <f>'Daily Returns'!B811</f>
        <v>-1.6104341436531722E-2</v>
      </c>
      <c r="C811" s="25">
        <f>'Daily Returns'!C811</f>
        <v>-4.3106434214649741E-2</v>
      </c>
      <c r="D811" s="25">
        <f>'Daily Returns'!D811</f>
        <v>2.2425295733587487E-2</v>
      </c>
      <c r="E811" s="25">
        <f>'Daily Returns'!E811</f>
        <v>1.4421901735516933E-2</v>
      </c>
    </row>
    <row r="812" spans="1:5" ht="15" customHeight="1" x14ac:dyDescent="0.3">
      <c r="A812" s="26">
        <f>'Daily Returns'!F812</f>
        <v>-7.6792189847526829E-3</v>
      </c>
      <c r="B812" s="26">
        <f>'Daily Returns'!B812</f>
        <v>-5.2900174259397203E-3</v>
      </c>
      <c r="C812" s="26">
        <f>'Daily Returns'!C812</f>
        <v>1.0083512164853123E-3</v>
      </c>
      <c r="D812" s="26">
        <f>'Daily Returns'!D812</f>
        <v>0</v>
      </c>
      <c r="E812" s="26">
        <f>'Daily Returns'!E812</f>
        <v>-1.2337349397590373E-2</v>
      </c>
    </row>
    <row r="813" spans="1:5" ht="15" customHeight="1" x14ac:dyDescent="0.3">
      <c r="A813" s="25">
        <f>'Daily Returns'!F813</f>
        <v>-1.2785861795622702E-2</v>
      </c>
      <c r="B813" s="25">
        <f>'Daily Returns'!B813</f>
        <v>-1.138709879246713E-2</v>
      </c>
      <c r="C813" s="25">
        <f>'Daily Returns'!C813</f>
        <v>-2.6173502772324649E-3</v>
      </c>
      <c r="D813" s="25">
        <f>'Daily Returns'!D813</f>
        <v>2.1494763393101867E-2</v>
      </c>
      <c r="E813" s="25">
        <f>'Daily Returns'!E813</f>
        <v>2.4885332292377813E-3</v>
      </c>
    </row>
    <row r="814" spans="1:5" ht="15" customHeight="1" x14ac:dyDescent="0.3">
      <c r="A814" s="26">
        <f>'Daily Returns'!F814</f>
        <v>-9.2778776716243416E-3</v>
      </c>
      <c r="B814" s="26">
        <f>'Daily Returns'!B814</f>
        <v>3.6706537560914658E-3</v>
      </c>
      <c r="C814" s="26">
        <f>'Daily Returns'!C814</f>
        <v>1.312972618348817E-2</v>
      </c>
      <c r="D814" s="26">
        <f>'Daily Returns'!D814</f>
        <v>8.6961189543185609E-3</v>
      </c>
      <c r="E814" s="26">
        <f>'Daily Returns'!E814</f>
        <v>8.2258457045509756E-3</v>
      </c>
    </row>
    <row r="815" spans="1:5" ht="15" customHeight="1" x14ac:dyDescent="0.3">
      <c r="A815" s="25">
        <f>'Daily Returns'!F815</f>
        <v>-1.2550315654053821E-2</v>
      </c>
      <c r="B815" s="25">
        <f>'Daily Returns'!B815</f>
        <v>8.3864051957877796E-3</v>
      </c>
      <c r="C815" s="25">
        <f>'Daily Returns'!C815</f>
        <v>6.2625143782217086E-3</v>
      </c>
      <c r="D815" s="25">
        <f>'Daily Returns'!D815</f>
        <v>-7.9825448352934918E-3</v>
      </c>
      <c r="E815" s="25">
        <f>'Daily Returns'!E815</f>
        <v>-2.5827942454378656E-2</v>
      </c>
    </row>
    <row r="816" spans="1:5" ht="15" customHeight="1" x14ac:dyDescent="0.3">
      <c r="A816" s="26">
        <f>'Daily Returns'!F816</f>
        <v>1.2942567997223053E-2</v>
      </c>
      <c r="B816" s="26">
        <f>'Daily Returns'!B816</f>
        <v>2.0197598799399814E-2</v>
      </c>
      <c r="C816" s="26">
        <f>'Daily Returns'!C816</f>
        <v>6.6299745977984144E-3</v>
      </c>
      <c r="D816" s="26">
        <f>'Daily Returns'!D816</f>
        <v>-2.623249825653123E-2</v>
      </c>
      <c r="E816" s="26">
        <f>'Daily Returns'!E816</f>
        <v>-1.0456415084989273E-2</v>
      </c>
    </row>
    <row r="817" spans="1:5" ht="15" customHeight="1" x14ac:dyDescent="0.3">
      <c r="A817" s="25">
        <f>'Daily Returns'!F817</f>
        <v>-6.1947791892700166E-4</v>
      </c>
      <c r="B817" s="25">
        <f>'Daily Returns'!B817</f>
        <v>-8.8262335274287319E-3</v>
      </c>
      <c r="C817" s="25">
        <f>'Daily Returns'!C817</f>
        <v>2.1365544274622645E-3</v>
      </c>
      <c r="D817" s="25">
        <f>'Daily Returns'!D817</f>
        <v>8.4839136183340238E-3</v>
      </c>
      <c r="E817" s="25">
        <f>'Daily Returns'!E817</f>
        <v>3.2802483974358886E-2</v>
      </c>
    </row>
    <row r="818" spans="1:5" ht="15" customHeight="1" x14ac:dyDescent="0.3">
      <c r="A818" s="26">
        <f>'Daily Returns'!F818</f>
        <v>-1.0717806310774821E-2</v>
      </c>
      <c r="B818" s="26">
        <f>'Daily Returns'!B818</f>
        <v>-4.081380248593139E-3</v>
      </c>
      <c r="C818" s="26">
        <f>'Daily Returns'!C818</f>
        <v>5.7161083458540781E-3</v>
      </c>
      <c r="D818" s="26">
        <f>'Daily Returns'!D818</f>
        <v>8.5217961324156131E-3</v>
      </c>
      <c r="E818" s="26">
        <f>'Daily Returns'!E818</f>
        <v>-2.0995975367308267E-2</v>
      </c>
    </row>
    <row r="819" spans="1:5" ht="15" customHeight="1" x14ac:dyDescent="0.3">
      <c r="A819" s="25">
        <f>'Daily Returns'!F819</f>
        <v>-8.7796283117446833E-3</v>
      </c>
      <c r="B819" s="25">
        <f>'Daily Returns'!B819</f>
        <v>9.9348028562556089E-4</v>
      </c>
      <c r="C819" s="25">
        <f>'Daily Returns'!C819</f>
        <v>-1.9738269709058814E-2</v>
      </c>
      <c r="D819" s="25">
        <f>'Daily Returns'!D819</f>
        <v>2.80034665800021E-2</v>
      </c>
      <c r="E819" s="25">
        <f>'Daily Returns'!E819</f>
        <v>1.0104011887072769E-2</v>
      </c>
    </row>
    <row r="820" spans="1:5" ht="15" customHeight="1" x14ac:dyDescent="0.3">
      <c r="A820" s="26">
        <f>'Daily Returns'!F820</f>
        <v>-1.0989289776450946E-2</v>
      </c>
      <c r="B820" s="26">
        <f>'Daily Returns'!B820</f>
        <v>-3.7838843744185447E-3</v>
      </c>
      <c r="C820" s="26">
        <f>'Daily Returns'!C820</f>
        <v>-1.3775723055179573E-2</v>
      </c>
      <c r="D820" s="26">
        <f>'Daily Returns'!D820</f>
        <v>-2.7925601981137107E-3</v>
      </c>
      <c r="E820" s="26">
        <f>'Daily Returns'!E820</f>
        <v>6.3989408649603157E-3</v>
      </c>
    </row>
    <row r="821" spans="1:5" ht="15" customHeight="1" x14ac:dyDescent="0.3">
      <c r="A821" s="25">
        <f>'Daily Returns'!F821</f>
        <v>1.3108369245502297E-2</v>
      </c>
      <c r="B821" s="25">
        <f>'Daily Returns'!B821</f>
        <v>-3.7359900373600419E-4</v>
      </c>
      <c r="C821" s="25">
        <f>'Daily Returns'!C821</f>
        <v>-1.443432468597557E-2</v>
      </c>
      <c r="D821" s="25">
        <f>'Daily Returns'!D821</f>
        <v>1.5851209975695413E-3</v>
      </c>
      <c r="E821" s="25">
        <f>'Daily Returns'!E821</f>
        <v>1.8709347365343874E-2</v>
      </c>
    </row>
    <row r="822" spans="1:5" ht="15" customHeight="1" x14ac:dyDescent="0.3">
      <c r="A822" s="26">
        <f>'Daily Returns'!F822</f>
        <v>-1.5840395054059521E-2</v>
      </c>
      <c r="B822" s="26">
        <f>'Daily Returns'!B822</f>
        <v>-2.1365391802665869E-2</v>
      </c>
      <c r="C822" s="26">
        <f>'Daily Returns'!C822</f>
        <v>-2.3063514448639359E-2</v>
      </c>
      <c r="D822" s="26">
        <f>'Daily Returns'!D822</f>
        <v>-2.8064992614475592E-2</v>
      </c>
      <c r="E822" s="26">
        <f>'Daily Returns'!E822</f>
        <v>-1.4204749264653125E-2</v>
      </c>
    </row>
    <row r="823" spans="1:5" ht="15" customHeight="1" x14ac:dyDescent="0.3">
      <c r="A823" s="25">
        <f>'Daily Returns'!F823</f>
        <v>1.2872165079299929E-3</v>
      </c>
      <c r="B823" s="25">
        <f>'Daily Returns'!B823</f>
        <v>5.4738718095600864E-3</v>
      </c>
      <c r="C823" s="25">
        <f>'Daily Returns'!C823</f>
        <v>1.4498341253474467E-2</v>
      </c>
      <c r="D823" s="25">
        <f>'Daily Returns'!D823</f>
        <v>-9.1728180633955589E-3</v>
      </c>
      <c r="E823" s="25">
        <f>'Daily Returns'!E823</f>
        <v>-1.4215365208742725E-2</v>
      </c>
    </row>
    <row r="824" spans="1:5" ht="15" customHeight="1" x14ac:dyDescent="0.3">
      <c r="A824" s="26">
        <f>'Daily Returns'!F824</f>
        <v>5.9023641145855045E-3</v>
      </c>
      <c r="B824" s="26">
        <f>'Daily Returns'!B824</f>
        <v>-1.2344115971386901E-2</v>
      </c>
      <c r="C824" s="26">
        <f>'Daily Returns'!C824</f>
        <v>1.9602817573599003E-2</v>
      </c>
      <c r="D824" s="26">
        <f>'Daily Returns'!D824</f>
        <v>4.2728019720624545E-3</v>
      </c>
      <c r="E824" s="26">
        <f>'Daily Returns'!E824</f>
        <v>1.4764869453946471E-3</v>
      </c>
    </row>
    <row r="825" spans="1:5" ht="15" customHeight="1" x14ac:dyDescent="0.3">
      <c r="A825" s="25">
        <f>'Daily Returns'!F825</f>
        <v>4.532026876700946E-3</v>
      </c>
      <c r="B825" s="25">
        <f>'Daily Returns'!B825</f>
        <v>-1.2947058069478337E-2</v>
      </c>
      <c r="C825" s="25">
        <f>'Daily Returns'!C825</f>
        <v>1.1424608850171053E-2</v>
      </c>
      <c r="D825" s="25">
        <f>'Daily Returns'!D825</f>
        <v>-5.1273659521083627E-3</v>
      </c>
      <c r="E825" s="25">
        <f>'Daily Returns'!E825</f>
        <v>-1.1401331793498398E-2</v>
      </c>
    </row>
    <row r="826" spans="1:5" ht="15" customHeight="1" x14ac:dyDescent="0.3">
      <c r="A826" s="26">
        <f>'Daily Returns'!F826</f>
        <v>2.9221122527621052E-3</v>
      </c>
      <c r="B826" s="26">
        <f>'Daily Returns'!B826</f>
        <v>-2.1688311688311711E-2</v>
      </c>
      <c r="C826" s="26">
        <f>'Daily Returns'!C826</f>
        <v>-1.0010027167624964E-2</v>
      </c>
      <c r="D826" s="26">
        <f>'Daily Returns'!D826</f>
        <v>-1.3377926421404672E-2</v>
      </c>
      <c r="E826" s="26">
        <f>'Daily Returns'!E826</f>
        <v>2.9726841150299596E-2</v>
      </c>
    </row>
    <row r="827" spans="1:5" ht="15" customHeight="1" x14ac:dyDescent="0.3">
      <c r="A827" s="25">
        <f>'Daily Returns'!F827</f>
        <v>-1.2207956130800249E-3</v>
      </c>
      <c r="B827" s="25">
        <f>'Daily Returns'!B827</f>
        <v>1.6394530731448288E-2</v>
      </c>
      <c r="C827" s="25">
        <f>'Daily Returns'!C827</f>
        <v>-8.8733064969917317E-3</v>
      </c>
      <c r="D827" s="25">
        <f>'Daily Returns'!D827</f>
        <v>2.2728535704362344E-2</v>
      </c>
      <c r="E827" s="25">
        <f>'Daily Returns'!E827</f>
        <v>3.9103043761616364E-3</v>
      </c>
    </row>
    <row r="828" spans="1:5" ht="15" customHeight="1" x14ac:dyDescent="0.3">
      <c r="A828" s="26">
        <f>'Daily Returns'!F828</f>
        <v>-2.6275167905913069E-2</v>
      </c>
      <c r="B828" s="26">
        <f>'Daily Returns'!B828</f>
        <v>-1.6325997518448377E-3</v>
      </c>
      <c r="C828" s="26">
        <f>'Daily Returns'!C828</f>
        <v>-7.1709319591230988E-3</v>
      </c>
      <c r="D828" s="26">
        <f>'Daily Returns'!D828</f>
        <v>2.5646598565529227E-2</v>
      </c>
      <c r="E828" s="26">
        <f>'Daily Returns'!E828</f>
        <v>1.6614171335144545E-2</v>
      </c>
    </row>
    <row r="829" spans="1:5" ht="15" customHeight="1" x14ac:dyDescent="0.3">
      <c r="A829" s="25">
        <f>'Daily Returns'!F829</f>
        <v>1.6663071179987137E-4</v>
      </c>
      <c r="B829" s="25">
        <f>'Daily Returns'!B829</f>
        <v>1.6287284144427063E-2</v>
      </c>
      <c r="C829" s="25">
        <f>'Daily Returns'!C829</f>
        <v>2.0225391267627943E-2</v>
      </c>
      <c r="D829" s="25">
        <f>'Daily Returns'!D829</f>
        <v>-1.6422970968425484E-2</v>
      </c>
      <c r="E829" s="25">
        <f>'Daily Returns'!E829</f>
        <v>-1.8352963435977462E-2</v>
      </c>
    </row>
    <row r="830" spans="1:5" ht="15" customHeight="1" x14ac:dyDescent="0.3">
      <c r="A830" s="26">
        <f>'Daily Returns'!F830</f>
        <v>-5.2730811336820782E-3</v>
      </c>
      <c r="B830" s="26">
        <f>'Daily Returns'!B830</f>
        <v>4.0548368410889841E-3</v>
      </c>
      <c r="C830" s="26">
        <f>'Daily Returns'!C830</f>
        <v>9.8906594922737543E-3</v>
      </c>
      <c r="D830" s="26">
        <f>'Daily Returns'!D830</f>
        <v>1.9390283313584706E-3</v>
      </c>
      <c r="E830" s="26">
        <f>'Daily Returns'!E830</f>
        <v>1.1636871777574288E-2</v>
      </c>
    </row>
    <row r="831" spans="1:5" ht="15" customHeight="1" x14ac:dyDescent="0.3">
      <c r="A831" s="25">
        <f>'Daily Returns'!F831</f>
        <v>-1.4619769388865531E-2</v>
      </c>
      <c r="B831" s="25">
        <f>'Daily Returns'!B831</f>
        <v>-2.326923076923074E-2</v>
      </c>
      <c r="C831" s="25">
        <f>'Daily Returns'!C831</f>
        <v>3.1259872774623144E-2</v>
      </c>
      <c r="D831" s="25">
        <f>'Daily Returns'!D831</f>
        <v>-6.3434039350607823E-3</v>
      </c>
      <c r="E831" s="25">
        <f>'Daily Returns'!E831</f>
        <v>4.7512443735263969E-2</v>
      </c>
    </row>
    <row r="832" spans="1:5" ht="15" customHeight="1" x14ac:dyDescent="0.3">
      <c r="A832" s="26">
        <f>'Daily Returns'!F832</f>
        <v>1.6767522808143441E-2</v>
      </c>
      <c r="B832" s="26">
        <f>'Daily Returns'!B832</f>
        <v>-1.4701056638445948E-2</v>
      </c>
      <c r="C832" s="26">
        <f>'Daily Returns'!C832</f>
        <v>-1.6501622838974682E-2</v>
      </c>
      <c r="D832" s="26">
        <f>'Daily Returns'!D832</f>
        <v>2.3750270504219791E-2</v>
      </c>
      <c r="E832" s="26">
        <f>'Daily Returns'!E832</f>
        <v>-5.4565296471433304E-4</v>
      </c>
    </row>
    <row r="833" spans="1:5" ht="15" customHeight="1" x14ac:dyDescent="0.3">
      <c r="A833" s="25">
        <f>'Daily Returns'!F833</f>
        <v>1.4614455307825729E-2</v>
      </c>
      <c r="B833" s="25">
        <f>'Daily Returns'!B833</f>
        <v>1.0790648104975719E-2</v>
      </c>
      <c r="C833" s="25">
        <f>'Daily Returns'!C833</f>
        <v>-3.3843226724362763E-3</v>
      </c>
      <c r="D833" s="25">
        <f>'Daily Returns'!D833</f>
        <v>4.1748137187550627E-3</v>
      </c>
      <c r="E833" s="25">
        <f>'Daily Returns'!E833</f>
        <v>-2.0723384895359447E-2</v>
      </c>
    </row>
    <row r="834" spans="1:5" ht="15" customHeight="1" x14ac:dyDescent="0.3">
      <c r="A834" s="26">
        <f>'Daily Returns'!F834</f>
        <v>-3.8756234626232942E-3</v>
      </c>
      <c r="B834" s="26">
        <f>'Daily Returns'!B834</f>
        <v>-1.0280065897858334E-2</v>
      </c>
      <c r="C834" s="26">
        <f>'Daily Returns'!C834</f>
        <v>-2.1641986467422891E-2</v>
      </c>
      <c r="D834" s="26">
        <f>'Daily Returns'!D834</f>
        <v>9.7884433217555258E-3</v>
      </c>
      <c r="E834" s="26">
        <f>'Daily Returns'!E834</f>
        <v>2.1998188111222026E-2</v>
      </c>
    </row>
    <row r="835" spans="1:5" ht="15" customHeight="1" x14ac:dyDescent="0.3">
      <c r="A835" s="25">
        <f>'Daily Returns'!F835</f>
        <v>4.4099802273307072E-3</v>
      </c>
      <c r="B835" s="25">
        <f>'Daily Returns'!B835</f>
        <v>-1.478127704907117E-2</v>
      </c>
      <c r="C835" s="25">
        <f>'Daily Returns'!C835</f>
        <v>-2.4400141600255561E-2</v>
      </c>
      <c r="D835" s="25">
        <f>'Daily Returns'!D835</f>
        <v>-1.4331874087971649E-2</v>
      </c>
      <c r="E835" s="25">
        <f>'Daily Returns'!E835</f>
        <v>-8.4780434584961397E-3</v>
      </c>
    </row>
    <row r="836" spans="1:5" ht="15" customHeight="1" x14ac:dyDescent="0.3">
      <c r="A836" s="26">
        <f>'Daily Returns'!F836</f>
        <v>3.9977164494014311E-4</v>
      </c>
      <c r="B836" s="26">
        <f>'Daily Returns'!B836</f>
        <v>-2.1626005271338324E-3</v>
      </c>
      <c r="C836" s="26">
        <f>'Daily Returns'!C836</f>
        <v>-2.1505756993796636E-3</v>
      </c>
      <c r="D836" s="26">
        <f>'Daily Returns'!D836</f>
        <v>2.130809496113785E-2</v>
      </c>
      <c r="E836" s="26">
        <f>'Daily Returns'!E836</f>
        <v>-2.3886481901749114E-2</v>
      </c>
    </row>
    <row r="837" spans="1:5" ht="15" customHeight="1" x14ac:dyDescent="0.3">
      <c r="A837" s="25">
        <f>'Daily Returns'!F837</f>
        <v>-2.1071050007071494E-2</v>
      </c>
      <c r="B837" s="25">
        <f>'Daily Returns'!B837</f>
        <v>-2.167287504232937E-3</v>
      </c>
      <c r="C837" s="25">
        <f>'Daily Returns'!C837</f>
        <v>-5.3215077605321508E-3</v>
      </c>
      <c r="D837" s="25">
        <f>'Daily Returns'!D837</f>
        <v>-4.2969558914888384E-3</v>
      </c>
      <c r="E837" s="25">
        <f>'Daily Returns'!E837</f>
        <v>-2.0830887015335489E-2</v>
      </c>
    </row>
    <row r="838" spans="1:5" ht="15" customHeight="1" x14ac:dyDescent="0.3">
      <c r="A838" s="26">
        <f>'Daily Returns'!F838</f>
        <v>-4.5179705963598795E-3</v>
      </c>
      <c r="B838" s="26">
        <f>'Daily Returns'!B838</f>
        <v>-1.3710717437046155E-2</v>
      </c>
      <c r="C838" s="26">
        <f>'Daily Returns'!C838</f>
        <v>-8.4529647793134353E-3</v>
      </c>
      <c r="D838" s="26">
        <f>'Daily Returns'!D838</f>
        <v>2.9740550096188836E-2</v>
      </c>
      <c r="E838" s="26">
        <f>'Daily Returns'!E838</f>
        <v>-2.1849666618698166E-2</v>
      </c>
    </row>
    <row r="839" spans="1:5" ht="15" customHeight="1" x14ac:dyDescent="0.3">
      <c r="A839" s="25">
        <f>'Daily Returns'!F839</f>
        <v>1.022918771687039E-2</v>
      </c>
      <c r="B839" s="25">
        <f>'Daily Returns'!B839</f>
        <v>-4.1979216846742386E-3</v>
      </c>
      <c r="C839" s="25">
        <f>'Daily Returns'!C839</f>
        <v>-2.6474343986618996E-2</v>
      </c>
      <c r="D839" s="25">
        <f>'Daily Returns'!D839</f>
        <v>1.7571320373642965E-2</v>
      </c>
      <c r="E839" s="25">
        <f>'Daily Returns'!E839</f>
        <v>1.0347448691856968E-2</v>
      </c>
    </row>
    <row r="840" spans="1:5" ht="15" customHeight="1" x14ac:dyDescent="0.3">
      <c r="A840" s="26">
        <f>'Daily Returns'!F840</f>
        <v>-8.9946328681242145E-4</v>
      </c>
      <c r="B840" s="26">
        <f>'Daily Returns'!B840</f>
        <v>-6.2888735314443446E-3</v>
      </c>
      <c r="C840" s="26">
        <f>'Daily Returns'!C840</f>
        <v>4.0643647582627529E-3</v>
      </c>
      <c r="D840" s="26">
        <f>'Daily Returns'!D840</f>
        <v>-9.8248399741973393E-3</v>
      </c>
      <c r="E840" s="26">
        <f>'Daily Returns'!E840</f>
        <v>-1.5580633418274519E-2</v>
      </c>
    </row>
    <row r="841" spans="1:5" ht="15" customHeight="1" x14ac:dyDescent="0.3">
      <c r="A841" s="25">
        <f>'Daily Returns'!F841</f>
        <v>-1.0953831222586599E-2</v>
      </c>
      <c r="B841" s="25">
        <f>'Daily Returns'!B841</f>
        <v>-3.5607483135127647E-2</v>
      </c>
      <c r="C841" s="25">
        <f>'Daily Returns'!C841</f>
        <v>-4.4067048151759589E-3</v>
      </c>
      <c r="D841" s="25">
        <f>'Daily Returns'!D841</f>
        <v>8.669506389376044E-3</v>
      </c>
      <c r="E841" s="25">
        <f>'Daily Returns'!E841</f>
        <v>-1.5950496758129255E-2</v>
      </c>
    </row>
    <row r="842" spans="1:5" ht="15" customHeight="1" x14ac:dyDescent="0.3">
      <c r="A842" s="26">
        <f>'Daily Returns'!F842</f>
        <v>1.3182870298875961E-2</v>
      </c>
      <c r="B842" s="26">
        <f>'Daily Returns'!B842</f>
        <v>7.2834787625298868E-3</v>
      </c>
      <c r="C842" s="26">
        <f>'Daily Returns'!C842</f>
        <v>1.6734584499949082E-2</v>
      </c>
      <c r="D842" s="26">
        <f>'Daily Returns'!D842</f>
        <v>4.2229729729729446E-3</v>
      </c>
      <c r="E842" s="26">
        <f>'Daily Returns'!E842</f>
        <v>-6.5637839462872145E-3</v>
      </c>
    </row>
    <row r="843" spans="1:5" ht="15" customHeight="1" x14ac:dyDescent="0.3">
      <c r="A843" s="25">
        <f>'Daily Returns'!F843</f>
        <v>4.3182435775054109E-3</v>
      </c>
      <c r="B843" s="25">
        <f>'Daily Returns'!B843</f>
        <v>-1.0882016036655284E-2</v>
      </c>
      <c r="C843" s="25">
        <f>'Daily Returns'!C843</f>
        <v>1.0297191674997869E-2</v>
      </c>
      <c r="D843" s="25">
        <f>'Daily Returns'!D843</f>
        <v>-3.0673329045663908E-3</v>
      </c>
      <c r="E843" s="25">
        <f>'Daily Returns'!E843</f>
        <v>8.5237302668078763E-3</v>
      </c>
    </row>
    <row r="844" spans="1:5" ht="15" customHeight="1" x14ac:dyDescent="0.3">
      <c r="A844" s="26">
        <f>'Daily Returns'!F844</f>
        <v>-1.2792578331642317E-2</v>
      </c>
      <c r="B844" s="26">
        <f>'Daily Returns'!B844</f>
        <v>1.838448176027788E-2</v>
      </c>
      <c r="C844" s="26">
        <f>'Daily Returns'!C844</f>
        <v>-2.2534476399521584E-2</v>
      </c>
      <c r="D844" s="26">
        <f>'Daily Returns'!D844</f>
        <v>1.22078308768796E-2</v>
      </c>
      <c r="E844" s="26">
        <f>'Daily Returns'!E844</f>
        <v>1.7303460692138325E-2</v>
      </c>
    </row>
    <row r="845" spans="1:5" ht="15" customHeight="1" x14ac:dyDescent="0.3">
      <c r="A845" s="25">
        <f>'Daily Returns'!F845</f>
        <v>-6.0967159957263165E-3</v>
      </c>
      <c r="B845" s="25">
        <f>'Daily Returns'!B845</f>
        <v>-1.5636105188343914E-2</v>
      </c>
      <c r="C845" s="25">
        <f>'Daily Returns'!C845</f>
        <v>7.5742237110935397E-3</v>
      </c>
      <c r="D845" s="25">
        <f>'Daily Returns'!D845</f>
        <v>0</v>
      </c>
      <c r="E845" s="25">
        <f>'Daily Returns'!E845</f>
        <v>2.3768557663946557E-2</v>
      </c>
    </row>
    <row r="846" spans="1:5" ht="15" customHeight="1" x14ac:dyDescent="0.3">
      <c r="A846" s="26">
        <f>'Daily Returns'!F846</f>
        <v>-4.4329308739426516E-3</v>
      </c>
      <c r="B846" s="26">
        <f>'Daily Returns'!B846</f>
        <v>-2.1588447653429668E-2</v>
      </c>
      <c r="C846" s="26">
        <f>'Daily Returns'!C846</f>
        <v>-9.9743334459859202E-3</v>
      </c>
      <c r="D846" s="26">
        <f>'Daily Returns'!D846</f>
        <v>8.3345590037744522E-4</v>
      </c>
      <c r="E846" s="26">
        <f>'Daily Returns'!E846</f>
        <v>-5.7861756020262858E-3</v>
      </c>
    </row>
    <row r="847" spans="1:5" ht="15" customHeight="1" x14ac:dyDescent="0.3">
      <c r="A847" s="25">
        <f>'Daily Returns'!F847</f>
        <v>-1.079853302947526E-2</v>
      </c>
      <c r="B847" s="25">
        <f>'Daily Returns'!B847</f>
        <v>1.6825326544166491E-2</v>
      </c>
      <c r="C847" s="25">
        <f>'Daily Returns'!C847</f>
        <v>2.76319552722138E-2</v>
      </c>
      <c r="D847" s="25">
        <f>'Daily Returns'!D847</f>
        <v>-9.5522680513372617E-3</v>
      </c>
      <c r="E847" s="25">
        <f>'Daily Returns'!E847</f>
        <v>1.9681236416324504E-2</v>
      </c>
    </row>
    <row r="848" spans="1:5" ht="15" customHeight="1" x14ac:dyDescent="0.3">
      <c r="A848" s="26">
        <f>'Daily Returns'!F848</f>
        <v>8.975404300421921E-3</v>
      </c>
      <c r="B848" s="26">
        <f>'Daily Returns'!B848</f>
        <v>-2.1699687930909217E-2</v>
      </c>
      <c r="C848" s="26">
        <f>'Daily Returns'!C848</f>
        <v>7.1823601235504762E-5</v>
      </c>
      <c r="D848" s="26">
        <f>'Daily Returns'!D848</f>
        <v>-1.1325980513378466E-2</v>
      </c>
      <c r="E848" s="26">
        <f>'Daily Returns'!E848</f>
        <v>-1.439905269390168E-2</v>
      </c>
    </row>
    <row r="849" spans="1:5" ht="15" customHeight="1" x14ac:dyDescent="0.3">
      <c r="A849" s="25">
        <f>'Daily Returns'!F849</f>
        <v>-5.7892430021075072E-3</v>
      </c>
      <c r="B849" s="25">
        <f>'Daily Returns'!B849</f>
        <v>-8.4569732937686548E-3</v>
      </c>
      <c r="C849" s="25">
        <f>'Daily Returns'!C849</f>
        <v>-8.2860528583740458E-3</v>
      </c>
      <c r="D849" s="25">
        <f>'Daily Returns'!D849</f>
        <v>1.6008004002000659E-3</v>
      </c>
      <c r="E849" s="25">
        <f>'Daily Returns'!E849</f>
        <v>3.2799096523055425E-2</v>
      </c>
    </row>
    <row r="850" spans="1:5" ht="15" customHeight="1" x14ac:dyDescent="0.3">
      <c r="A850" s="26">
        <f>'Daily Returns'!F850</f>
        <v>1.9103420834203622E-3</v>
      </c>
      <c r="B850" s="26">
        <f>'Daily Returns'!B850</f>
        <v>8.6039203950322145E-3</v>
      </c>
      <c r="C850" s="26">
        <f>'Daily Returns'!C850</f>
        <v>-6.5810317826720454E-3</v>
      </c>
      <c r="D850" s="26">
        <f>'Daily Returns'!D850</f>
        <v>3.1964838677455538E-3</v>
      </c>
      <c r="E850" s="26">
        <f>'Daily Returns'!E850</f>
        <v>1.2191149783630378E-2</v>
      </c>
    </row>
    <row r="851" spans="1:5" ht="15" customHeight="1" x14ac:dyDescent="0.3">
      <c r="A851" s="25">
        <f>'Daily Returns'!F851</f>
        <v>2.0586596444041975E-2</v>
      </c>
      <c r="B851" s="25">
        <f>'Daily Returns'!B851</f>
        <v>-4.3023514576070948E-3</v>
      </c>
      <c r="C851" s="25">
        <f>'Daily Returns'!C851</f>
        <v>-2.5869767272329737E-2</v>
      </c>
      <c r="D851" s="25">
        <f>'Daily Returns'!D851</f>
        <v>1.7325500348501392E-2</v>
      </c>
      <c r="E851" s="25">
        <f>'Daily Returns'!E851</f>
        <v>5.4934951500942089E-3</v>
      </c>
    </row>
    <row r="852" spans="1:5" ht="15" customHeight="1" x14ac:dyDescent="0.3">
      <c r="A852" s="26">
        <f>'Daily Returns'!F852</f>
        <v>-7.2303756711146029E-3</v>
      </c>
      <c r="B852" s="26">
        <f>'Daily Returns'!B852</f>
        <v>-2.2573195261863976E-2</v>
      </c>
      <c r="C852" s="26">
        <f>'Daily Returns'!C852</f>
        <v>2.3067640758444648E-2</v>
      </c>
      <c r="D852" s="26">
        <f>'Daily Returns'!D852</f>
        <v>-2.0896544974062885E-2</v>
      </c>
      <c r="E852" s="26">
        <f>'Daily Returns'!E852</f>
        <v>-2.9534803977597477E-2</v>
      </c>
    </row>
    <row r="853" spans="1:5" ht="15" customHeight="1" x14ac:dyDescent="0.3">
      <c r="A853" s="25">
        <f>'Daily Returns'!F853</f>
        <v>-1.2150803215948495E-2</v>
      </c>
      <c r="B853" s="25">
        <f>'Daily Returns'!B853</f>
        <v>2.8963414634148163E-3</v>
      </c>
      <c r="C853" s="25">
        <f>'Daily Returns'!C853</f>
        <v>3.798151212866531E-2</v>
      </c>
      <c r="D853" s="25">
        <f>'Daily Returns'!D853</f>
        <v>2.1492477632828852E-3</v>
      </c>
      <c r="E853" s="25">
        <f>'Daily Returns'!E853</f>
        <v>1.8891479989635689E-2</v>
      </c>
    </row>
    <row r="854" spans="1:5" ht="15" customHeight="1" x14ac:dyDescent="0.3">
      <c r="A854" s="26">
        <f>'Daily Returns'!F854</f>
        <v>3.7047098661265022E-4</v>
      </c>
      <c r="B854" s="26">
        <f>'Daily Returns'!B854</f>
        <v>-2.3559811521507998E-3</v>
      </c>
      <c r="C854" s="26">
        <f>'Daily Returns'!C854</f>
        <v>-2.9914642847704901E-2</v>
      </c>
      <c r="D854" s="26">
        <f>'Daily Returns'!D854</f>
        <v>2.5486284289276875E-2</v>
      </c>
      <c r="E854" s="26">
        <f>'Daily Returns'!E854</f>
        <v>-8.3689746850075242E-3</v>
      </c>
    </row>
    <row r="855" spans="1:5" ht="15" customHeight="1" x14ac:dyDescent="0.3">
      <c r="A855" s="25">
        <f>'Daily Returns'!F855</f>
        <v>-4.759714461724034E-3</v>
      </c>
      <c r="B855" s="25">
        <f>'Daily Returns'!B855</f>
        <v>1.805439171173898E-2</v>
      </c>
      <c r="C855" s="25">
        <f>'Daily Returns'!C855</f>
        <v>-3.8501003386998732E-3</v>
      </c>
      <c r="D855" s="25">
        <f>'Daily Returns'!D855</f>
        <v>-1.0262146782744095E-2</v>
      </c>
      <c r="E855" s="25">
        <f>'Daily Returns'!E855</f>
        <v>-1.1074068029748444E-2</v>
      </c>
    </row>
    <row r="856" spans="1:5" ht="15" customHeight="1" x14ac:dyDescent="0.3">
      <c r="A856" s="26">
        <f>'Daily Returns'!F856</f>
        <v>-3.4327293256073798E-3</v>
      </c>
      <c r="B856" s="26">
        <f>'Daily Returns'!B856</f>
        <v>8.530380125710977E-3</v>
      </c>
      <c r="C856" s="26">
        <f>'Daily Returns'!C856</f>
        <v>-1.349097107645204E-3</v>
      </c>
      <c r="D856" s="26">
        <f>'Daily Returns'!D856</f>
        <v>-1.6019656019655975E-2</v>
      </c>
      <c r="E856" s="26">
        <f>'Daily Returns'!E856</f>
        <v>-1.5040784572587099E-2</v>
      </c>
    </row>
    <row r="857" spans="1:5" ht="15" customHeight="1" x14ac:dyDescent="0.3">
      <c r="A857" s="25">
        <f>'Daily Returns'!F857</f>
        <v>-9.9807304620552397E-3</v>
      </c>
      <c r="B857" s="25">
        <f>'Daily Returns'!B857</f>
        <v>4.2365336103279479E-2</v>
      </c>
      <c r="C857" s="25">
        <f>'Daily Returns'!C857</f>
        <v>-9.8854456665601088E-3</v>
      </c>
      <c r="D857" s="25">
        <f>'Daily Returns'!D857</f>
        <v>-1.4232920495405626E-2</v>
      </c>
      <c r="E857" s="25">
        <f>'Daily Returns'!E857</f>
        <v>-1.0986117759693709E-2</v>
      </c>
    </row>
    <row r="858" spans="1:5" ht="15" customHeight="1" x14ac:dyDescent="0.3">
      <c r="A858" s="26">
        <f>'Daily Returns'!F858</f>
        <v>-1.7211340502303208E-2</v>
      </c>
      <c r="B858" s="26">
        <f>'Daily Returns'!B858</f>
        <v>-2.2492704107053858E-2</v>
      </c>
      <c r="C858" s="26">
        <f>'Daily Returns'!C858</f>
        <v>2.2070211667527154E-2</v>
      </c>
      <c r="D858" s="26">
        <f>'Daily Returns'!D858</f>
        <v>1.286792644004266E-2</v>
      </c>
      <c r="E858" s="26">
        <f>'Daily Returns'!E858</f>
        <v>9.8013116817115067E-3</v>
      </c>
    </row>
    <row r="859" spans="1:5" ht="15" customHeight="1" x14ac:dyDescent="0.3">
      <c r="A859" s="25">
        <f>'Daily Returns'!F859</f>
        <v>-4.1064877377190679E-3</v>
      </c>
      <c r="B859" s="25">
        <f>'Daily Returns'!B859</f>
        <v>0</v>
      </c>
      <c r="C859" s="25">
        <f>'Daily Returns'!C859</f>
        <v>2.2594844226363316E-2</v>
      </c>
      <c r="D859" s="25">
        <f>'Daily Returns'!D859</f>
        <v>-1.9556844895713483E-2</v>
      </c>
      <c r="E859" s="25">
        <f>'Daily Returns'!E859</f>
        <v>8.5558165172793781E-3</v>
      </c>
    </row>
    <row r="860" spans="1:5" ht="15" customHeight="1" x14ac:dyDescent="0.3">
      <c r="A860" s="26">
        <f>'Daily Returns'!F860</f>
        <v>-1.4304840344470573E-2</v>
      </c>
      <c r="B860" s="26">
        <f>'Daily Returns'!B860</f>
        <v>-1.4417825675380601E-2</v>
      </c>
      <c r="C860" s="26">
        <f>'Daily Returns'!C860</f>
        <v>-3.7311128948320275E-3</v>
      </c>
      <c r="D860" s="26">
        <f>'Daily Returns'!D860</f>
        <v>7.1421283542488702E-4</v>
      </c>
      <c r="E860" s="26">
        <f>'Daily Returns'!E860</f>
        <v>1.4732789962692882E-3</v>
      </c>
    </row>
    <row r="861" spans="1:5" ht="15" customHeight="1" x14ac:dyDescent="0.3">
      <c r="A861" s="25">
        <f>'Daily Returns'!F861</f>
        <v>-1.2133435070953491E-2</v>
      </c>
      <c r="B861" s="25">
        <f>'Daily Returns'!B861</f>
        <v>1.6328038418913986E-2</v>
      </c>
      <c r="C861" s="25">
        <f>'Daily Returns'!C861</f>
        <v>3.7132131600382527E-2</v>
      </c>
      <c r="D861" s="25">
        <f>'Daily Returns'!D861</f>
        <v>-1.0144779771615054E-2</v>
      </c>
      <c r="E861" s="25">
        <f>'Daily Returns'!E861</f>
        <v>3.5876141891090292E-2</v>
      </c>
    </row>
    <row r="862" spans="1:5" ht="15" customHeight="1" x14ac:dyDescent="0.3">
      <c r="A862" s="26">
        <f>'Daily Returns'!F862</f>
        <v>3.2558427650254865E-2</v>
      </c>
      <c r="B862" s="26">
        <f>'Daily Returns'!B862</f>
        <v>1.1703983716196461E-2</v>
      </c>
      <c r="C862" s="26">
        <f>'Daily Returns'!C862</f>
        <v>1.1695207525907795E-3</v>
      </c>
      <c r="D862" s="26">
        <f>'Daily Returns'!D862</f>
        <v>-8.6522119791933791E-3</v>
      </c>
      <c r="E862" s="26">
        <f>'Daily Returns'!E862</f>
        <v>-2.3134892457108747E-2</v>
      </c>
    </row>
    <row r="863" spans="1:5" ht="15" customHeight="1" x14ac:dyDescent="0.3">
      <c r="A863" s="25">
        <f>'Daily Returns'!F863</f>
        <v>2.7831936837179667E-2</v>
      </c>
      <c r="B863" s="25">
        <f>'Daily Returns'!B863</f>
        <v>1.070633038729618E-2</v>
      </c>
      <c r="C863" s="25">
        <f>'Daily Returns'!C863</f>
        <v>-3.6749972288303494E-3</v>
      </c>
      <c r="D863" s="25">
        <f>'Daily Returns'!D863</f>
        <v>-4.4158138085096509E-3</v>
      </c>
      <c r="E863" s="25">
        <f>'Daily Returns'!E863</f>
        <v>5.8855253593453017E-3</v>
      </c>
    </row>
    <row r="864" spans="1:5" ht="15" customHeight="1" x14ac:dyDescent="0.3">
      <c r="A864" s="26">
        <f>'Daily Returns'!F864</f>
        <v>2.7306376112230003E-2</v>
      </c>
      <c r="B864" s="26">
        <f>'Daily Returns'!B864</f>
        <v>-1.0450732262192513E-2</v>
      </c>
      <c r="C864" s="26">
        <f>'Daily Returns'!C864</f>
        <v>5.5371080377927115E-3</v>
      </c>
      <c r="D864" s="26">
        <f>'Daily Returns'!D864</f>
        <v>-5.5312043414734603E-3</v>
      </c>
      <c r="E864" s="26">
        <f>'Daily Returns'!E864</f>
        <v>-2.4639843349340277E-2</v>
      </c>
    </row>
    <row r="865" spans="1:5" ht="15" customHeight="1" x14ac:dyDescent="0.3">
      <c r="A865" s="25">
        <f>'Daily Returns'!F865</f>
        <v>-3.1325103218782422E-3</v>
      </c>
      <c r="B865" s="25">
        <f>'Daily Returns'!B865</f>
        <v>-9.9863495940799366E-3</v>
      </c>
      <c r="C865" s="25">
        <f>'Daily Returns'!C865</f>
        <v>-1.2562236690923009E-2</v>
      </c>
      <c r="D865" s="25">
        <f>'Daily Returns'!D865</f>
        <v>-5.3520831147025405E-3</v>
      </c>
      <c r="E865" s="25">
        <f>'Daily Returns'!E865</f>
        <v>1.1137401113740035E-2</v>
      </c>
    </row>
    <row r="866" spans="1:5" ht="15" customHeight="1" x14ac:dyDescent="0.3">
      <c r="A866" s="26">
        <f>'Daily Returns'!F866</f>
        <v>-1.2097897637085856E-2</v>
      </c>
      <c r="B866" s="26">
        <f>'Daily Returns'!B866</f>
        <v>-2.7793904208998636E-2</v>
      </c>
      <c r="C866" s="26">
        <f>'Daily Returns'!C866</f>
        <v>2.6219843301528063E-2</v>
      </c>
      <c r="D866" s="26">
        <f>'Daily Returns'!D866</f>
        <v>-4.7478370964340269E-4</v>
      </c>
      <c r="E866" s="26">
        <f>'Daily Returns'!E866</f>
        <v>1.1322003450965609E-2</v>
      </c>
    </row>
    <row r="867" spans="1:5" ht="15" customHeight="1" x14ac:dyDescent="0.3">
      <c r="A867" s="25">
        <f>'Daily Returns'!F867</f>
        <v>6.6468028112947703E-3</v>
      </c>
      <c r="B867" s="25">
        <f>'Daily Returns'!B867</f>
        <v>2.396058819138619E-2</v>
      </c>
      <c r="C867" s="25">
        <f>'Daily Returns'!C867</f>
        <v>1.1473110422388593E-2</v>
      </c>
      <c r="D867" s="25">
        <f>'Daily Returns'!D867</f>
        <v>4.6445347548424313E-3</v>
      </c>
      <c r="E867" s="25">
        <f>'Daily Returns'!E867</f>
        <v>3.0383770392184623E-3</v>
      </c>
    </row>
    <row r="868" spans="1:5" ht="15" customHeight="1" x14ac:dyDescent="0.3">
      <c r="A868" s="26">
        <f>'Daily Returns'!F868</f>
        <v>-1.1310590916214792E-2</v>
      </c>
      <c r="B868" s="26">
        <f>'Daily Returns'!B868</f>
        <v>7.3625892987315266E-3</v>
      </c>
      <c r="C868" s="26">
        <f>'Daily Returns'!C868</f>
        <v>-5.6631818446029013E-3</v>
      </c>
      <c r="D868" s="26">
        <f>'Daily Returns'!D868</f>
        <v>-6.7769897557131186E-3</v>
      </c>
      <c r="E868" s="26">
        <f>'Daily Returns'!E868</f>
        <v>1.0042874452418683E-2</v>
      </c>
    </row>
    <row r="869" spans="1:5" ht="15" customHeight="1" x14ac:dyDescent="0.3">
      <c r="A869" s="25">
        <f>'Daily Returns'!F869</f>
        <v>-2.7759440182765524E-3</v>
      </c>
      <c r="B869" s="25">
        <f>'Daily Returns'!B869</f>
        <v>-3.2563861350313962E-3</v>
      </c>
      <c r="C869" s="25">
        <f>'Daily Returns'!C869</f>
        <v>-2.6806964800200729E-3</v>
      </c>
      <c r="D869" s="25">
        <f>'Daily Returns'!D869</f>
        <v>7.8282026869776252E-3</v>
      </c>
      <c r="E869" s="25">
        <f>'Daily Returns'!E869</f>
        <v>1.1511753985281455E-2</v>
      </c>
    </row>
    <row r="870" spans="1:5" ht="15" customHeight="1" x14ac:dyDescent="0.3">
      <c r="A870" s="26">
        <f>'Daily Returns'!F870</f>
        <v>-1.0213800088086589E-2</v>
      </c>
      <c r="B870" s="26">
        <f>'Daily Returns'!B870</f>
        <v>1.321330042108315E-2</v>
      </c>
      <c r="C870" s="26">
        <f>'Daily Returns'!C870</f>
        <v>-1.541566184351561E-2</v>
      </c>
      <c r="D870" s="26">
        <f>'Daily Returns'!D870</f>
        <v>-7.1376089010180815E-3</v>
      </c>
      <c r="E870" s="26">
        <f>'Daily Returns'!E870</f>
        <v>9.6245951740182179E-3</v>
      </c>
    </row>
    <row r="871" spans="1:5" ht="15" customHeight="1" x14ac:dyDescent="0.3">
      <c r="A871" s="25">
        <f>'Daily Returns'!F871</f>
        <v>1.0492897857216287E-2</v>
      </c>
      <c r="B871" s="25">
        <f>'Daily Returns'!B871</f>
        <v>1.0748065348237317E-2</v>
      </c>
      <c r="C871" s="25">
        <f>'Daily Returns'!C871</f>
        <v>5.2303479244449379E-3</v>
      </c>
      <c r="D871" s="25">
        <f>'Daily Returns'!D871</f>
        <v>-6.766042922084793E-3</v>
      </c>
      <c r="E871" s="25">
        <f>'Daily Returns'!E871</f>
        <v>-2.5684467335321235E-2</v>
      </c>
    </row>
    <row r="872" spans="1:5" ht="15" customHeight="1" x14ac:dyDescent="0.3">
      <c r="A872" s="26">
        <f>'Daily Returns'!F872</f>
        <v>-8.4942034884799599E-4</v>
      </c>
      <c r="B872" s="26">
        <f>'Daily Returns'!B872</f>
        <v>1.382390472139507E-2</v>
      </c>
      <c r="C872" s="26">
        <f>'Daily Returns'!C872</f>
        <v>-2.2225418365792976E-2</v>
      </c>
      <c r="D872" s="26">
        <f>'Daily Returns'!D872</f>
        <v>1.0643959552953093E-3</v>
      </c>
      <c r="E872" s="26">
        <f>'Daily Returns'!E872</f>
        <v>1.7064292504231329E-2</v>
      </c>
    </row>
    <row r="873" spans="1:5" ht="15" customHeight="1" x14ac:dyDescent="0.3">
      <c r="A873" s="25">
        <f>'Daily Returns'!F873</f>
        <v>4.0227399689339522E-3</v>
      </c>
      <c r="B873" s="25">
        <f>'Daily Returns'!B873</f>
        <v>-2.2166282078176267E-2</v>
      </c>
      <c r="C873" s="25">
        <f>'Daily Returns'!C873</f>
        <v>6.4895172664422736E-4</v>
      </c>
      <c r="D873" s="25">
        <f>'Daily Returns'!D873</f>
        <v>-2.6634768740031851E-2</v>
      </c>
      <c r="E873" s="25">
        <f>'Daily Returns'!E873</f>
        <v>3.3533179839058923E-2</v>
      </c>
    </row>
    <row r="874" spans="1:5" ht="15" customHeight="1" x14ac:dyDescent="0.3">
      <c r="A874" s="26">
        <f>'Daily Returns'!F874</f>
        <v>-6.5258856192983534E-3</v>
      </c>
      <c r="B874" s="26">
        <f>'Daily Returns'!B874</f>
        <v>-9.5823798627002535E-3</v>
      </c>
      <c r="C874" s="26">
        <f>'Daily Returns'!C874</f>
        <v>-8.5260190581603577E-3</v>
      </c>
      <c r="D874" s="26">
        <f>'Daily Returns'!D874</f>
        <v>-1.2562127915233007E-2</v>
      </c>
      <c r="E874" s="26">
        <f>'Daily Returns'!E874</f>
        <v>2.1703648153866585E-2</v>
      </c>
    </row>
    <row r="875" spans="1:5" ht="15" customHeight="1" x14ac:dyDescent="0.3">
      <c r="A875" s="25">
        <f>'Daily Returns'!F875</f>
        <v>-1.8916535999622247E-3</v>
      </c>
      <c r="B875" s="25">
        <f>'Daily Returns'!B875</f>
        <v>3.0324909747291517E-3</v>
      </c>
      <c r="C875" s="25">
        <f>'Daily Returns'!C875</f>
        <v>1.0596546310832105E-2</v>
      </c>
      <c r="D875" s="25">
        <f>'Daily Returns'!D875</f>
        <v>-1.0122241274406682E-2</v>
      </c>
      <c r="E875" s="25">
        <f>'Daily Returns'!E875</f>
        <v>-4.447130952894957E-3</v>
      </c>
    </row>
    <row r="876" spans="1:5" ht="15" customHeight="1" x14ac:dyDescent="0.3">
      <c r="A876" s="26">
        <f>'Daily Returns'!F876</f>
        <v>-2.0198876474433386E-2</v>
      </c>
      <c r="B876" s="26">
        <f>'Daily Returns'!B876</f>
        <v>5.2548229196661264E-3</v>
      </c>
      <c r="C876" s="26">
        <f>'Daily Returns'!C876</f>
        <v>1.8985976267529667E-2</v>
      </c>
      <c r="D876" s="26">
        <f>'Daily Returns'!D876</f>
        <v>-1.5701832811801531E-2</v>
      </c>
      <c r="E876" s="26">
        <f>'Daily Returns'!E876</f>
        <v>3.764420157862771E-2</v>
      </c>
    </row>
    <row r="877" spans="1:5" ht="15" customHeight="1" x14ac:dyDescent="0.3">
      <c r="A877" s="25">
        <f>'Daily Returns'!F877</f>
        <v>-7.8528291743624481E-4</v>
      </c>
      <c r="B877" s="25">
        <f>'Daily Returns'!B877</f>
        <v>1.3533834586466066E-2</v>
      </c>
      <c r="C877" s="25">
        <f>'Daily Returns'!C877</f>
        <v>1.4473851365657351E-2</v>
      </c>
      <c r="D877" s="25">
        <f>'Daily Returns'!D877</f>
        <v>-3.2358785126312415E-3</v>
      </c>
      <c r="E877" s="25">
        <f>'Daily Returns'!E877</f>
        <v>5.1408509571178561E-3</v>
      </c>
    </row>
    <row r="878" spans="1:5" ht="15" customHeight="1" x14ac:dyDescent="0.3">
      <c r="A878" s="26">
        <f>'Daily Returns'!F878</f>
        <v>-3.1897351902363371E-3</v>
      </c>
      <c r="B878" s="26">
        <f>'Daily Returns'!B878</f>
        <v>-1.3635721350854731E-2</v>
      </c>
      <c r="C878" s="26">
        <f>'Daily Returns'!C878</f>
        <v>-1.5694917518198439E-3</v>
      </c>
      <c r="D878" s="26">
        <f>'Daily Returns'!D878</f>
        <v>-1.1163002619888415E-2</v>
      </c>
      <c r="E878" s="26">
        <f>'Daily Returns'!E878</f>
        <v>2.2641274065449676E-2</v>
      </c>
    </row>
    <row r="879" spans="1:5" ht="15" customHeight="1" x14ac:dyDescent="0.3">
      <c r="A879" s="25">
        <f>'Daily Returns'!F879</f>
        <v>5.0814077534986025E-3</v>
      </c>
      <c r="B879" s="25">
        <f>'Daily Returns'!B879</f>
        <v>2.0772150992048708E-3</v>
      </c>
      <c r="C879" s="25">
        <f>'Daily Returns'!C879</f>
        <v>-1.1915114217866818E-2</v>
      </c>
      <c r="D879" s="25">
        <f>'Daily Returns'!D879</f>
        <v>-1.3938486349498997E-2</v>
      </c>
      <c r="E879" s="25">
        <f>'Daily Returns'!E879</f>
        <v>1.3377518449996918E-2</v>
      </c>
    </row>
    <row r="880" spans="1:5" ht="15" customHeight="1" x14ac:dyDescent="0.3">
      <c r="A880" s="26">
        <f>'Daily Returns'!F880</f>
        <v>-4.972326200543776E-3</v>
      </c>
      <c r="B880" s="26">
        <f>'Daily Returns'!B880</f>
        <v>3.0879199428162925E-2</v>
      </c>
      <c r="C880" s="26">
        <f>'Daily Returns'!C880</f>
        <v>-4.6965837642060698E-3</v>
      </c>
      <c r="D880" s="26">
        <f>'Daily Returns'!D880</f>
        <v>1.6413551401869172E-2</v>
      </c>
      <c r="E880" s="26">
        <f>'Daily Returns'!E880</f>
        <v>2.774601263918143E-2</v>
      </c>
    </row>
    <row r="881" spans="1:5" ht="15" customHeight="1" x14ac:dyDescent="0.3">
      <c r="A881" s="25">
        <f>'Daily Returns'!F881</f>
        <v>-1.0915776301414626E-2</v>
      </c>
      <c r="B881" s="25">
        <f>'Daily Returns'!B881</f>
        <v>9.9154070170573202E-3</v>
      </c>
      <c r="C881" s="25">
        <f>'Daily Returns'!C881</f>
        <v>3.0608080533252275E-4</v>
      </c>
      <c r="D881" s="25">
        <f>'Daily Returns'!D881</f>
        <v>3.3159013849778811E-2</v>
      </c>
      <c r="E881" s="25">
        <f>'Daily Returns'!E881</f>
        <v>-2.9612711798235263E-2</v>
      </c>
    </row>
    <row r="882" spans="1:5" ht="15" customHeight="1" x14ac:dyDescent="0.3">
      <c r="A882" s="26">
        <f>'Daily Returns'!F882</f>
        <v>1.2439927418238397E-3</v>
      </c>
      <c r="B882" s="26">
        <f>'Daily Returns'!B882</f>
        <v>1.235839340885673E-2</v>
      </c>
      <c r="C882" s="26">
        <f>'Daily Returns'!C882</f>
        <v>9.2051133852377575E-3</v>
      </c>
      <c r="D882" s="26">
        <f>'Daily Returns'!D882</f>
        <v>1.6075203025920495E-2</v>
      </c>
      <c r="E882" s="26">
        <f>'Daily Returns'!E882</f>
        <v>-1.4523948421878511E-2</v>
      </c>
    </row>
    <row r="883" spans="1:5" ht="15" customHeight="1" x14ac:dyDescent="0.3">
      <c r="A883" s="25">
        <f>'Daily Returns'!F883</f>
        <v>1.6915787704283671E-2</v>
      </c>
      <c r="B883" s="25">
        <f>'Daily Returns'!B883</f>
        <v>6.7819599864491883E-5</v>
      </c>
      <c r="C883" s="25">
        <f>'Daily Returns'!C883</f>
        <v>-9.432770455215244E-3</v>
      </c>
      <c r="D883" s="25">
        <f>'Daily Returns'!D883</f>
        <v>5.0911479717523781E-3</v>
      </c>
      <c r="E883" s="25">
        <f>'Daily Returns'!E883</f>
        <v>1.0390087570679198E-2</v>
      </c>
    </row>
    <row r="884" spans="1:5" ht="15" customHeight="1" x14ac:dyDescent="0.3">
      <c r="A884" s="26">
        <f>'Daily Returns'!F884</f>
        <v>-1.2723062259328121E-3</v>
      </c>
      <c r="B884" s="26">
        <f>'Daily Returns'!B884</f>
        <v>1.0986030109860332E-2</v>
      </c>
      <c r="C884" s="26">
        <f>'Daily Returns'!C884</f>
        <v>-1.6460485482294031E-2</v>
      </c>
      <c r="D884" s="26">
        <f>'Daily Returns'!D884</f>
        <v>1.808278867102393E-2</v>
      </c>
      <c r="E884" s="26">
        <f>'Daily Returns'!E884</f>
        <v>-4.0405672956483089E-3</v>
      </c>
    </row>
    <row r="885" spans="1:5" ht="15" customHeight="1" x14ac:dyDescent="0.3">
      <c r="A885" s="25">
        <f>'Daily Returns'!F885</f>
        <v>2.0566195905028534E-2</v>
      </c>
      <c r="B885" s="25">
        <f>'Daily Returns'!B885</f>
        <v>2.5288435739200307E-2</v>
      </c>
      <c r="C885" s="25">
        <f>'Daily Returns'!C885</f>
        <v>3.6480260029910592E-3</v>
      </c>
      <c r="D885" s="25">
        <f>'Daily Returns'!D885</f>
        <v>5.3498823025893436E-3</v>
      </c>
      <c r="E885" s="25">
        <f>'Daily Returns'!E885</f>
        <v>-6.389711550164376E-3</v>
      </c>
    </row>
    <row r="886" spans="1:5" ht="15" customHeight="1" x14ac:dyDescent="0.3">
      <c r="A886" s="26">
        <f>'Daily Returns'!F886</f>
        <v>-2.8009814672796878E-2</v>
      </c>
      <c r="B886" s="26">
        <f>'Daily Returns'!B886</f>
        <v>1.8318613019300042E-3</v>
      </c>
      <c r="C886" s="26">
        <f>'Daily Returns'!C886</f>
        <v>2.456481856314759E-2</v>
      </c>
      <c r="D886" s="26">
        <f>'Daily Returns'!D886</f>
        <v>-3.7249893571732048E-3</v>
      </c>
      <c r="E886" s="26">
        <f>'Daily Returns'!E886</f>
        <v>2.8887573239695475E-2</v>
      </c>
    </row>
    <row r="887" spans="1:5" ht="15" customHeight="1" x14ac:dyDescent="0.3">
      <c r="A887" s="25">
        <f>'Daily Returns'!F887</f>
        <v>-9.4675042328691908E-3</v>
      </c>
      <c r="B887" s="25">
        <f>'Daily Returns'!B887</f>
        <v>1.7240253379481582E-2</v>
      </c>
      <c r="C887" s="25">
        <f>'Daily Returns'!C887</f>
        <v>3.3618319840609326E-2</v>
      </c>
      <c r="D887" s="25">
        <f>'Daily Returns'!D887</f>
        <v>2.1899369725456499E-3</v>
      </c>
      <c r="E887" s="25">
        <f>'Daily Returns'!E887</f>
        <v>-1.0119449184491492E-2</v>
      </c>
    </row>
    <row r="888" spans="1:5" ht="15" customHeight="1" x14ac:dyDescent="0.3">
      <c r="A888" s="26">
        <f>'Daily Returns'!F888</f>
        <v>-2.6952771261622745E-3</v>
      </c>
      <c r="B888" s="26">
        <f>'Daily Returns'!B888</f>
        <v>-1.1812287346729173E-2</v>
      </c>
      <c r="C888" s="26">
        <f>'Daily Returns'!C888</f>
        <v>1.4591059925824757E-2</v>
      </c>
      <c r="D888" s="26">
        <f>'Daily Returns'!D888</f>
        <v>-4.9032670681660052E-3</v>
      </c>
      <c r="E888" s="26">
        <f>'Daily Returns'!E888</f>
        <v>6.3141436818472925E-3</v>
      </c>
    </row>
    <row r="889" spans="1:5" ht="15" customHeight="1" x14ac:dyDescent="0.3">
      <c r="A889" s="25">
        <f>'Daily Returns'!F889</f>
        <v>-1.4756746124631417E-2</v>
      </c>
      <c r="B889" s="25">
        <f>'Daily Returns'!B889</f>
        <v>8.5103618527902439E-3</v>
      </c>
      <c r="C889" s="25">
        <f>'Daily Returns'!C889</f>
        <v>-1.6874288554342386E-2</v>
      </c>
      <c r="D889" s="25">
        <f>'Daily Returns'!D889</f>
        <v>-3.4331315944512858E-2</v>
      </c>
      <c r="E889" s="25">
        <f>'Daily Returns'!E889</f>
        <v>7.5891878971376262E-3</v>
      </c>
    </row>
    <row r="890" spans="1:5" ht="15" customHeight="1" x14ac:dyDescent="0.3">
      <c r="A890" s="26">
        <f>'Daily Returns'!F890</f>
        <v>-3.0690793591781368E-2</v>
      </c>
      <c r="B890" s="26">
        <f>'Daily Returns'!B890</f>
        <v>1.2818861118268363E-2</v>
      </c>
      <c r="C890" s="26">
        <f>'Daily Returns'!C890</f>
        <v>2.5440105674284959E-2</v>
      </c>
      <c r="D890" s="26">
        <f>'Daily Returns'!D890</f>
        <v>-1.2867443150305167E-2</v>
      </c>
      <c r="E890" s="26">
        <f>'Daily Returns'!E890</f>
        <v>-3.7956666139489941E-3</v>
      </c>
    </row>
    <row r="891" spans="1:5" ht="15" customHeight="1" x14ac:dyDescent="0.3">
      <c r="A891" s="25">
        <f>'Daily Returns'!F891</f>
        <v>9.0456718368225376E-4</v>
      </c>
      <c r="B891" s="25">
        <f>'Daily Returns'!B891</f>
        <v>-1.0048972842332788E-2</v>
      </c>
      <c r="C891" s="25">
        <f>'Daily Returns'!C891</f>
        <v>-1.4320814879016541E-2</v>
      </c>
      <c r="D891" s="25">
        <f>'Daily Returns'!D891</f>
        <v>-1.2641869873019441E-2</v>
      </c>
      <c r="E891" s="25">
        <f>'Daily Returns'!E891</f>
        <v>-4.3240990633433916E-2</v>
      </c>
    </row>
    <row r="892" spans="1:5" ht="15" customHeight="1" x14ac:dyDescent="0.3">
      <c r="A892" s="26">
        <f>'Daily Returns'!F892</f>
        <v>-1.0923689361341341E-2</v>
      </c>
      <c r="B892" s="26">
        <f>'Daily Returns'!B892</f>
        <v>1.5483456472855744E-2</v>
      </c>
      <c r="C892" s="26">
        <f>'Daily Returns'!C892</f>
        <v>-1.2996127783155778E-2</v>
      </c>
      <c r="D892" s="26">
        <f>'Daily Returns'!D892</f>
        <v>8.0236726796790343E-3</v>
      </c>
      <c r="E892" s="26">
        <f>'Daily Returns'!E892</f>
        <v>-3.4700184597515234E-2</v>
      </c>
    </row>
    <row r="893" spans="1:5" ht="15" customHeight="1" x14ac:dyDescent="0.3">
      <c r="A893" s="25">
        <f>'Daily Returns'!F893</f>
        <v>-8.751605762386018E-3</v>
      </c>
      <c r="B893" s="25">
        <f>'Daily Returns'!B893</f>
        <v>-8.9839301531065164E-3</v>
      </c>
      <c r="C893" s="25">
        <f>'Daily Returns'!C893</f>
        <v>8.1406468381433738E-3</v>
      </c>
      <c r="D893" s="25">
        <f>'Daily Returns'!D893</f>
        <v>-7.2259229987578907E-3</v>
      </c>
      <c r="E893" s="25">
        <f>'Daily Returns'!E893</f>
        <v>-4.4262999570262194E-3</v>
      </c>
    </row>
    <row r="894" spans="1:5" ht="15" customHeight="1" x14ac:dyDescent="0.3">
      <c r="A894" s="26">
        <f>'Daily Returns'!F894</f>
        <v>-1.2528279612454586E-3</v>
      </c>
      <c r="B894" s="26">
        <f>'Daily Returns'!B894</f>
        <v>-1.0852911133809939E-2</v>
      </c>
      <c r="C894" s="26">
        <f>'Daily Returns'!C894</f>
        <v>-2.3754509708541045E-2</v>
      </c>
      <c r="D894" s="26">
        <f>'Daily Returns'!D894</f>
        <v>-2.791993631297637E-2</v>
      </c>
      <c r="E894" s="26">
        <f>'Daily Returns'!E894</f>
        <v>4.2085725385246256E-2</v>
      </c>
    </row>
    <row r="895" spans="1:5" ht="15" customHeight="1" x14ac:dyDescent="0.3">
      <c r="A895" s="25">
        <f>'Daily Returns'!F895</f>
        <v>-2.1124626812404302E-3</v>
      </c>
      <c r="B895" s="25">
        <f>'Daily Returns'!B895</f>
        <v>2.5816445075507965E-4</v>
      </c>
      <c r="C895" s="25">
        <f>'Daily Returns'!C895</f>
        <v>1.4732383839222695E-2</v>
      </c>
      <c r="D895" s="25">
        <f>'Daily Returns'!D895</f>
        <v>-5.8496636443351305E-5</v>
      </c>
      <c r="E895" s="25">
        <f>'Daily Returns'!E895</f>
        <v>-1.3130643691491955E-2</v>
      </c>
    </row>
    <row r="896" spans="1:5" ht="15" customHeight="1" x14ac:dyDescent="0.3">
      <c r="A896" s="26">
        <f>'Daily Returns'!F896</f>
        <v>-6.6932050500294214E-3</v>
      </c>
      <c r="B896" s="26">
        <f>'Daily Returns'!B896</f>
        <v>2.710027100271014E-2</v>
      </c>
      <c r="C896" s="26">
        <f>'Daily Returns'!C896</f>
        <v>-3.4372979564451195E-4</v>
      </c>
      <c r="D896" s="26">
        <f>'Daily Returns'!D896</f>
        <v>4.9140049140049338E-3</v>
      </c>
      <c r="E896" s="26">
        <f>'Daily Returns'!E896</f>
        <v>2.0986358866717533E-5</v>
      </c>
    </row>
    <row r="897" spans="1:5" ht="15" customHeight="1" x14ac:dyDescent="0.3">
      <c r="A897" s="25">
        <f>'Daily Returns'!F897</f>
        <v>7.3806368569041087E-3</v>
      </c>
      <c r="B897" s="25">
        <f>'Daily Returns'!B897</f>
        <v>4.6488252293000422E-3</v>
      </c>
      <c r="C897" s="25">
        <f>'Daily Returns'!C897</f>
        <v>7.6301505562968684E-3</v>
      </c>
      <c r="D897" s="25">
        <f>'Daily Returns'!D897</f>
        <v>1.2516008848527219E-2</v>
      </c>
      <c r="E897" s="25">
        <f>'Daily Returns'!E897</f>
        <v>3.9747329541877395E-2</v>
      </c>
    </row>
    <row r="898" spans="1:5" ht="15" customHeight="1" x14ac:dyDescent="0.3">
      <c r="A898" s="26">
        <f>'Daily Returns'!F898</f>
        <v>-8.5518217049903814E-3</v>
      </c>
      <c r="B898" s="26">
        <f>'Daily Returns'!B898</f>
        <v>1.3256628314157108E-2</v>
      </c>
      <c r="C898" s="26">
        <f>'Daily Returns'!C898</f>
        <v>-1.3926014998496798E-2</v>
      </c>
      <c r="D898" s="26">
        <f>'Daily Returns'!D898</f>
        <v>6.1519001897314615E-3</v>
      </c>
      <c r="E898" s="26">
        <f>'Daily Returns'!E898</f>
        <v>1.1908366131800018E-3</v>
      </c>
    </row>
    <row r="899" spans="1:5" ht="15" customHeight="1" x14ac:dyDescent="0.3">
      <c r="A899" s="25">
        <f>'Daily Returns'!F899</f>
        <v>1.3245697606320458E-2</v>
      </c>
      <c r="B899" s="25">
        <f>'Daily Returns'!B899</f>
        <v>-9.8123920019748418E-3</v>
      </c>
      <c r="C899" s="25">
        <f>'Daily Returns'!C899</f>
        <v>1.5523421085156279E-2</v>
      </c>
      <c r="D899" s="25">
        <f>'Daily Returns'!D899</f>
        <v>3.8000000000000034E-2</v>
      </c>
      <c r="E899" s="25">
        <f>'Daily Returns'!E899</f>
        <v>1.0120151600677328E-2</v>
      </c>
    </row>
    <row r="900" spans="1:5" ht="15" customHeight="1" x14ac:dyDescent="0.3">
      <c r="A900" s="26">
        <f>'Daily Returns'!F900</f>
        <v>1.4238720950976393E-2</v>
      </c>
      <c r="B900" s="26">
        <f>'Daily Returns'!B900</f>
        <v>1.3711436584605725E-3</v>
      </c>
      <c r="C900" s="26">
        <f>'Daily Returns'!C900</f>
        <v>9.6471370964471108E-3</v>
      </c>
      <c r="D900" s="26">
        <f>'Daily Returns'!D900</f>
        <v>-1.3267272226809779E-2</v>
      </c>
      <c r="E900" s="26">
        <f>'Daily Returns'!E900</f>
        <v>6.3465453239133175E-3</v>
      </c>
    </row>
    <row r="901" spans="1:5" ht="15" customHeight="1" x14ac:dyDescent="0.3">
      <c r="A901" s="25">
        <f>'Daily Returns'!F901</f>
        <v>-1.7587599458141114E-2</v>
      </c>
      <c r="B901" s="25">
        <f>'Daily Returns'!B901</f>
        <v>-1.5995518765170805E-2</v>
      </c>
      <c r="C901" s="25">
        <f>'Daily Returns'!C901</f>
        <v>-5.8181584403478107E-3</v>
      </c>
      <c r="D901" s="25">
        <f>'Daily Returns'!D901</f>
        <v>2.1144833742468155E-2</v>
      </c>
      <c r="E901" s="25">
        <f>'Daily Returns'!E901</f>
        <v>-1.5349833412660656E-2</v>
      </c>
    </row>
    <row r="902" spans="1:5" ht="15" customHeight="1" x14ac:dyDescent="0.3">
      <c r="A902" s="26">
        <f>'Daily Returns'!F902</f>
        <v>-9.5646430582485807E-3</v>
      </c>
      <c r="B902" s="26">
        <f>'Daily Returns'!B902</f>
        <v>-7.5901328273244063E-3</v>
      </c>
      <c r="C902" s="26">
        <f>'Daily Returns'!C902</f>
        <v>1.7273711948526352E-2</v>
      </c>
      <c r="D902" s="26">
        <f>'Daily Returns'!D902</f>
        <v>1.49155876085887E-2</v>
      </c>
      <c r="E902" s="26">
        <f>'Daily Returns'!E902</f>
        <v>-1.5730110775428002E-2</v>
      </c>
    </row>
    <row r="903" spans="1:5" ht="15" customHeight="1" x14ac:dyDescent="0.3">
      <c r="A903" s="25">
        <f>'Daily Returns'!F903</f>
        <v>1.082054951388459E-2</v>
      </c>
      <c r="B903" s="25">
        <f>'Daily Returns'!B903</f>
        <v>1.1918419375398372E-2</v>
      </c>
      <c r="C903" s="25">
        <f>'Daily Returns'!C903</f>
        <v>-4.6332567877887303E-2</v>
      </c>
      <c r="D903" s="25">
        <f>'Daily Returns'!D903</f>
        <v>-9.5822566752799369E-3</v>
      </c>
      <c r="E903" s="25">
        <f>'Daily Returns'!E903</f>
        <v>-9.0241257238740814E-3</v>
      </c>
    </row>
    <row r="904" spans="1:5" ht="15" customHeight="1" x14ac:dyDescent="0.3">
      <c r="A904" s="26">
        <f>'Daily Returns'!F904</f>
        <v>-1.408090271022585E-2</v>
      </c>
      <c r="B904" s="26">
        <f>'Daily Returns'!B904</f>
        <v>-2.5193676387239694E-4</v>
      </c>
      <c r="C904" s="26">
        <f>'Daily Returns'!C904</f>
        <v>6.9905015830693824E-3</v>
      </c>
      <c r="D904" s="26">
        <f>'Daily Returns'!D904</f>
        <v>-1.6306120230458908E-3</v>
      </c>
      <c r="E904" s="26">
        <f>'Daily Returns'!E904</f>
        <v>3.3038737920216616E-4</v>
      </c>
    </row>
    <row r="905" spans="1:5" ht="15" customHeight="1" x14ac:dyDescent="0.3">
      <c r="A905" s="25">
        <f>'Daily Returns'!F905</f>
        <v>-6.1826965451883906E-3</v>
      </c>
      <c r="B905" s="25">
        <f>'Daily Returns'!B905</f>
        <v>2.0475020475020478E-2</v>
      </c>
      <c r="C905" s="25">
        <f>'Daily Returns'!C905</f>
        <v>-1.2990344120007086E-3</v>
      </c>
      <c r="D905" s="25">
        <f>'Daily Returns'!D905</f>
        <v>-1.1378484320557509E-2</v>
      </c>
      <c r="E905" s="25">
        <f>'Daily Returns'!E905</f>
        <v>-1.3376269507059736E-2</v>
      </c>
    </row>
    <row r="906" spans="1:5" ht="15" customHeight="1" x14ac:dyDescent="0.3">
      <c r="A906" s="26">
        <f>'Daily Returns'!F906</f>
        <v>2.1446570546998283E-3</v>
      </c>
      <c r="B906" s="26">
        <f>'Daily Returns'!B906</f>
        <v>-2.5311766884800382E-3</v>
      </c>
      <c r="C906" s="26">
        <f>'Daily Returns'!C906</f>
        <v>-1.342976918360925E-2</v>
      </c>
      <c r="D906" s="26">
        <f>'Daily Returns'!D906</f>
        <v>-1.5419351285863821E-3</v>
      </c>
      <c r="E906" s="26">
        <f>'Daily Returns'!E906</f>
        <v>-8.8710352330737974E-3</v>
      </c>
    </row>
    <row r="907" spans="1:5" ht="15" customHeight="1" x14ac:dyDescent="0.3">
      <c r="A907" s="25">
        <f>'Daily Returns'!F907</f>
        <v>1.1715630391445653E-2</v>
      </c>
      <c r="B907" s="25">
        <f>'Daily Returns'!B907</f>
        <v>-2.4138144457509832E-3</v>
      </c>
      <c r="C907" s="25">
        <f>'Daily Returns'!C907</f>
        <v>3.7201568680142625E-3</v>
      </c>
      <c r="D907" s="25">
        <f>'Daily Returns'!D907</f>
        <v>-6.5633445480116799E-3</v>
      </c>
      <c r="E907" s="25">
        <f>'Daily Returns'!E907</f>
        <v>5.4040361394915677E-3</v>
      </c>
    </row>
    <row r="908" spans="1:5" ht="15" customHeight="1" x14ac:dyDescent="0.3">
      <c r="A908" s="26">
        <f>'Daily Returns'!F908</f>
        <v>1.3666375924762617E-2</v>
      </c>
      <c r="B908" s="26">
        <f>'Daily Returns'!B908</f>
        <v>1.7992306737808696E-2</v>
      </c>
      <c r="C908" s="26">
        <f>'Daily Returns'!C908</f>
        <v>9.4123355978715569E-3</v>
      </c>
      <c r="D908" s="26">
        <f>'Daily Returns'!D908</f>
        <v>-6.6067066400177527E-3</v>
      </c>
      <c r="E908" s="26">
        <f>'Daily Returns'!E908</f>
        <v>2.3137650121777188E-2</v>
      </c>
    </row>
    <row r="909" spans="1:5" ht="15" customHeight="1" x14ac:dyDescent="0.3">
      <c r="A909" s="25">
        <f>'Daily Returns'!F909</f>
        <v>-1.2619676391371236E-3</v>
      </c>
      <c r="B909" s="25">
        <f>'Daily Returns'!B909</f>
        <v>-8.6543149683082389E-3</v>
      </c>
      <c r="C909" s="25">
        <f>'Daily Returns'!C909</f>
        <v>-1.2407893973427071E-2</v>
      </c>
      <c r="D909" s="25">
        <f>'Daily Returns'!D909</f>
        <v>2.7943888671538001E-4</v>
      </c>
      <c r="E909" s="25">
        <f>'Daily Returns'!E909</f>
        <v>4.5085163143853829E-2</v>
      </c>
    </row>
    <row r="910" spans="1:5" ht="15" customHeight="1" x14ac:dyDescent="0.3">
      <c r="A910" s="26">
        <f>'Daily Returns'!F910</f>
        <v>6.4896753699112547E-3</v>
      </c>
      <c r="B910" s="26">
        <f>'Daily Returns'!B910</f>
        <v>-2.0718062215664603E-2</v>
      </c>
      <c r="C910" s="26">
        <f>'Daily Returns'!C910</f>
        <v>-1.5106754397743677E-3</v>
      </c>
      <c r="D910" s="26">
        <f>'Daily Returns'!D910</f>
        <v>-1.592356687898086E-2</v>
      </c>
      <c r="E910" s="26">
        <f>'Daily Returns'!E910</f>
        <v>-1.2979362617079264E-2</v>
      </c>
    </row>
    <row r="911" spans="1:5" ht="15" customHeight="1" x14ac:dyDescent="0.3">
      <c r="A911" s="25">
        <f>'Daily Returns'!F911</f>
        <v>4.1033220079050199E-3</v>
      </c>
      <c r="B911" s="25">
        <f>'Daily Returns'!B911</f>
        <v>1.8331345344968396E-2</v>
      </c>
      <c r="C911" s="25">
        <f>'Daily Returns'!C911</f>
        <v>-1.3448542514211902E-4</v>
      </c>
      <c r="D911" s="25">
        <f>'Daily Returns'!D911</f>
        <v>1.811162209731447E-2</v>
      </c>
      <c r="E911" s="25">
        <f>'Daily Returns'!E911</f>
        <v>5.8488839374527465E-3</v>
      </c>
    </row>
    <row r="912" spans="1:5" ht="15" customHeight="1" x14ac:dyDescent="0.3">
      <c r="A912" s="26">
        <f>'Daily Returns'!F912</f>
        <v>1.881733623356838E-2</v>
      </c>
      <c r="B912" s="26">
        <f>'Daily Returns'!B912</f>
        <v>6.0415510757659188E-3</v>
      </c>
      <c r="C912" s="26">
        <f>'Daily Returns'!C912</f>
        <v>7.5237903090218617E-3</v>
      </c>
      <c r="D912" s="26">
        <f>'Daily Returns'!D912</f>
        <v>1.4220388132946751E-2</v>
      </c>
      <c r="E912" s="26">
        <f>'Daily Returns'!E912</f>
        <v>-1.8077531645569706E-2</v>
      </c>
    </row>
    <row r="913" spans="1:5" ht="15" customHeight="1" x14ac:dyDescent="0.3">
      <c r="A913" s="25">
        <f>'Daily Returns'!F913</f>
        <v>2.1581240121642869E-4</v>
      </c>
      <c r="B913" s="25">
        <f>'Daily Returns'!B913</f>
        <v>-2.9658680066180547E-2</v>
      </c>
      <c r="C913" s="25">
        <f>'Daily Returns'!C913</f>
        <v>2.223594296251186E-2</v>
      </c>
      <c r="D913" s="25">
        <f>'Daily Returns'!D913</f>
        <v>-1.0502006928025494E-2</v>
      </c>
      <c r="E913" s="25">
        <f>'Daily Returns'!E913</f>
        <v>-1.1219433589815883E-2</v>
      </c>
    </row>
    <row r="914" spans="1:5" ht="15" customHeight="1" x14ac:dyDescent="0.3">
      <c r="A914" s="26">
        <f>'Daily Returns'!F914</f>
        <v>-1.1722634943951522E-3</v>
      </c>
      <c r="B914" s="26">
        <f>'Daily Returns'!B914</f>
        <v>9.4726870855702991E-4</v>
      </c>
      <c r="C914" s="26">
        <f>'Daily Returns'!C914</f>
        <v>-7.5908452773516778E-3</v>
      </c>
      <c r="D914" s="26">
        <f>'Daily Returns'!D914</f>
        <v>1.3947543898644091E-2</v>
      </c>
      <c r="E914" s="26">
        <f>'Daily Returns'!E914</f>
        <v>-3.2043838741876919E-2</v>
      </c>
    </row>
    <row r="915" spans="1:5" ht="15" customHeight="1" x14ac:dyDescent="0.3">
      <c r="A915" s="25">
        <f>'Daily Returns'!F915</f>
        <v>-1.8773889273834214E-3</v>
      </c>
      <c r="B915" s="25">
        <f>'Daily Returns'!B915</f>
        <v>-5.2996845425867722E-3</v>
      </c>
      <c r="C915" s="25">
        <f>'Daily Returns'!C915</f>
        <v>2.3826756369976831E-2</v>
      </c>
      <c r="D915" s="25">
        <f>'Daily Returns'!D915</f>
        <v>-1.6167041157450476E-2</v>
      </c>
      <c r="E915" s="25">
        <f>'Daily Returns'!E915</f>
        <v>3.310463843757884E-2</v>
      </c>
    </row>
    <row r="916" spans="1:5" ht="15" customHeight="1" x14ac:dyDescent="0.3">
      <c r="A916" s="26">
        <f>'Daily Returns'!F916</f>
        <v>-1.4321031788685722E-2</v>
      </c>
      <c r="B916" s="26">
        <f>'Daily Returns'!B916</f>
        <v>2.4483064823037002E-2</v>
      </c>
      <c r="C916" s="26">
        <f>'Daily Returns'!C916</f>
        <v>-2.2412698922744362E-2</v>
      </c>
      <c r="D916" s="26">
        <f>'Daily Returns'!D916</f>
        <v>-2.7684937611408191E-2</v>
      </c>
      <c r="E916" s="26">
        <f>'Daily Returns'!E916</f>
        <v>-7.5780724805964072E-3</v>
      </c>
    </row>
    <row r="917" spans="1:5" ht="15" customHeight="1" x14ac:dyDescent="0.3">
      <c r="A917" s="25">
        <f>'Daily Returns'!F917</f>
        <v>-1.4391627331152963E-2</v>
      </c>
      <c r="B917" s="25">
        <f>'Daily Returns'!B917</f>
        <v>-9.7820703318475255E-3</v>
      </c>
      <c r="C917" s="25">
        <f>'Daily Returns'!C917</f>
        <v>5.9000928566144608E-3</v>
      </c>
      <c r="D917" s="25">
        <f>'Daily Returns'!D917</f>
        <v>5.3852764250930827E-3</v>
      </c>
      <c r="E917" s="25">
        <f>'Daily Returns'!E917</f>
        <v>1.8617730976866378E-2</v>
      </c>
    </row>
    <row r="918" spans="1:5" ht="15" customHeight="1" x14ac:dyDescent="0.3">
      <c r="A918" s="26">
        <f>'Daily Returns'!F918</f>
        <v>-3.0144869017185032E-2</v>
      </c>
      <c r="B918" s="26">
        <f>'Daily Returns'!B918</f>
        <v>-7.6903838939601709E-3</v>
      </c>
      <c r="C918" s="26">
        <f>'Daily Returns'!C918</f>
        <v>-2.9735889748470207E-2</v>
      </c>
      <c r="D918" s="26">
        <f>'Daily Returns'!D918</f>
        <v>9.0033620149295342E-3</v>
      </c>
      <c r="E918" s="26">
        <f>'Daily Returns'!E918</f>
        <v>-1.9446235692406968E-2</v>
      </c>
    </row>
    <row r="919" spans="1:5" ht="15" customHeight="1" x14ac:dyDescent="0.3">
      <c r="A919" s="25">
        <f>'Daily Returns'!F919</f>
        <v>1.7029350358496367E-2</v>
      </c>
      <c r="B919" s="25">
        <f>'Daily Returns'!B919</f>
        <v>-1.2349568395186238E-2</v>
      </c>
      <c r="C919" s="25">
        <f>'Daily Returns'!C919</f>
        <v>1.8607235773042546E-3</v>
      </c>
      <c r="D919" s="25">
        <f>'Daily Returns'!D919</f>
        <v>-1.1294968091715141E-2</v>
      </c>
      <c r="E919" s="25">
        <f>'Daily Returns'!E919</f>
        <v>-4.3835672742966326E-2</v>
      </c>
    </row>
    <row r="920" spans="1:5" ht="15" customHeight="1" x14ac:dyDescent="0.3">
      <c r="A920" s="26">
        <f>'Daily Returns'!F920</f>
        <v>2.2592971350055519E-2</v>
      </c>
      <c r="B920" s="26">
        <f>'Daily Returns'!B920</f>
        <v>-1.4290271132376454E-2</v>
      </c>
      <c r="C920" s="26">
        <f>'Daily Returns'!C920</f>
        <v>1.3337031060911565E-2</v>
      </c>
      <c r="D920" s="26">
        <f>'Daily Returns'!D920</f>
        <v>8.6822413891586812E-3</v>
      </c>
      <c r="E920" s="26">
        <f>'Daily Returns'!E920</f>
        <v>3.2755878433564048E-2</v>
      </c>
    </row>
    <row r="921" spans="1:5" ht="15" customHeight="1" x14ac:dyDescent="0.3">
      <c r="A921" s="25">
        <f>'Daily Returns'!F921</f>
        <v>-1.9169329073482514E-2</v>
      </c>
      <c r="B921" s="25">
        <f>'Daily Returns'!B921</f>
        <v>-9.3845058572259964E-3</v>
      </c>
      <c r="C921" s="25">
        <f>'Daily Returns'!C921</f>
        <v>3.6274973254049221E-2</v>
      </c>
      <c r="D921" s="25">
        <f>'Daily Returns'!D921</f>
        <v>3.13154765275497E-2</v>
      </c>
      <c r="E921" s="25">
        <f>'Daily Returns'!E921</f>
        <v>-3.0052029136316331E-2</v>
      </c>
    </row>
    <row r="922" spans="1:5" ht="15" customHeight="1" x14ac:dyDescent="0.3">
      <c r="A922" s="26">
        <f>'Daily Returns'!F922</f>
        <v>9.9823399037001857E-3</v>
      </c>
      <c r="B922" s="26">
        <f>'Daily Returns'!B922</f>
        <v>-1.9600156801254411E-2</v>
      </c>
      <c r="C922" s="26">
        <f>'Daily Returns'!C922</f>
        <v>1.4645506710522574E-3</v>
      </c>
      <c r="D922" s="26">
        <f>'Daily Returns'!D922</f>
        <v>4.782560948824955E-2</v>
      </c>
      <c r="E922" s="26">
        <f>'Daily Returns'!E922</f>
        <v>-1.9074797236407301E-2</v>
      </c>
    </row>
    <row r="923" spans="1:5" ht="15" customHeight="1" x14ac:dyDescent="0.3">
      <c r="A923" s="25">
        <f>'Daily Returns'!F923</f>
        <v>4.911729949658424E-3</v>
      </c>
      <c r="B923" s="25">
        <f>'Daily Returns'!B923</f>
        <v>-1.3927762228441979E-2</v>
      </c>
      <c r="C923" s="25">
        <f>'Daily Returns'!C923</f>
        <v>-1.2602288709883632E-2</v>
      </c>
      <c r="D923" s="25">
        <f>'Daily Returns'!D923</f>
        <v>-1.3362678824084323E-2</v>
      </c>
      <c r="E923" s="25">
        <f>'Daily Returns'!E923</f>
        <v>2.3207997025176536E-2</v>
      </c>
    </row>
    <row r="924" spans="1:5" ht="15" customHeight="1" x14ac:dyDescent="0.3">
      <c r="A924" s="26">
        <f>'Daily Returns'!F924</f>
        <v>-1.928197844439788E-3</v>
      </c>
      <c r="B924" s="26">
        <f>'Daily Returns'!B924</f>
        <v>-2.1963911603703454E-2</v>
      </c>
      <c r="C924" s="26">
        <f>'Daily Returns'!C924</f>
        <v>1.8703615276912347E-2</v>
      </c>
      <c r="D924" s="26">
        <f>'Daily Returns'!D924</f>
        <v>5.5236881240704905E-3</v>
      </c>
      <c r="E924" s="26">
        <f>'Daily Returns'!E924</f>
        <v>2.1805122065929254E-3</v>
      </c>
    </row>
    <row r="925" spans="1:5" ht="15" customHeight="1" x14ac:dyDescent="0.3">
      <c r="A925" s="25">
        <f>'Daily Returns'!F925</f>
        <v>7.3987166990142697E-3</v>
      </c>
      <c r="B925" s="25">
        <f>'Daily Returns'!B925</f>
        <v>-2.0453289110005584E-2</v>
      </c>
      <c r="C925" s="25">
        <f>'Daily Returns'!C925</f>
        <v>1.3188210057995188E-3</v>
      </c>
      <c r="D925" s="25">
        <f>'Daily Returns'!D925</f>
        <v>-1.8909782379040695E-2</v>
      </c>
      <c r="E925" s="25">
        <f>'Daily Returns'!E925</f>
        <v>-3.050341296928342E-3</v>
      </c>
    </row>
    <row r="926" spans="1:5" ht="15" customHeight="1" x14ac:dyDescent="0.3">
      <c r="A926" s="26">
        <f>'Daily Returns'!F926</f>
        <v>-7.9620324583967793E-4</v>
      </c>
      <c r="B926" s="26">
        <f>'Daily Returns'!B926</f>
        <v>-2.1303611738148858E-2</v>
      </c>
      <c r="C926" s="26">
        <f>'Daily Returns'!C926</f>
        <v>2.3326668570884945E-3</v>
      </c>
      <c r="D926" s="26">
        <f>'Daily Returns'!D926</f>
        <v>4.4955313879616633E-2</v>
      </c>
      <c r="E926" s="26">
        <f>'Daily Returns'!E926</f>
        <v>2.5718381582044165E-2</v>
      </c>
    </row>
    <row r="927" spans="1:5" ht="15" customHeight="1" x14ac:dyDescent="0.3">
      <c r="A927" s="25">
        <f>'Daily Returns'!F927</f>
        <v>3.0418841354126213E-2</v>
      </c>
      <c r="B927" s="25">
        <f>'Daily Returns'!B927</f>
        <v>-6.8473403488540936E-3</v>
      </c>
      <c r="C927" s="25">
        <f>'Daily Returns'!C927</f>
        <v>1.676561386843985E-2</v>
      </c>
      <c r="D927" s="25">
        <f>'Daily Returns'!D927</f>
        <v>-6.4403111958369827E-3</v>
      </c>
      <c r="E927" s="25">
        <f>'Daily Returns'!E927</f>
        <v>-4.8812031957278521E-3</v>
      </c>
    </row>
    <row r="928" spans="1:5" ht="15" customHeight="1" x14ac:dyDescent="0.3">
      <c r="A928" s="26">
        <f>'Daily Returns'!F928</f>
        <v>1.0643896030957577E-2</v>
      </c>
      <c r="B928" s="26">
        <f>'Daily Returns'!B928</f>
        <v>-9.2169243051018358E-3</v>
      </c>
      <c r="C928" s="26">
        <f>'Daily Returns'!C928</f>
        <v>1.9875747384155436E-2</v>
      </c>
      <c r="D928" s="26">
        <f>'Daily Returns'!D928</f>
        <v>1.3897531632441437E-2</v>
      </c>
      <c r="E928" s="26">
        <f>'Daily Returns'!E928</f>
        <v>1.5616811654962768E-2</v>
      </c>
    </row>
    <row r="929" spans="1:5" ht="15" customHeight="1" x14ac:dyDescent="0.3">
      <c r="A929" s="25">
        <f>'Daily Returns'!F929</f>
        <v>-8.5766252761701415E-3</v>
      </c>
      <c r="B929" s="25">
        <f>'Daily Returns'!B929</f>
        <v>-1.6627600351596911E-2</v>
      </c>
      <c r="C929" s="25">
        <f>'Daily Returns'!C929</f>
        <v>-2.9961603346539339E-2</v>
      </c>
      <c r="D929" s="25">
        <f>'Daily Returns'!D929</f>
        <v>1.8923895253681266E-3</v>
      </c>
      <c r="E929" s="25">
        <f>'Daily Returns'!E929</f>
        <v>-2.2889576883384881E-2</v>
      </c>
    </row>
    <row r="930" spans="1:5" ht="15" customHeight="1" x14ac:dyDescent="0.3">
      <c r="A930" s="26">
        <f>'Daily Returns'!F930</f>
        <v>-1.1955214734324612E-2</v>
      </c>
      <c r="B930" s="26">
        <f>'Daily Returns'!B930</f>
        <v>6.9273743016760288E-3</v>
      </c>
      <c r="C930" s="26">
        <f>'Daily Returns'!C930</f>
        <v>1.5030375523309529E-3</v>
      </c>
      <c r="D930" s="26">
        <f>'Daily Returns'!D930</f>
        <v>-1.6233600490070849E-2</v>
      </c>
      <c r="E930" s="26">
        <f>'Daily Returns'!E930</f>
        <v>2.7460340930694323E-2</v>
      </c>
    </row>
    <row r="931" spans="1:5" ht="15" customHeight="1" x14ac:dyDescent="0.3">
      <c r="A931" s="25">
        <f>'Daily Returns'!F931</f>
        <v>1.5993913339503927E-2</v>
      </c>
      <c r="B931" s="25">
        <f>'Daily Returns'!B931</f>
        <v>-3.6987720076942865E-4</v>
      </c>
      <c r="C931" s="25">
        <f>'Daily Returns'!C931</f>
        <v>3.0644236133473143E-4</v>
      </c>
      <c r="D931" s="25">
        <f>'Daily Returns'!D931</f>
        <v>-2.854029370556854E-3</v>
      </c>
      <c r="E931" s="25">
        <f>'Daily Returns'!E931</f>
        <v>-1.0053247260541607E-2</v>
      </c>
    </row>
    <row r="932" spans="1:5" ht="15" customHeight="1" x14ac:dyDescent="0.3">
      <c r="A932" s="26">
        <f>'Daily Returns'!F932</f>
        <v>-2.6536925302799307E-3</v>
      </c>
      <c r="B932" s="26">
        <f>'Daily Returns'!B932</f>
        <v>-5.6242137201212971E-3</v>
      </c>
      <c r="C932" s="26">
        <f>'Daily Returns'!C932</f>
        <v>-1.8263082651249745E-2</v>
      </c>
      <c r="D932" s="26">
        <f>'Daily Returns'!D932</f>
        <v>-2.0920066611157421E-2</v>
      </c>
      <c r="E932" s="26">
        <f>'Daily Returns'!E932</f>
        <v>3.86276790164482E-3</v>
      </c>
    </row>
    <row r="933" spans="1:5" ht="15" customHeight="1" x14ac:dyDescent="0.3">
      <c r="A933" s="25">
        <f>'Daily Returns'!F933</f>
        <v>-2.0985115375215828E-3</v>
      </c>
      <c r="B933" s="25">
        <f>'Daily Returns'!B933</f>
        <v>-6.1769740269406303E-3</v>
      </c>
      <c r="C933" s="25">
        <f>'Daily Returns'!C933</f>
        <v>-2.8052263944119464E-2</v>
      </c>
      <c r="D933" s="25">
        <f>'Daily Returns'!D933</f>
        <v>-9.6736472839374574E-3</v>
      </c>
      <c r="E933" s="25">
        <f>'Daily Returns'!E933</f>
        <v>-1.3095287351566023E-2</v>
      </c>
    </row>
    <row r="934" spans="1:5" ht="15" customHeight="1" x14ac:dyDescent="0.3">
      <c r="A934" s="26">
        <f>'Daily Returns'!F934</f>
        <v>2.0489237594871743E-3</v>
      </c>
      <c r="B934" s="26">
        <f>'Daily Returns'!B934</f>
        <v>2.2465178972592485E-2</v>
      </c>
      <c r="C934" s="26">
        <f>'Daily Returns'!C934</f>
        <v>-5.8448240378681734E-4</v>
      </c>
      <c r="D934" s="26">
        <f>'Daily Returns'!D934</f>
        <v>-3.8643194504078943E-3</v>
      </c>
      <c r="E934" s="26">
        <f>'Daily Returns'!E934</f>
        <v>-1.490409810292425E-2</v>
      </c>
    </row>
    <row r="935" spans="1:5" ht="15" customHeight="1" x14ac:dyDescent="0.3">
      <c r="A935" s="25">
        <f>'Daily Returns'!F935</f>
        <v>1.1111908603836029E-3</v>
      </c>
      <c r="B935" s="25">
        <f>'Daily Returns'!B935</f>
        <v>3.5886919584005353E-3</v>
      </c>
      <c r="C935" s="25">
        <f>'Daily Returns'!C935</f>
        <v>-7.5862409805278544E-3</v>
      </c>
      <c r="D935" s="25">
        <f>'Daily Returns'!D935</f>
        <v>3.9870689655172901E-3</v>
      </c>
      <c r="E935" s="25">
        <f>'Daily Returns'!E935</f>
        <v>-4.809124569093908E-3</v>
      </c>
    </row>
    <row r="936" spans="1:5" ht="15" customHeight="1" x14ac:dyDescent="0.3">
      <c r="A936" s="26">
        <f>'Daily Returns'!F936</f>
        <v>1.3467642952877674E-2</v>
      </c>
      <c r="B936" s="26">
        <f>'Daily Returns'!B936</f>
        <v>6.9327884404874014E-3</v>
      </c>
      <c r="C936" s="26">
        <f>'Daily Returns'!C936</f>
        <v>-1.2184291559804982E-2</v>
      </c>
      <c r="D936" s="26">
        <f>'Daily Returns'!D936</f>
        <v>-3.5419126328217206E-2</v>
      </c>
      <c r="E936" s="26">
        <f>'Daily Returns'!E936</f>
        <v>1.7811323982210026E-2</v>
      </c>
    </row>
    <row r="937" spans="1:5" ht="15" customHeight="1" x14ac:dyDescent="0.3">
      <c r="A937" s="25">
        <f>'Daily Returns'!F937</f>
        <v>-1.0353002337774768E-2</v>
      </c>
      <c r="B937" s="25">
        <f>'Daily Returns'!B937</f>
        <v>-3.551239310044918E-2</v>
      </c>
      <c r="C937" s="25">
        <f>'Daily Returns'!C937</f>
        <v>-1.8232995840861005E-3</v>
      </c>
      <c r="D937" s="25">
        <f>'Daily Returns'!D937</f>
        <v>-6.1199510403924353E-4</v>
      </c>
      <c r="E937" s="25">
        <f>'Daily Returns'!E937</f>
        <v>-4.1595764794857635E-3</v>
      </c>
    </row>
    <row r="938" spans="1:5" ht="15" customHeight="1" x14ac:dyDescent="0.3">
      <c r="A938" s="26">
        <f>'Daily Returns'!F938</f>
        <v>-2.572331002054213E-2</v>
      </c>
      <c r="B938" s="26">
        <f>'Daily Returns'!B938</f>
        <v>-8.7917042380524189E-3</v>
      </c>
      <c r="C938" s="26">
        <f>'Daily Returns'!C938</f>
        <v>-5.5977373356454578E-3</v>
      </c>
      <c r="D938" s="26">
        <f>'Daily Returns'!D938</f>
        <v>4.0583421477481445E-2</v>
      </c>
      <c r="E938" s="26">
        <f>'Daily Returns'!E938</f>
        <v>4.1558551146552488E-3</v>
      </c>
    </row>
    <row r="939" spans="1:5" ht="15" customHeight="1" x14ac:dyDescent="0.3">
      <c r="A939" s="25">
        <f>'Daily Returns'!F939</f>
        <v>-5.9512013675454027E-3</v>
      </c>
      <c r="B939" s="25">
        <f>'Daily Returns'!B939</f>
        <v>-2.9717231445682675E-2</v>
      </c>
      <c r="C939" s="25">
        <f>'Daily Returns'!C939</f>
        <v>9.0575876342780068E-4</v>
      </c>
      <c r="D939" s="25">
        <f>'Daily Returns'!D939</f>
        <v>-1.4605178686068853E-2</v>
      </c>
      <c r="E939" s="25">
        <f>'Daily Returns'!E939</f>
        <v>-8.4453781512604659E-3</v>
      </c>
    </row>
    <row r="940" spans="1:5" ht="15" customHeight="1" x14ac:dyDescent="0.3">
      <c r="A940" s="26">
        <f>'Daily Returns'!F940</f>
        <v>-8.6547274993023036E-3</v>
      </c>
      <c r="B940" s="26">
        <f>'Daily Returns'!B940</f>
        <v>-5.6254394874599494E-3</v>
      </c>
      <c r="C940" s="26">
        <f>'Daily Returns'!C940</f>
        <v>2.8408322056833489E-2</v>
      </c>
      <c r="D940" s="26">
        <f>'Daily Returns'!D940</f>
        <v>5.5377599218199153E-3</v>
      </c>
      <c r="E940" s="26">
        <f>'Daily Returns'!E940</f>
        <v>2.5509555489639315E-2</v>
      </c>
    </row>
    <row r="941" spans="1:5" ht="15" customHeight="1" x14ac:dyDescent="0.3">
      <c r="A941" s="25">
        <f>'Daily Returns'!F941</f>
        <v>-6.8657470287469841E-3</v>
      </c>
      <c r="B941" s="25">
        <f>'Daily Returns'!B941</f>
        <v>5.5001178596684437E-3</v>
      </c>
      <c r="C941" s="25">
        <f>'Daily Returns'!C941</f>
        <v>5.7566262880398965E-5</v>
      </c>
      <c r="D941" s="25">
        <f>'Daily Returns'!D941</f>
        <v>-6.2631607364612958E-3</v>
      </c>
      <c r="E941" s="25">
        <f>'Daily Returns'!E941</f>
        <v>-2.7209619437213256E-2</v>
      </c>
    </row>
    <row r="942" spans="1:5" ht="15" customHeight="1" x14ac:dyDescent="0.3">
      <c r="A942" s="26">
        <f>'Daily Returns'!F942</f>
        <v>-1.8504054478805685E-2</v>
      </c>
      <c r="B942" s="26">
        <f>'Daily Returns'!B942</f>
        <v>-8.9864812065328249E-3</v>
      </c>
      <c r="C942" s="26">
        <f>'Daily Returns'!C942</f>
        <v>3.3764781343025796E-2</v>
      </c>
      <c r="D942" s="26">
        <f>'Daily Returns'!D942</f>
        <v>-4.4064113012768344E-2</v>
      </c>
      <c r="E942" s="26">
        <f>'Daily Returns'!E942</f>
        <v>-3.1220133800573525E-2</v>
      </c>
    </row>
    <row r="943" spans="1:5" ht="15" customHeight="1" x14ac:dyDescent="0.3">
      <c r="A943" s="25">
        <f>'Daily Returns'!F943</f>
        <v>-1.0333764636412416E-2</v>
      </c>
      <c r="B943" s="25">
        <f>'Daily Returns'!B943</f>
        <v>7.4909320296483433E-3</v>
      </c>
      <c r="C943" s="25">
        <f>'Daily Returns'!C943</f>
        <v>2.2535637011582153E-2</v>
      </c>
      <c r="D943" s="25">
        <f>'Daily Returns'!D943</f>
        <v>-1.5232465613277292E-2</v>
      </c>
      <c r="E943" s="25">
        <f>'Daily Returns'!E943</f>
        <v>2.7205962950783789E-2</v>
      </c>
    </row>
    <row r="944" spans="1:5" ht="15" customHeight="1" x14ac:dyDescent="0.3">
      <c r="A944" s="26">
        <f>'Daily Returns'!F944</f>
        <v>-1.614774997641065E-2</v>
      </c>
      <c r="B944" s="26">
        <f>'Daily Returns'!B944</f>
        <v>-1.3853017140173719E-2</v>
      </c>
      <c r="C944" s="26">
        <f>'Daily Returns'!C944</f>
        <v>1.7666964876113449E-2</v>
      </c>
      <c r="D944" s="26">
        <f>'Daily Returns'!D944</f>
        <v>-1.0389010735310995E-2</v>
      </c>
      <c r="E944" s="26">
        <f>'Daily Returns'!E944</f>
        <v>-4.035769165101593E-2</v>
      </c>
    </row>
    <row r="945" spans="1:5" ht="15" customHeight="1" x14ac:dyDescent="0.3">
      <c r="A945" s="25">
        <f>'Daily Returns'!F945</f>
        <v>1.1219234671445954E-2</v>
      </c>
      <c r="B945" s="25">
        <f>'Daily Returns'!B945</f>
        <v>8.2539682539683034E-3</v>
      </c>
      <c r="C945" s="25">
        <f>'Daily Returns'!C945</f>
        <v>-1.2253852739726005E-2</v>
      </c>
      <c r="D945" s="25">
        <f>'Daily Returns'!D945</f>
        <v>1.3764143240405839E-2</v>
      </c>
      <c r="E945" s="25">
        <f>'Daily Returns'!E945</f>
        <v>3.3003447125542158E-2</v>
      </c>
    </row>
    <row r="946" spans="1:5" ht="15" customHeight="1" x14ac:dyDescent="0.3">
      <c r="A946" s="26">
        <f>'Daily Returns'!F946</f>
        <v>-1.1979784130387578E-2</v>
      </c>
      <c r="B946" s="26">
        <f>'Daily Returns'!B946</f>
        <v>-2.1174433249370371E-2</v>
      </c>
      <c r="C946" s="26">
        <f>'Daily Returns'!C946</f>
        <v>-4.5815823485253595E-3</v>
      </c>
      <c r="D946" s="26">
        <f>'Daily Returns'!D946</f>
        <v>-1.7259233690024818E-4</v>
      </c>
      <c r="E946" s="26">
        <f>'Daily Returns'!E946</f>
        <v>1.7223191026714048E-4</v>
      </c>
    </row>
    <row r="947" spans="1:5" ht="15" customHeight="1" x14ac:dyDescent="0.3">
      <c r="A947" s="25">
        <f>'Daily Returns'!F947</f>
        <v>-2.2464307392693313E-3</v>
      </c>
      <c r="B947" s="25">
        <f>'Daily Returns'!B947</f>
        <v>-3.2971451548049588E-3</v>
      </c>
      <c r="C947" s="25">
        <f>'Daily Returns'!C947</f>
        <v>-1.5627308137862509E-2</v>
      </c>
      <c r="D947" s="25">
        <f>'Daily Returns'!D947</f>
        <v>-3.1071983428275049E-3</v>
      </c>
      <c r="E947" s="25">
        <f>'Daily Returns'!E947</f>
        <v>8.696213702994211E-3</v>
      </c>
    </row>
    <row r="948" spans="1:5" ht="15" customHeight="1" x14ac:dyDescent="0.3">
      <c r="A948" s="26">
        <f>'Daily Returns'!F948</f>
        <v>1.6652178743929703E-2</v>
      </c>
      <c r="B948" s="26">
        <f>'Daily Returns'!B948</f>
        <v>6.1319993545264255E-3</v>
      </c>
      <c r="C948" s="26">
        <f>'Daily Returns'!C948</f>
        <v>7.9298007282149197E-3</v>
      </c>
      <c r="D948" s="26">
        <f>'Daily Returns'!D948</f>
        <v>1.1024531024531005E-2</v>
      </c>
      <c r="E948" s="26">
        <f>'Daily Returns'!E948</f>
        <v>6.5939693988604064E-3</v>
      </c>
    </row>
    <row r="949" spans="1:5" ht="15" customHeight="1" x14ac:dyDescent="0.3">
      <c r="A949" s="25">
        <f>'Daily Returns'!F949</f>
        <v>-3.4965232775821839E-3</v>
      </c>
      <c r="B949" s="25">
        <f>'Daily Returns'!B949</f>
        <v>7.6984763432236866E-3</v>
      </c>
      <c r="C949" s="25">
        <f>'Daily Returns'!C949</f>
        <v>-5.8770520706813456E-4</v>
      </c>
      <c r="D949" s="25">
        <f>'Daily Returns'!D949</f>
        <v>2.4548983786252961E-3</v>
      </c>
      <c r="E949" s="25">
        <f>'Daily Returns'!E949</f>
        <v>-1.1956752172991279E-2</v>
      </c>
    </row>
    <row r="950" spans="1:5" ht="15" customHeight="1" x14ac:dyDescent="0.3">
      <c r="A950" s="26">
        <f>'Daily Returns'!F950</f>
        <v>4.6019184423305905E-3</v>
      </c>
      <c r="B950" s="26">
        <f>'Daily Returns'!B950</f>
        <v>-1.4324367340441877E-3</v>
      </c>
      <c r="C950" s="26">
        <f>'Daily Returns'!C950</f>
        <v>8.3895248549473236E-3</v>
      </c>
      <c r="D950" s="26">
        <f>'Daily Returns'!D950</f>
        <v>-2.221083205194002E-3</v>
      </c>
      <c r="E950" s="26">
        <f>'Daily Returns'!E950</f>
        <v>1.0256190190104221E-2</v>
      </c>
    </row>
    <row r="951" spans="1:5" ht="15" customHeight="1" x14ac:dyDescent="0.3">
      <c r="A951" s="25">
        <f>'Daily Returns'!F951</f>
        <v>1.1768435091483167E-2</v>
      </c>
      <c r="B951" s="25">
        <f>'Daily Returns'!B951</f>
        <v>2.7175645521198458E-2</v>
      </c>
      <c r="C951" s="25">
        <f>'Daily Returns'!C951</f>
        <v>5.9248891999067873E-3</v>
      </c>
      <c r="D951" s="25">
        <f>'Daily Returns'!D951</f>
        <v>1.0901826484018409E-2</v>
      </c>
      <c r="E951" s="25">
        <f>'Daily Returns'!E951</f>
        <v>3.8994138136097221E-2</v>
      </c>
    </row>
    <row r="952" spans="1:5" ht="15" customHeight="1" x14ac:dyDescent="0.3">
      <c r="A952" s="26">
        <f>'Daily Returns'!F952</f>
        <v>6.8790510743202667E-3</v>
      </c>
      <c r="B952" s="26">
        <f>'Daily Returns'!B952</f>
        <v>-5.4309876638993617E-3</v>
      </c>
      <c r="C952" s="26">
        <f>'Daily Returns'!C952</f>
        <v>3.5556380051324156E-3</v>
      </c>
      <c r="D952" s="26">
        <f>'Daily Returns'!D952</f>
        <v>-2.1286206312461239E-2</v>
      </c>
      <c r="E952" s="26">
        <f>'Daily Returns'!E952</f>
        <v>2.3528209321340948E-2</v>
      </c>
    </row>
    <row r="953" spans="1:5" ht="15" customHeight="1" x14ac:dyDescent="0.3">
      <c r="A953" s="25">
        <f>'Daily Returns'!F953</f>
        <v>-6.2551297131899272E-3</v>
      </c>
      <c r="B953" s="25">
        <f>'Daily Returns'!B953</f>
        <v>-5.9286995865511418E-3</v>
      </c>
      <c r="C953" s="25">
        <f>'Daily Returns'!C953</f>
        <v>-5.6996734241172159E-3</v>
      </c>
      <c r="D953" s="25">
        <f>'Daily Returns'!D953</f>
        <v>-2.8268143532941565E-3</v>
      </c>
      <c r="E953" s="25">
        <f>'Daily Returns'!E953</f>
        <v>-1.2981566176030038E-2</v>
      </c>
    </row>
    <row r="954" spans="1:5" ht="15" customHeight="1" x14ac:dyDescent="0.3">
      <c r="A954" s="26">
        <f>'Daily Returns'!F954</f>
        <v>-1.1457329478530913E-2</v>
      </c>
      <c r="B954" s="26">
        <f>'Daily Returns'!B954</f>
        <v>-3.7903162520599644E-2</v>
      </c>
      <c r="C954" s="26">
        <f>'Daily Returns'!C954</f>
        <v>-1.6561831871843419E-2</v>
      </c>
      <c r="D954" s="26">
        <f>'Daily Returns'!D954</f>
        <v>2.01330633497253E-2</v>
      </c>
      <c r="E954" s="26">
        <f>'Daily Returns'!E954</f>
        <v>2.3896724064668872E-2</v>
      </c>
    </row>
    <row r="955" spans="1:5" ht="15" customHeight="1" x14ac:dyDescent="0.3">
      <c r="A955" s="25">
        <f>'Daily Returns'!F955</f>
        <v>1.4994979342406853E-2</v>
      </c>
      <c r="B955" s="25">
        <f>'Daily Returns'!B955</f>
        <v>2.4796084828711307E-2</v>
      </c>
      <c r="C955" s="25">
        <f>'Daily Returns'!C955</f>
        <v>-7.1994580714273464E-3</v>
      </c>
      <c r="D955" s="25">
        <f>'Daily Returns'!D955</f>
        <v>-3.3289854250552961E-2</v>
      </c>
      <c r="E955" s="25">
        <f>'Daily Returns'!E955</f>
        <v>-2.1678985020354868E-2</v>
      </c>
    </row>
    <row r="956" spans="1:5" ht="15" customHeight="1" x14ac:dyDescent="0.3">
      <c r="A956" s="26">
        <f>'Daily Returns'!F956</f>
        <v>2.489680281555075E-3</v>
      </c>
      <c r="B956" s="26">
        <f>'Daily Returns'!B956</f>
        <v>-4.7755491881565923E-3</v>
      </c>
      <c r="C956" s="26">
        <f>'Daily Returns'!C956</f>
        <v>1.3233894001904027E-2</v>
      </c>
      <c r="D956" s="26">
        <f>'Daily Returns'!D956</f>
        <v>-1.2084946615041664E-2</v>
      </c>
      <c r="E956" s="26">
        <f>'Daily Returns'!E956</f>
        <v>-3.6359963640036591E-3</v>
      </c>
    </row>
    <row r="957" spans="1:5" ht="15" customHeight="1" x14ac:dyDescent="0.3">
      <c r="A957" s="25">
        <f>'Daily Returns'!F957</f>
        <v>-7.7834743633469344E-3</v>
      </c>
      <c r="B957" s="25">
        <f>'Daily Returns'!B957</f>
        <v>-1.599488163787588E-2</v>
      </c>
      <c r="C957" s="25">
        <f>'Daily Returns'!C957</f>
        <v>-2.2942963635792877E-3</v>
      </c>
      <c r="D957" s="25">
        <f>'Daily Returns'!D957</f>
        <v>2.8503562945367562E-3</v>
      </c>
      <c r="E957" s="25">
        <f>'Daily Returns'!E957</f>
        <v>3.2235174860617841E-3</v>
      </c>
    </row>
    <row r="958" spans="1:5" ht="15" customHeight="1" x14ac:dyDescent="0.3">
      <c r="A958" s="26">
        <f>'Daily Returns'!F958</f>
        <v>-3.6391713550383465E-3</v>
      </c>
      <c r="B958" s="26">
        <f>'Daily Returns'!B958</f>
        <v>1.8693107932379691E-2</v>
      </c>
      <c r="C958" s="26">
        <f>'Daily Returns'!C958</f>
        <v>-4.6305380057304514E-4</v>
      </c>
      <c r="D958" s="26">
        <f>'Daily Returns'!D958</f>
        <v>4.0265277119848819E-3</v>
      </c>
      <c r="E958" s="26">
        <f>'Daily Returns'!E958</f>
        <v>2.398755153180827E-2</v>
      </c>
    </row>
    <row r="959" spans="1:5" ht="15" customHeight="1" x14ac:dyDescent="0.3">
      <c r="A959" s="25">
        <f>'Daily Returns'!F959</f>
        <v>-2.3067114842338245E-4</v>
      </c>
      <c r="B959" s="25">
        <f>'Daily Returns'!B959</f>
        <v>1.7392691878091532E-2</v>
      </c>
      <c r="C959" s="25">
        <f>'Daily Returns'!C959</f>
        <v>1.5900310939413926E-2</v>
      </c>
      <c r="D959" s="25">
        <f>'Daily Returns'!D959</f>
        <v>-4.8950224109460512E-3</v>
      </c>
      <c r="E959" s="25">
        <f>'Daily Returns'!E959</f>
        <v>-2.5714905961990039E-2</v>
      </c>
    </row>
    <row r="960" spans="1:5" ht="15" customHeight="1" x14ac:dyDescent="0.3">
      <c r="A960" s="26">
        <f>'Daily Returns'!F960</f>
        <v>-1.9800693959692087E-2</v>
      </c>
      <c r="B960" s="26">
        <f>'Daily Returns'!B960</f>
        <v>1.8036386449184754E-3</v>
      </c>
      <c r="C960" s="26">
        <f>'Daily Returns'!C960</f>
        <v>9.1976410755830393E-3</v>
      </c>
      <c r="D960" s="26">
        <f>'Daily Returns'!D960</f>
        <v>7.1712202927754877E-3</v>
      </c>
      <c r="E960" s="26">
        <f>'Daily Returns'!E960</f>
        <v>2.0337060444012355E-2</v>
      </c>
    </row>
    <row r="961" spans="1:5" ht="15" customHeight="1" x14ac:dyDescent="0.3">
      <c r="A961" s="25">
        <f>'Daily Returns'!F961</f>
        <v>5.8307299491682698E-3</v>
      </c>
      <c r="B961" s="25">
        <f>'Daily Returns'!B961</f>
        <v>-1.9569471624266144E-2</v>
      </c>
      <c r="C961" s="25">
        <f>'Daily Returns'!C961</f>
        <v>-2.5419120631687015E-2</v>
      </c>
      <c r="D961" s="25">
        <f>'Daily Returns'!D961</f>
        <v>-1.359303283511829E-2</v>
      </c>
      <c r="E961" s="25">
        <f>'Daily Returns'!E961</f>
        <v>-7.3056459938060959E-3</v>
      </c>
    </row>
    <row r="962" spans="1:5" ht="15" customHeight="1" x14ac:dyDescent="0.3">
      <c r="A962" s="26">
        <f>'Daily Returns'!F962</f>
        <v>1.2200915010379428E-2</v>
      </c>
      <c r="B962" s="26">
        <f>'Daily Returns'!B962</f>
        <v>6.1477045908183313E-3</v>
      </c>
      <c r="C962" s="26">
        <f>'Daily Returns'!C962</f>
        <v>-8.2513437902740586E-4</v>
      </c>
      <c r="D962" s="26">
        <f>'Daily Returns'!D962</f>
        <v>1.5868281333890094E-2</v>
      </c>
      <c r="E962" s="26">
        <f>'Daily Returns'!E962</f>
        <v>-3.0497560195184382E-2</v>
      </c>
    </row>
    <row r="963" spans="1:5" ht="15" customHeight="1" x14ac:dyDescent="0.3">
      <c r="A963" s="25">
        <f>'Daily Returns'!F963</f>
        <v>-7.077936326961529E-3</v>
      </c>
      <c r="B963" s="25">
        <f>'Daily Returns'!B963</f>
        <v>-8.3320107919377662E-3</v>
      </c>
      <c r="C963" s="25">
        <f>'Daily Returns'!C963</f>
        <v>-1.4770305237245056E-2</v>
      </c>
      <c r="D963" s="25">
        <f>'Daily Returns'!D963</f>
        <v>3.4646779024018054E-3</v>
      </c>
      <c r="E963" s="25">
        <f>'Daily Returns'!E963</f>
        <v>1.9327956434744949E-2</v>
      </c>
    </row>
    <row r="964" spans="1:5" ht="15" customHeight="1" x14ac:dyDescent="0.3">
      <c r="A964" s="26">
        <f>'Daily Returns'!F964</f>
        <v>-9.1781731898844723E-3</v>
      </c>
      <c r="B964" s="26">
        <f>'Daily Returns'!B964</f>
        <v>-1.5843802512603058E-2</v>
      </c>
      <c r="C964" s="26">
        <f>'Daily Returns'!C964</f>
        <v>-3.5922694361737177E-4</v>
      </c>
      <c r="D964" s="26">
        <f>'Daily Returns'!D964</f>
        <v>2.8967696629213585E-2</v>
      </c>
      <c r="E964" s="26">
        <f>'Daily Returns'!E964</f>
        <v>-7.3862716529060103E-3</v>
      </c>
    </row>
    <row r="965" spans="1:5" ht="15" customHeight="1" x14ac:dyDescent="0.3">
      <c r="A965" s="25">
        <f>'Daily Returns'!F965</f>
        <v>-4.3184730927307768E-3</v>
      </c>
      <c r="B965" s="25">
        <f>'Daily Returns'!B965</f>
        <v>1.4716643629563398E-2</v>
      </c>
      <c r="C965" s="25">
        <f>'Daily Returns'!C965</f>
        <v>7.4825911965756492E-3</v>
      </c>
      <c r="D965" s="25">
        <f>'Daily Returns'!D965</f>
        <v>1.3706420974805188E-2</v>
      </c>
      <c r="E965" s="25">
        <f>'Daily Returns'!E965</f>
        <v>-3.7389655664512397E-2</v>
      </c>
    </row>
    <row r="966" spans="1:5" ht="15" customHeight="1" x14ac:dyDescent="0.3">
      <c r="A966" s="26">
        <f>'Daily Returns'!F966</f>
        <v>-1.8944586041473833E-3</v>
      </c>
      <c r="B966" s="26">
        <f>'Daily Returns'!B966</f>
        <v>-2.9166666666666671E-2</v>
      </c>
      <c r="C966" s="26">
        <f>'Daily Returns'!C966</f>
        <v>9.5750667797498083E-3</v>
      </c>
      <c r="D966" s="26">
        <f>'Daily Returns'!D966</f>
        <v>9.0888689407540649E-3</v>
      </c>
      <c r="E966" s="26">
        <f>'Daily Returns'!E966</f>
        <v>1.5524069720651425E-2</v>
      </c>
    </row>
    <row r="967" spans="1:5" ht="15" customHeight="1" x14ac:dyDescent="0.3">
      <c r="A967" s="25">
        <f>'Daily Returns'!F967</f>
        <v>2.3227362117701267E-2</v>
      </c>
      <c r="B967" s="25">
        <f>'Daily Returns'!B967</f>
        <v>8.1710135358204778E-3</v>
      </c>
      <c r="C967" s="25">
        <f>'Daily Returns'!C967</f>
        <v>2.9944491987846236E-2</v>
      </c>
      <c r="D967" s="25">
        <f>'Daily Returns'!D967</f>
        <v>2.2684310018903503E-2</v>
      </c>
      <c r="E967" s="25">
        <f>'Daily Returns'!E967</f>
        <v>-3.1386861313868634E-2</v>
      </c>
    </row>
    <row r="968" spans="1:5" ht="15" customHeight="1" x14ac:dyDescent="0.3">
      <c r="A968" s="26">
        <f>'Daily Returns'!F968</f>
        <v>9.9985760510188024E-3</v>
      </c>
      <c r="B968" s="26">
        <f>'Daily Returns'!B968</f>
        <v>6.6311911584116907E-3</v>
      </c>
      <c r="C968" s="26">
        <f>'Daily Returns'!C968</f>
        <v>-8.240397002660365E-3</v>
      </c>
      <c r="D968" s="26">
        <f>'Daily Returns'!D968</f>
        <v>-1.2232249646623899E-2</v>
      </c>
      <c r="E968" s="26">
        <f>'Daily Returns'!E968</f>
        <v>-6.6745613090751768E-3</v>
      </c>
    </row>
    <row r="969" spans="1:5" ht="15" customHeight="1" x14ac:dyDescent="0.3">
      <c r="A969" s="25">
        <f>'Daily Returns'!F969</f>
        <v>2.3899150747398543E-3</v>
      </c>
      <c r="B969" s="25">
        <f>'Daily Returns'!B969</f>
        <v>2.8789850357839999E-2</v>
      </c>
      <c r="C969" s="25">
        <f>'Daily Returns'!C969</f>
        <v>-4.6040798757897719E-3</v>
      </c>
      <c r="D969" s="25">
        <f>'Daily Returns'!D969</f>
        <v>-4.2379877813859337E-3</v>
      </c>
      <c r="E969" s="25">
        <f>'Daily Returns'!E969</f>
        <v>-2.0808496802861218E-2</v>
      </c>
    </row>
    <row r="970" spans="1:5" ht="15" customHeight="1" x14ac:dyDescent="0.3">
      <c r="A970" s="26">
        <f>'Daily Returns'!F970</f>
        <v>-6.6024276490388436E-3</v>
      </c>
      <c r="B970" s="26">
        <f>'Daily Returns'!B970</f>
        <v>4.8221343873517744E-3</v>
      </c>
      <c r="C970" s="26">
        <f>'Daily Returns'!C970</f>
        <v>1.0717898427063549E-2</v>
      </c>
      <c r="D970" s="26">
        <f>'Daily Returns'!D970</f>
        <v>-2.7139066990935202E-2</v>
      </c>
      <c r="E970" s="26">
        <f>'Daily Returns'!E970</f>
        <v>-1.4831211953514086E-2</v>
      </c>
    </row>
    <row r="971" spans="1:5" ht="15" customHeight="1" x14ac:dyDescent="0.3">
      <c r="A971" s="25">
        <f>'Daily Returns'!F971</f>
        <v>1.2285009162283814E-3</v>
      </c>
      <c r="B971" s="25">
        <f>'Daily Returns'!B971</f>
        <v>-2.8243253874596832E-2</v>
      </c>
      <c r="C971" s="25">
        <f>'Daily Returns'!C971</f>
        <v>1.7564232834954282E-2</v>
      </c>
      <c r="D971" s="25">
        <f>'Daily Returns'!D971</f>
        <v>1.4090108516561664E-2</v>
      </c>
      <c r="E971" s="25">
        <f>'Daily Returns'!E971</f>
        <v>2.1053814178182237E-2</v>
      </c>
    </row>
    <row r="972" spans="1:5" ht="15" customHeight="1" x14ac:dyDescent="0.3">
      <c r="A972" s="26">
        <f>'Daily Returns'!F972</f>
        <v>-1.7329728939276903E-3</v>
      </c>
      <c r="B972" s="26">
        <f>'Daily Returns'!B972</f>
        <v>-1.1253238341968917E-2</v>
      </c>
      <c r="C972" s="26">
        <f>'Daily Returns'!C972</f>
        <v>-1.759891883775062E-2</v>
      </c>
      <c r="D972" s="26">
        <f>'Daily Returns'!D972</f>
        <v>2.6444058490671739E-2</v>
      </c>
      <c r="E972" s="26">
        <f>'Daily Returns'!E972</f>
        <v>1.2477443774481666E-2</v>
      </c>
    </row>
    <row r="973" spans="1:5" ht="15" customHeight="1" x14ac:dyDescent="0.3">
      <c r="A973" s="25">
        <f>'Daily Returns'!F973</f>
        <v>-1.2839801936384536E-2</v>
      </c>
      <c r="B973" s="25">
        <f>'Daily Returns'!B973</f>
        <v>1.2281994595922843E-3</v>
      </c>
      <c r="C973" s="25">
        <f>'Daily Returns'!C973</f>
        <v>1.2709597542148695E-2</v>
      </c>
      <c r="D973" s="25">
        <f>'Daily Returns'!D973</f>
        <v>-7.2594290704656537E-3</v>
      </c>
      <c r="E973" s="25">
        <f>'Daily Returns'!E973</f>
        <v>-2.803799256667169E-2</v>
      </c>
    </row>
    <row r="974" spans="1:5" ht="15" customHeight="1" x14ac:dyDescent="0.3">
      <c r="A974" s="26">
        <f>'Daily Returns'!F974</f>
        <v>-4.4935275118424172E-3</v>
      </c>
      <c r="B974" s="26">
        <f>'Daily Returns'!B974</f>
        <v>5.2338894340857095E-3</v>
      </c>
      <c r="C974" s="26">
        <f>'Daily Returns'!C974</f>
        <v>1.233123787818197E-2</v>
      </c>
      <c r="D974" s="26">
        <f>'Daily Returns'!D974</f>
        <v>-1.8748625467341087E-2</v>
      </c>
      <c r="E974" s="26">
        <f>'Daily Returns'!E974</f>
        <v>-3.77915427446946E-3</v>
      </c>
    </row>
    <row r="975" spans="1:5" ht="15" customHeight="1" x14ac:dyDescent="0.3">
      <c r="A975" s="25">
        <f>'Daily Returns'!F975</f>
        <v>5.3590176963002759E-3</v>
      </c>
      <c r="B975" s="25">
        <f>'Daily Returns'!B975</f>
        <v>1.3911487146111241E-2</v>
      </c>
      <c r="C975" s="25">
        <f>'Daily Returns'!C975</f>
        <v>-2.0575057960534587E-3</v>
      </c>
      <c r="D975" s="25">
        <f>'Daily Returns'!D975</f>
        <v>1.8098279822939371E-2</v>
      </c>
      <c r="E975" s="25">
        <f>'Daily Returns'!E975</f>
        <v>1.7732884399551526E-3</v>
      </c>
    </row>
    <row r="976" spans="1:5" ht="15" customHeight="1" x14ac:dyDescent="0.3">
      <c r="A976" s="26">
        <f>'Daily Returns'!F976</f>
        <v>-1.1783726986557235E-2</v>
      </c>
      <c r="B976" s="26">
        <f>'Daily Returns'!B976</f>
        <v>-2.6879563507983588E-2</v>
      </c>
      <c r="C976" s="26">
        <f>'Daily Returns'!C976</f>
        <v>-4.3625389379011595E-3</v>
      </c>
      <c r="D976" s="26">
        <f>'Daily Returns'!D976</f>
        <v>-1.1227297743533253E-2</v>
      </c>
      <c r="E976" s="26">
        <f>'Daily Returns'!E976</f>
        <v>2.6104102713482211E-2</v>
      </c>
    </row>
    <row r="977" spans="1:5" ht="15" customHeight="1" x14ac:dyDescent="0.3">
      <c r="A977" s="25">
        <f>'Daily Returns'!F977</f>
        <v>-1.4569670631254189E-2</v>
      </c>
      <c r="B977" s="25">
        <f>'Daily Returns'!B977</f>
        <v>-4.2051451187335512E-3</v>
      </c>
      <c r="C977" s="25">
        <f>'Daily Returns'!C977</f>
        <v>1.3520103839199285E-2</v>
      </c>
      <c r="D977" s="25">
        <f>'Daily Returns'!D977</f>
        <v>-7.514193476566817E-3</v>
      </c>
      <c r="E977" s="25">
        <f>'Daily Returns'!E977</f>
        <v>9.171507184347269E-3</v>
      </c>
    </row>
    <row r="978" spans="1:5" ht="15" customHeight="1" x14ac:dyDescent="0.3">
      <c r="A978" s="26">
        <f>'Daily Returns'!F978</f>
        <v>-1.4239505468610471E-3</v>
      </c>
      <c r="B978" s="26">
        <f>'Daily Returns'!B978</f>
        <v>1.3745135381303394E-2</v>
      </c>
      <c r="C978" s="26">
        <f>'Daily Returns'!C978</f>
        <v>8.1282155679757336E-3</v>
      </c>
      <c r="D978" s="26">
        <f>'Daily Returns'!D978</f>
        <v>2.4620043744041198E-2</v>
      </c>
      <c r="E978" s="26">
        <f>'Daily Returns'!E978</f>
        <v>-2.2374172328731498E-2</v>
      </c>
    </row>
    <row r="979" spans="1:5" ht="15" customHeight="1" x14ac:dyDescent="0.3">
      <c r="A979" s="25">
        <f>'Daily Returns'!F979</f>
        <v>-4.1667659321025343E-3</v>
      </c>
      <c r="B979" s="25">
        <f>'Daily Returns'!B979</f>
        <v>2.172670097198396E-2</v>
      </c>
      <c r="C979" s="25">
        <f>'Daily Returns'!C979</f>
        <v>7.6661551001226697E-3</v>
      </c>
      <c r="D979" s="25">
        <f>'Daily Returns'!D979</f>
        <v>-5.2545155993430738E-3</v>
      </c>
      <c r="E979" s="25">
        <f>'Daily Returns'!E979</f>
        <v>-2.3926516157591858E-2</v>
      </c>
    </row>
    <row r="980" spans="1:5" ht="15" customHeight="1" x14ac:dyDescent="0.3">
      <c r="A980" s="26">
        <f>'Daily Returns'!F980</f>
        <v>-1.9160241243441942E-2</v>
      </c>
      <c r="B980" s="26">
        <f>'Daily Returns'!B980</f>
        <v>2.6061235910144621E-2</v>
      </c>
      <c r="C980" s="26">
        <f>'Daily Returns'!C980</f>
        <v>-1.2315360679749678E-2</v>
      </c>
      <c r="D980" s="26">
        <f>'Daily Returns'!D980</f>
        <v>-2.5310883679982828E-3</v>
      </c>
      <c r="E980" s="26">
        <f>'Daily Returns'!E980</f>
        <v>1.3016168167078639E-2</v>
      </c>
    </row>
    <row r="981" spans="1:5" ht="15" customHeight="1" x14ac:dyDescent="0.3">
      <c r="A981" s="25">
        <f>'Daily Returns'!F981</f>
        <v>1.3842004505237013E-2</v>
      </c>
      <c r="B981" s="25">
        <f>'Daily Returns'!B981</f>
        <v>-5.0642773665757028E-3</v>
      </c>
      <c r="C981" s="25">
        <f>'Daily Returns'!C981</f>
        <v>-2.9785224698790656E-2</v>
      </c>
      <c r="D981" s="25">
        <f>'Daily Returns'!D981</f>
        <v>2.5761253309796929E-2</v>
      </c>
      <c r="E981" s="25">
        <f>'Daily Returns'!E981</f>
        <v>1.4908333892955405E-2</v>
      </c>
    </row>
    <row r="982" spans="1:5" ht="15" customHeight="1" x14ac:dyDescent="0.3">
      <c r="A982" s="26">
        <f>'Daily Returns'!F982</f>
        <v>1.3688571303318482E-2</v>
      </c>
      <c r="B982" s="26">
        <f>'Daily Returns'!B982</f>
        <v>1.5505090054816005E-2</v>
      </c>
      <c r="C982" s="26">
        <f>'Daily Returns'!C982</f>
        <v>-1.0570342205323954E-3</v>
      </c>
      <c r="D982" s="26">
        <f>'Daily Returns'!D982</f>
        <v>9.7337994084431435E-3</v>
      </c>
      <c r="E982" s="26">
        <f>'Daily Returns'!E982</f>
        <v>-1.0873640794900653E-2</v>
      </c>
    </row>
    <row r="983" spans="1:5" ht="15" customHeight="1" x14ac:dyDescent="0.3">
      <c r="A983" s="25">
        <f>'Daily Returns'!F983</f>
        <v>2.4003925939814198E-2</v>
      </c>
      <c r="B983" s="25">
        <f>'Daily Returns'!B983</f>
        <v>2.4059222702035813E-2</v>
      </c>
      <c r="C983" s="25">
        <f>'Daily Returns'!C983</f>
        <v>-4.1869352395307591E-3</v>
      </c>
      <c r="D983" s="25">
        <f>'Daily Returns'!D983</f>
        <v>-1.6350660417554289E-2</v>
      </c>
      <c r="E983" s="25">
        <f>'Daily Returns'!E983</f>
        <v>-1.1349953173081156E-2</v>
      </c>
    </row>
    <row r="984" spans="1:5" ht="15" customHeight="1" x14ac:dyDescent="0.3">
      <c r="A984" s="26">
        <f>'Daily Returns'!F984</f>
        <v>-4.8222605807881104E-3</v>
      </c>
      <c r="B984" s="26">
        <f>'Daily Returns'!B984</f>
        <v>1.6942771084337348E-2</v>
      </c>
      <c r="C984" s="26">
        <f>'Daily Returns'!C984</f>
        <v>8.676640343702087E-3</v>
      </c>
      <c r="D984" s="26">
        <f>'Daily Returns'!D984</f>
        <v>2.409442850181379E-2</v>
      </c>
      <c r="E984" s="26">
        <f>'Daily Returns'!E984</f>
        <v>1.0104427453368559E-2</v>
      </c>
    </row>
    <row r="985" spans="1:5" ht="15" customHeight="1" x14ac:dyDescent="0.3">
      <c r="A985" s="25">
        <f>'Daily Returns'!F985</f>
        <v>6.826729874253294E-3</v>
      </c>
      <c r="B985" s="25">
        <f>'Daily Returns'!B985</f>
        <v>1.0292484265086903E-2</v>
      </c>
      <c r="C985" s="25">
        <f>'Daily Returns'!C985</f>
        <v>-1.2891637488063292E-2</v>
      </c>
      <c r="D985" s="25">
        <f>'Daily Returns'!D985</f>
        <v>-2.7017024426350775E-2</v>
      </c>
      <c r="E985" s="25">
        <f>'Daily Returns'!E985</f>
        <v>5.9394886680807588E-3</v>
      </c>
    </row>
    <row r="986" spans="1:5" ht="15" customHeight="1" x14ac:dyDescent="0.3">
      <c r="A986" s="26">
        <f>'Daily Returns'!F986</f>
        <v>1.425635271249784E-2</v>
      </c>
      <c r="B986" s="26">
        <f>'Daily Returns'!B986</f>
        <v>1.1800058633831821E-2</v>
      </c>
      <c r="C986" s="26">
        <f>'Daily Returns'!C986</f>
        <v>1.1785481208491618E-2</v>
      </c>
      <c r="D986" s="26">
        <f>'Daily Returns'!D986</f>
        <v>1.6247350975384496E-2</v>
      </c>
      <c r="E986" s="26">
        <f>'Daily Returns'!E986</f>
        <v>-4.9233091385318874E-2</v>
      </c>
    </row>
    <row r="987" spans="1:5" ht="15" customHeight="1" x14ac:dyDescent="0.3">
      <c r="A987" s="25">
        <f>'Daily Returns'!F987</f>
        <v>6.5034498818787373E-3</v>
      </c>
      <c r="B987" s="25">
        <f>'Daily Returns'!B987</f>
        <v>-1.0575878304962026E-2</v>
      </c>
      <c r="C987" s="25">
        <f>'Daily Returns'!C987</f>
        <v>7.8236454697222235E-3</v>
      </c>
      <c r="D987" s="25">
        <f>'Daily Returns'!D987</f>
        <v>8.1274729975402728E-3</v>
      </c>
      <c r="E987" s="25">
        <f>'Daily Returns'!E987</f>
        <v>-4.6459505521443964E-3</v>
      </c>
    </row>
    <row r="988" spans="1:5" ht="15" customHeight="1" x14ac:dyDescent="0.3">
      <c r="A988" s="26">
        <f>'Daily Returns'!F988</f>
        <v>1.3405732884327297E-2</v>
      </c>
      <c r="B988" s="26">
        <f>'Daily Returns'!B988</f>
        <v>-1.9767186470459164E-2</v>
      </c>
      <c r="C988" s="26">
        <f>'Daily Returns'!C988</f>
        <v>-1.2461317210170811E-2</v>
      </c>
      <c r="D988" s="26">
        <f>'Daily Returns'!D988</f>
        <v>-7.8497931473426857E-3</v>
      </c>
      <c r="E988" s="26">
        <f>'Daily Returns'!E988</f>
        <v>1.6043533330206014E-2</v>
      </c>
    </row>
    <row r="989" spans="1:5" ht="15" customHeight="1" x14ac:dyDescent="0.3">
      <c r="A989" s="25">
        <f>'Daily Returns'!F989</f>
        <v>2.1705322362666779E-3</v>
      </c>
      <c r="B989" s="25">
        <f>'Daily Returns'!B989</f>
        <v>1.3966689073119761E-2</v>
      </c>
      <c r="C989" s="25">
        <f>'Daily Returns'!C989</f>
        <v>1.7269511116533055E-2</v>
      </c>
      <c r="D989" s="25">
        <f>'Daily Returns'!D989</f>
        <v>-1.1867849887736549E-2</v>
      </c>
      <c r="E989" s="25">
        <f>'Daily Returns'!E989</f>
        <v>-2.7586684519137514E-2</v>
      </c>
    </row>
    <row r="990" spans="1:5" ht="15" customHeight="1" x14ac:dyDescent="0.3">
      <c r="A990" s="26">
        <f>'Daily Returns'!F990</f>
        <v>-5.1633396686231337E-3</v>
      </c>
      <c r="B990" s="26">
        <f>'Daily Returns'!B990</f>
        <v>-4.4932233352974757E-3</v>
      </c>
      <c r="C990" s="26">
        <f>'Daily Returns'!C990</f>
        <v>-5.4564124088411665E-3</v>
      </c>
      <c r="D990" s="26">
        <f>'Daily Returns'!D990</f>
        <v>-1.7149967539493702E-2</v>
      </c>
      <c r="E990" s="26">
        <f>'Daily Returns'!E990</f>
        <v>1.6950359660992773E-2</v>
      </c>
    </row>
    <row r="991" spans="1:5" ht="15" customHeight="1" x14ac:dyDescent="0.3">
      <c r="A991" s="25">
        <f>'Daily Returns'!F991</f>
        <v>5.674291859738472E-3</v>
      </c>
      <c r="B991" s="25">
        <f>'Daily Returns'!B991</f>
        <v>-7.3991860895444522E-5</v>
      </c>
      <c r="C991" s="25">
        <f>'Daily Returns'!C991</f>
        <v>-1.1688634667993029E-2</v>
      </c>
      <c r="D991" s="25">
        <f>'Daily Returns'!D991</f>
        <v>2.763252050421099E-2</v>
      </c>
      <c r="E991" s="25">
        <f>'Daily Returns'!E991</f>
        <v>-2.3110862105189384E-2</v>
      </c>
    </row>
    <row r="992" spans="1:5" ht="15" customHeight="1" x14ac:dyDescent="0.3">
      <c r="A992" s="26">
        <f>'Daily Returns'!F992</f>
        <v>5.9356386089060584E-3</v>
      </c>
      <c r="B992" s="26">
        <f>'Daily Returns'!B992</f>
        <v>-7.6957229539735992E-3</v>
      </c>
      <c r="C992" s="26">
        <f>'Daily Returns'!C992</f>
        <v>5.0174619877689274E-3</v>
      </c>
      <c r="D992" s="26">
        <f>'Daily Returns'!D992</f>
        <v>2.3568482511114562E-3</v>
      </c>
      <c r="E992" s="26">
        <f>'Daily Returns'!E992</f>
        <v>4.8510048510047856E-3</v>
      </c>
    </row>
    <row r="993" spans="1:5" ht="15" customHeight="1" x14ac:dyDescent="0.3">
      <c r="A993" s="25">
        <f>'Daily Returns'!F993</f>
        <v>8.0755365381942213E-3</v>
      </c>
      <c r="B993" s="25">
        <f>'Daily Returns'!B993</f>
        <v>-5.1454138702460685E-3</v>
      </c>
      <c r="C993" s="25">
        <f>'Daily Returns'!C993</f>
        <v>3.3383915022765898E-4</v>
      </c>
      <c r="D993" s="25">
        <f>'Daily Returns'!D993</f>
        <v>-9.5121038849997393E-3</v>
      </c>
      <c r="E993" s="25">
        <f>'Daily Returns'!E993</f>
        <v>-1.5505350772889373E-2</v>
      </c>
    </row>
    <row r="994" spans="1:5" ht="15" customHeight="1" x14ac:dyDescent="0.3">
      <c r="A994" s="26">
        <f>'Daily Returns'!F994</f>
        <v>1.2726311370825579E-2</v>
      </c>
      <c r="B994" s="26">
        <f>'Daily Returns'!B994</f>
        <v>3.522974289783366E-3</v>
      </c>
      <c r="C994" s="26">
        <f>'Daily Returns'!C994</f>
        <v>-1.5366645429446914E-2</v>
      </c>
      <c r="D994" s="26">
        <f>'Daily Returns'!D994</f>
        <v>9.4415969786889667E-3</v>
      </c>
      <c r="E994" s="26">
        <f>'Daily Returns'!E994</f>
        <v>-3.0049760858012458E-2</v>
      </c>
    </row>
    <row r="995" spans="1:5" ht="15" customHeight="1" x14ac:dyDescent="0.3">
      <c r="A995" s="25">
        <f>'Daily Returns'!F995</f>
        <v>2.1586151471714682E-3</v>
      </c>
      <c r="B995" s="25">
        <f>'Daily Returns'!B995</f>
        <v>-1.3818344786375817E-2</v>
      </c>
      <c r="C995" s="25">
        <f>'Daily Returns'!C995</f>
        <v>1.1531528755642536E-2</v>
      </c>
      <c r="D995" s="25">
        <f>'Daily Returns'!D995</f>
        <v>1.9347942276857322E-2</v>
      </c>
      <c r="E995" s="25">
        <f>'Daily Returns'!E995</f>
        <v>4.6570702794242278E-3</v>
      </c>
    </row>
    <row r="996" spans="1:5" ht="15" customHeight="1" x14ac:dyDescent="0.3">
      <c r="A996" s="26">
        <f>'Daily Returns'!F996</f>
        <v>-2.0754819639389314E-3</v>
      </c>
      <c r="B996" s="26">
        <f>'Daily Returns'!B996</f>
        <v>1.211845792622863E-3</v>
      </c>
      <c r="C996" s="26">
        <f>'Daily Returns'!C996</f>
        <v>4.3407074591625958E-4</v>
      </c>
      <c r="D996" s="26">
        <f>'Daily Returns'!D996</f>
        <v>5.4005872483221537E-3</v>
      </c>
      <c r="E996" s="26">
        <f>'Daily Returns'!E996</f>
        <v>-1.4625319154211145E-3</v>
      </c>
    </row>
    <row r="997" spans="1:5" ht="15" customHeight="1" x14ac:dyDescent="0.3">
      <c r="A997" s="25">
        <f>'Daily Returns'!F997</f>
        <v>1.3719529479654774E-2</v>
      </c>
      <c r="B997" s="25">
        <f>'Daily Returns'!B997</f>
        <v>3.7824343747635981E-3</v>
      </c>
      <c r="C997" s="25">
        <f>'Daily Returns'!C997</f>
        <v>-1.277288920013395E-2</v>
      </c>
      <c r="D997" s="25">
        <f>'Daily Returns'!D997</f>
        <v>1.1368970013037846E-2</v>
      </c>
      <c r="E997" s="25">
        <f>'Daily Returns'!E997</f>
        <v>2.9243830991509928E-2</v>
      </c>
    </row>
    <row r="998" spans="1:5" ht="15" customHeight="1" x14ac:dyDescent="0.3">
      <c r="A998" s="26">
        <f>'Daily Returns'!F998</f>
        <v>-1.3369881165602397E-3</v>
      </c>
      <c r="B998" s="26">
        <f>'Daily Returns'!B998</f>
        <v>-7.536362951239303E-4</v>
      </c>
      <c r="C998" s="26">
        <f>'Daily Returns'!C998</f>
        <v>-3.03406479867998E-2</v>
      </c>
      <c r="D998" s="26">
        <f>'Daily Returns'!D998</f>
        <v>1.5417934306192855E-2</v>
      </c>
      <c r="E998" s="26">
        <f>'Daily Returns'!E998</f>
        <v>1.6184273999035166E-2</v>
      </c>
    </row>
    <row r="999" spans="1:5" ht="15" customHeight="1" x14ac:dyDescent="0.3">
      <c r="A999" s="25">
        <f>'Daily Returns'!F999</f>
        <v>-8.948937699398786E-3</v>
      </c>
      <c r="B999" s="25">
        <f>'Daily Returns'!B999</f>
        <v>-1.0030922392337374E-2</v>
      </c>
      <c r="C999" s="25">
        <f>'Daily Returns'!C999</f>
        <v>8.1107515167900875E-3</v>
      </c>
      <c r="D999" s="25">
        <f>'Daily Returns'!D999</f>
        <v>1.3203331302052577E-3</v>
      </c>
      <c r="E999" s="25">
        <f>'Daily Returns'!E999</f>
        <v>-2.9526951650803442E-2</v>
      </c>
    </row>
    <row r="1000" spans="1:5" ht="15" customHeight="1" x14ac:dyDescent="0.3">
      <c r="A1000" s="26">
        <f>'Daily Returns'!F1000</f>
        <v>1.1107261185949549E-2</v>
      </c>
      <c r="B1000" s="26">
        <f>'Daily Returns'!B1000</f>
        <v>1.127533140332179E-2</v>
      </c>
      <c r="C1000" s="26">
        <f>'Daily Returns'!C1000</f>
        <v>2.342659273223505E-3</v>
      </c>
      <c r="D1000" s="26">
        <f>'Daily Returns'!D1000</f>
        <v>5.4265138452175331E-3</v>
      </c>
      <c r="E1000" s="26">
        <f>'Daily Returns'!E1000</f>
        <v>6.6769388803287555E-3</v>
      </c>
    </row>
    <row r="1001" spans="1:5" ht="15" customHeight="1" x14ac:dyDescent="0.3">
      <c r="A1001" s="25">
        <f>'Daily Returns'!F1001</f>
        <v>-2.3839691947974345E-2</v>
      </c>
      <c r="B1001" s="25">
        <f>'Daily Returns'!B1001</f>
        <v>2.621666415549186E-2</v>
      </c>
      <c r="C1001" s="25">
        <f>'Daily Returns'!C1001</f>
        <v>2.6991721489502845E-3</v>
      </c>
      <c r="D1001" s="25">
        <f>'Daily Returns'!D1001</f>
        <v>-1.4627994955863407E-3</v>
      </c>
      <c r="E1001" s="25">
        <f>'Daily Returns'!E1001</f>
        <v>1.902332361516031E-2</v>
      </c>
    </row>
    <row r="1002" spans="1:5" ht="15" customHeight="1" x14ac:dyDescent="0.3">
      <c r="A1002" s="26">
        <f>'Daily Returns'!F1002</f>
        <v>1.3061671357970468E-2</v>
      </c>
      <c r="B1002" s="26">
        <f>'Daily Returns'!B1002</f>
        <v>-8.0017618558214897E-3</v>
      </c>
      <c r="C1002" s="26">
        <f>'Daily Returns'!C1002</f>
        <v>2.4886398417818405E-2</v>
      </c>
      <c r="D1002" s="26">
        <f>'Daily Returns'!D1002</f>
        <v>-1.5205091937765302E-2</v>
      </c>
      <c r="E1002" s="26">
        <f>'Daily Returns'!E1002</f>
        <v>1.6498581408101509E-2</v>
      </c>
    </row>
    <row r="1003" spans="1:5" ht="15" customHeight="1" x14ac:dyDescent="0.3">
      <c r="A1003" s="25">
        <f>'Daily Returns'!F1003</f>
        <v>9.945476271609105E-3</v>
      </c>
      <c r="B1003" s="25">
        <f>'Daily Returns'!B1003</f>
        <v>1.7390660845112073E-2</v>
      </c>
      <c r="C1003" s="25">
        <f>'Daily Returns'!C1003</f>
        <v>-4.3341756642928352E-2</v>
      </c>
      <c r="D1003" s="25">
        <f>'Daily Returns'!D1003</f>
        <v>-1.9543472685303938E-2</v>
      </c>
      <c r="E1003" s="25">
        <f>'Daily Returns'!E1003</f>
        <v>3.5651460068019204E-2</v>
      </c>
    </row>
    <row r="1004" spans="1:5" ht="15" customHeight="1" x14ac:dyDescent="0.3">
      <c r="A1004" s="26">
        <f>'Daily Returns'!F1004</f>
        <v>3.6216613925178824E-4</v>
      </c>
      <c r="B1004" s="26">
        <f>'Daily Returns'!B1004</f>
        <v>1.2656386383474027E-2</v>
      </c>
      <c r="C1004" s="26">
        <f>'Daily Returns'!C1004</f>
        <v>2.2988873769310837E-2</v>
      </c>
      <c r="D1004" s="26">
        <f>'Daily Returns'!D1004</f>
        <v>7.4814272261170189E-3</v>
      </c>
      <c r="E1004" s="26">
        <f>'Daily Returns'!E1004</f>
        <v>3.7368361453968969E-2</v>
      </c>
    </row>
    <row r="1005" spans="1:5" ht="15" customHeight="1" x14ac:dyDescent="0.3">
      <c r="A1005" s="25">
        <f>'Daily Returns'!F1005</f>
        <v>1.3307940896651937E-2</v>
      </c>
      <c r="B1005" s="25">
        <f>'Daily Returns'!B1005</f>
        <v>-3.6417181439448304E-2</v>
      </c>
      <c r="C1005" s="25">
        <f>'Daily Returns'!C1005</f>
        <v>2.4647501604043755E-2</v>
      </c>
      <c r="D1005" s="25">
        <f>'Daily Returns'!D1005</f>
        <v>-1.0749337903100136E-2</v>
      </c>
      <c r="E1005" s="25">
        <f>'Daily Returns'!E1005</f>
        <v>-1.2858858203252889E-2</v>
      </c>
    </row>
    <row r="1006" spans="1:5" ht="15" customHeight="1" x14ac:dyDescent="0.3">
      <c r="A1006" s="26">
        <f>'Daily Returns'!F1006</f>
        <v>-4.1941096425529342E-3</v>
      </c>
      <c r="B1006" s="26">
        <f>'Daily Returns'!B1006</f>
        <v>-1.0212448751397723E-2</v>
      </c>
      <c r="C1006" s="26">
        <f>'Daily Returns'!C1006</f>
        <v>-1.6693139470951111E-2</v>
      </c>
      <c r="D1006" s="26">
        <f>'Daily Returns'!D1006</f>
        <v>5.249343832016223E-5</v>
      </c>
      <c r="E1006" s="26">
        <f>'Daily Returns'!E1006</f>
        <v>7.8069709837225157E-3</v>
      </c>
    </row>
    <row r="1007" spans="1:5" ht="15" customHeight="1" x14ac:dyDescent="0.3">
      <c r="A1007" s="25">
        <f>'Daily Returns'!F1007</f>
        <v>3.7617006179785366E-3</v>
      </c>
      <c r="B1007" s="25">
        <f>'Daily Returns'!B1007</f>
        <v>-8.5103178189486033E-3</v>
      </c>
      <c r="C1007" s="25">
        <f>'Daily Returns'!C1007</f>
        <v>1.849090598449897E-2</v>
      </c>
      <c r="D1007" s="25">
        <f>'Daily Returns'!D1007</f>
        <v>-3.5168757545535013E-3</v>
      </c>
      <c r="E1007" s="25">
        <f>'Daily Returns'!E1007</f>
        <v>4.5864513155873463E-2</v>
      </c>
    </row>
    <row r="1008" spans="1:5" ht="15" customHeight="1" x14ac:dyDescent="0.3">
      <c r="A1008" s="26">
        <f>'Daily Returns'!F1008</f>
        <v>-1.5927137587353746E-2</v>
      </c>
      <c r="B1008" s="26">
        <f>'Daily Returns'!B1008</f>
        <v>1.1165970375996953E-2</v>
      </c>
      <c r="C1008" s="26">
        <f>'Daily Returns'!C1008</f>
        <v>-1.3725056615858541E-2</v>
      </c>
      <c r="D1008" s="26">
        <f>'Daily Returns'!D1008</f>
        <v>1.569742941424352E-2</v>
      </c>
      <c r="E1008" s="26">
        <f>'Daily Returns'!E1008</f>
        <v>2.461235023815023E-2</v>
      </c>
    </row>
    <row r="1009" spans="1:5" ht="15" customHeight="1" x14ac:dyDescent="0.3">
      <c r="A1009" s="25">
        <f>'Daily Returns'!F1009</f>
        <v>-1.3636605699992735E-2</v>
      </c>
      <c r="B1009" s="25">
        <f>'Daily Returns'!B1009</f>
        <v>2.9296874999998972E-3</v>
      </c>
      <c r="C1009" s="25">
        <f>'Daily Returns'!C1009</f>
        <v>-1.7789357310181133E-2</v>
      </c>
      <c r="D1009" s="25">
        <f>'Daily Returns'!D1009</f>
        <v>4.771289285343927E-3</v>
      </c>
      <c r="E1009" s="25">
        <f>'Daily Returns'!E1009</f>
        <v>-1.2184633027522913E-2</v>
      </c>
    </row>
    <row r="1010" spans="1:5" ht="15" customHeight="1" x14ac:dyDescent="0.3">
      <c r="A1010" s="26">
        <f>'Daily Returns'!F1010</f>
        <v>5.4031400531089242E-3</v>
      </c>
      <c r="B1010" s="26">
        <f>'Daily Returns'!B1010</f>
        <v>6.8908695977830574E-3</v>
      </c>
      <c r="C1010" s="26">
        <f>'Daily Returns'!C1010</f>
        <v>-1.1964170457944223E-3</v>
      </c>
      <c r="D1010" s="26">
        <f>'Daily Returns'!D1010</f>
        <v>5.2647878600184878E-3</v>
      </c>
      <c r="E1010" s="26">
        <f>'Daily Returns'!E1010</f>
        <v>-2.8339241660965683E-2</v>
      </c>
    </row>
    <row r="1011" spans="1:5" ht="15" customHeight="1" x14ac:dyDescent="0.3">
      <c r="A1011" s="25">
        <f>'Daily Returns'!F1011</f>
        <v>-4.3058805454676682E-3</v>
      </c>
      <c r="B1011" s="25">
        <f>'Daily Returns'!B1011</f>
        <v>9.0753552034516013E-3</v>
      </c>
      <c r="C1011" s="25">
        <f>'Daily Returns'!C1011</f>
        <v>3.2830551483915595E-2</v>
      </c>
      <c r="D1011" s="25">
        <f>'Daily Returns'!D1011</f>
        <v>-4.107619634421765E-3</v>
      </c>
      <c r="E1011" s="25">
        <f>'Daily Returns'!E1011</f>
        <v>-2.8931085982504805E-2</v>
      </c>
    </row>
    <row r="1012" spans="1:5" ht="15" customHeight="1" x14ac:dyDescent="0.3">
      <c r="A1012" s="26">
        <f>'Daily Returns'!F1012</f>
        <v>-1.2620646355868266E-2</v>
      </c>
      <c r="B1012" s="26">
        <f>'Daily Returns'!B1012</f>
        <v>-1.2089937338739511E-2</v>
      </c>
      <c r="C1012" s="26">
        <f>'Daily Returns'!C1012</f>
        <v>6.9739050816420732E-3</v>
      </c>
      <c r="D1012" s="26">
        <f>'Daily Returns'!D1012</f>
        <v>-1.8044957723241611E-3</v>
      </c>
      <c r="E1012" s="26">
        <f>'Daily Returns'!E1012</f>
        <v>1.2875159291646556E-2</v>
      </c>
    </row>
    <row r="1013" spans="1:5" ht="15" customHeight="1" x14ac:dyDescent="0.3">
      <c r="A1013" s="25">
        <f>'Daily Returns'!F1013</f>
        <v>1.0880981563835922E-2</v>
      </c>
      <c r="B1013" s="25">
        <f>'Daily Returns'!B1013</f>
        <v>-1.0073875083948917E-2</v>
      </c>
      <c r="C1013" s="25">
        <f>'Daily Returns'!C1013</f>
        <v>1.4775637625593263E-3</v>
      </c>
      <c r="D1013" s="25">
        <f>'Daily Returns'!D1013</f>
        <v>-4.9584215691338661E-3</v>
      </c>
      <c r="E1013" s="25">
        <f>'Daily Returns'!E1013</f>
        <v>-1.5618221258135083E-3</v>
      </c>
    </row>
    <row r="1014" spans="1:5" ht="15" customHeight="1" x14ac:dyDescent="0.3">
      <c r="A1014" s="26">
        <f>'Daily Returns'!F1014</f>
        <v>-5.69656153994754E-4</v>
      </c>
      <c r="B1014" s="26">
        <f>'Daily Returns'!B1014</f>
        <v>-1.6583747927031423E-2</v>
      </c>
      <c r="C1014" s="26">
        <f>'Daily Returns'!C1014</f>
        <v>1.6214089536880687E-2</v>
      </c>
      <c r="D1014" s="26">
        <f>'Daily Returns'!D1014</f>
        <v>4.3083311705163982E-3</v>
      </c>
      <c r="E1014" s="26">
        <f>'Daily Returns'!E1014</f>
        <v>-2.998175023898487E-3</v>
      </c>
    </row>
    <row r="1015" spans="1:5" ht="15" customHeight="1" x14ac:dyDescent="0.3">
      <c r="A1015" s="25">
        <f>'Daily Returns'!F1015</f>
        <v>-7.2017358838219244E-3</v>
      </c>
      <c r="B1015" s="25">
        <f>'Daily Returns'!B1015</f>
        <v>-2.0695998773571228E-3</v>
      </c>
      <c r="C1015" s="25">
        <f>'Daily Returns'!C1015</f>
        <v>-1.0378819465125847E-2</v>
      </c>
      <c r="D1015" s="25">
        <f>'Daily Returns'!D1015</f>
        <v>-2.6721108124870725E-2</v>
      </c>
      <c r="E1015" s="25">
        <f>'Daily Returns'!E1015</f>
        <v>-1.0459795162344639E-2</v>
      </c>
    </row>
    <row r="1016" spans="1:5" ht="15" customHeight="1" x14ac:dyDescent="0.3">
      <c r="A1016" s="26">
        <f>'Daily Returns'!F1016</f>
        <v>-1.4932863165887671E-3</v>
      </c>
      <c r="B1016" s="26">
        <f>'Daily Returns'!B1016</f>
        <v>-1.3057838543665988E-3</v>
      </c>
      <c r="C1016" s="26">
        <f>'Daily Returns'!C1016</f>
        <v>2.7009133450698823E-2</v>
      </c>
      <c r="D1016" s="26">
        <f>'Daily Returns'!D1016</f>
        <v>5.3103924379963385E-5</v>
      </c>
      <c r="E1016" s="26">
        <f>'Daily Returns'!E1016</f>
        <v>-1.5789473684210562E-2</v>
      </c>
    </row>
    <row r="1017" spans="1:5" ht="15" customHeight="1" x14ac:dyDescent="0.3">
      <c r="A1017" s="25">
        <f>'Daily Returns'!F1017</f>
        <v>1.7415526990276028E-2</v>
      </c>
      <c r="B1017" s="25">
        <f>'Daily Returns'!B1017</f>
        <v>2.6918935548376735E-3</v>
      </c>
      <c r="C1017" s="25">
        <f>'Daily Returns'!C1017</f>
        <v>2.8298707768042979E-2</v>
      </c>
      <c r="D1017" s="25">
        <f>'Daily Returns'!D1017</f>
        <v>6.2128292268480035E-3</v>
      </c>
      <c r="E1017" s="25">
        <f>'Daily Returns'!E1017</f>
        <v>1.2127178752824862E-2</v>
      </c>
    </row>
    <row r="1018" spans="1:5" ht="15" customHeight="1" x14ac:dyDescent="0.3">
      <c r="A1018" s="26">
        <f>'Daily Returns'!F1018</f>
        <v>1.2589150715489356E-2</v>
      </c>
      <c r="B1018" s="26">
        <f>'Daily Returns'!B1018</f>
        <v>-9.8182097108230511E-3</v>
      </c>
      <c r="C1018" s="26">
        <f>'Daily Returns'!C1018</f>
        <v>8.1640794751052827E-3</v>
      </c>
      <c r="D1018" s="26">
        <f>'Daily Returns'!D1018</f>
        <v>6.5966541770014243E-3</v>
      </c>
      <c r="E1018" s="26">
        <f>'Daily Returns'!E1018</f>
        <v>-4.4213551453605949E-5</v>
      </c>
    </row>
    <row r="1019" spans="1:5" ht="15" customHeight="1" x14ac:dyDescent="0.3">
      <c r="A1019" s="25">
        <f>'Daily Returns'!F1019</f>
        <v>9.4980085280282076E-4</v>
      </c>
      <c r="B1019" s="25">
        <f>'Daily Returns'!B1019</f>
        <v>1.2936710821907099E-2</v>
      </c>
      <c r="C1019" s="25">
        <f>'Daily Returns'!C1019</f>
        <v>-1.3312888204244115E-2</v>
      </c>
      <c r="D1019" s="25">
        <f>'Daily Returns'!D1019</f>
        <v>-1.6567054629338347E-2</v>
      </c>
      <c r="E1019" s="25">
        <f>'Daily Returns'!E1019</f>
        <v>8.6220237437270014E-3</v>
      </c>
    </row>
    <row r="1020" spans="1:5" ht="15" customHeight="1" x14ac:dyDescent="0.3">
      <c r="A1020" s="26">
        <f>'Daily Returns'!F1020</f>
        <v>7.6526225891228161E-3</v>
      </c>
      <c r="B1020" s="26">
        <f>'Daily Returns'!B1020</f>
        <v>1.3000917711838615E-2</v>
      </c>
      <c r="C1020" s="26">
        <f>'Daily Returns'!C1020</f>
        <v>1.9508282426074074E-2</v>
      </c>
      <c r="D1020" s="26">
        <f>'Daily Returns'!D1020</f>
        <v>-6.2373387354729493E-3</v>
      </c>
      <c r="E1020" s="26">
        <f>'Daily Returns'!E1020</f>
        <v>-3.0467088968283616E-2</v>
      </c>
    </row>
    <row r="1021" spans="1:5" ht="15" customHeight="1" x14ac:dyDescent="0.3">
      <c r="A1021" s="25">
        <f>'Daily Returns'!F1021</f>
        <v>-6.2308030870402023E-3</v>
      </c>
      <c r="B1021" s="25">
        <f>'Daily Returns'!B1021</f>
        <v>2.1742412803865283E-2</v>
      </c>
      <c r="C1021" s="25">
        <f>'Daily Returns'!C1021</f>
        <v>5.7882647147664036E-3</v>
      </c>
      <c r="D1021" s="25">
        <f>'Daily Returns'!D1021</f>
        <v>-5.6327450244084707E-3</v>
      </c>
      <c r="E1021" s="25">
        <f>'Daily Returns'!E1021</f>
        <v>3.4295661610110134E-2</v>
      </c>
    </row>
    <row r="1022" spans="1:5" ht="15" customHeight="1" x14ac:dyDescent="0.3">
      <c r="A1022" s="26">
        <f>'Daily Returns'!F1022</f>
        <v>2.0759276377539361E-2</v>
      </c>
      <c r="B1022" s="26">
        <f>'Daily Returns'!B1022</f>
        <v>1.0196542042263893E-2</v>
      </c>
      <c r="C1022" s="26">
        <f>'Daily Returns'!C1022</f>
        <v>1.1949909555038817E-2</v>
      </c>
      <c r="D1022" s="26">
        <f>'Daily Returns'!D1022</f>
        <v>-8.0923608113940438E-3</v>
      </c>
      <c r="E1022" s="26">
        <f>'Daily Returns'!E1022</f>
        <v>2.2754098360655794E-2</v>
      </c>
    </row>
    <row r="1023" spans="1:5" ht="15" customHeight="1" x14ac:dyDescent="0.3">
      <c r="A1023" s="25">
        <f>'Daily Returns'!F1023</f>
        <v>1.5204500884937581E-2</v>
      </c>
      <c r="B1023" s="25">
        <f>'Daily Returns'!B1023</f>
        <v>2.8525453481569249E-3</v>
      </c>
      <c r="C1023" s="25">
        <f>'Daily Returns'!C1023</f>
        <v>2.0642961654197507E-2</v>
      </c>
      <c r="D1023" s="25">
        <f>'Daily Returns'!D1023</f>
        <v>-1.8764277167410078E-2</v>
      </c>
      <c r="E1023" s="25">
        <f>'Daily Returns'!E1023</f>
        <v>2.0709110726421742E-2</v>
      </c>
    </row>
    <row r="1024" spans="1:5" ht="15" customHeight="1" x14ac:dyDescent="0.3">
      <c r="A1024" s="26">
        <f>'Daily Returns'!F1024</f>
        <v>-3.7123140586153959E-3</v>
      </c>
      <c r="B1024" s="26">
        <f>'Daily Returns'!B1024</f>
        <v>9.6273065421923487E-3</v>
      </c>
      <c r="C1024" s="26">
        <f>'Daily Returns'!C1024</f>
        <v>8.2970997342493615E-3</v>
      </c>
      <c r="D1024" s="26">
        <f>'Daily Returns'!D1024</f>
        <v>-1.6684219278310465E-2</v>
      </c>
      <c r="E1024" s="26">
        <f>'Daily Returns'!E1024</f>
        <v>-3.8525963149078794E-2</v>
      </c>
    </row>
    <row r="1025" spans="1:5" ht="15" customHeight="1" x14ac:dyDescent="0.3">
      <c r="A1025" s="25">
        <f>'Daily Returns'!F1025</f>
        <v>2.6218143487501907E-3</v>
      </c>
      <c r="B1025" s="25">
        <f>'Daily Returns'!B1025</f>
        <v>8.8131185436682719E-3</v>
      </c>
      <c r="C1025" s="25">
        <f>'Daily Returns'!C1025</f>
        <v>-1.532425725974107E-2</v>
      </c>
      <c r="D1025" s="25">
        <f>'Daily Returns'!D1025</f>
        <v>5.0732807215334507E-4</v>
      </c>
      <c r="E1025" s="25">
        <f>'Daily Returns'!E1025</f>
        <v>1.7312717770034819E-2</v>
      </c>
    </row>
    <row r="1026" spans="1:5" ht="15" customHeight="1" x14ac:dyDescent="0.3">
      <c r="A1026" s="26">
        <f>'Daily Returns'!F1026</f>
        <v>1.0809669282921715E-2</v>
      </c>
      <c r="B1026" s="26">
        <f>'Daily Returns'!B1026</f>
        <v>-8.736126029359104E-3</v>
      </c>
      <c r="C1026" s="26">
        <f>'Daily Returns'!C1026</f>
        <v>2.6882342925251167E-2</v>
      </c>
      <c r="D1026" s="26">
        <f>'Daily Returns'!D1026</f>
        <v>6.4792382669444882E-3</v>
      </c>
      <c r="E1026" s="26">
        <f>'Daily Returns'!E1026</f>
        <v>-2.6608155838595635E-2</v>
      </c>
    </row>
    <row r="1027" spans="1:5" ht="15" customHeight="1" x14ac:dyDescent="0.3">
      <c r="A1027" s="25">
        <f>'Daily Returns'!F1027</f>
        <v>1.1297754641434486E-2</v>
      </c>
      <c r="B1027" s="25">
        <f>'Daily Returns'!B1027</f>
        <v>1.8204146500035986E-2</v>
      </c>
      <c r="C1027" s="25">
        <f>'Daily Returns'!C1027</f>
        <v>5.5182659910327754E-3</v>
      </c>
      <c r="D1027" s="25">
        <f>'Daily Returns'!D1027</f>
        <v>2.742946708464001E-3</v>
      </c>
      <c r="E1027" s="25">
        <f>'Daily Returns'!E1027</f>
        <v>8.5767065446867904E-3</v>
      </c>
    </row>
    <row r="1028" spans="1:5" ht="15" customHeight="1" x14ac:dyDescent="0.3">
      <c r="A1028" s="26">
        <f>'Daily Returns'!F1028</f>
        <v>1.1788626165875237E-2</v>
      </c>
      <c r="B1028" s="26">
        <f>'Daily Returns'!B1028</f>
        <v>2.4122029088329236E-2</v>
      </c>
      <c r="C1028" s="26">
        <f>'Daily Returns'!C1028</f>
        <v>6.3124983509669514E-3</v>
      </c>
      <c r="D1028" s="26">
        <f>'Daily Returns'!D1028</f>
        <v>-1.3342265393847967E-2</v>
      </c>
      <c r="E1028" s="26">
        <f>'Daily Returns'!E1028</f>
        <v>2.2458680388993089E-2</v>
      </c>
    </row>
    <row r="1029" spans="1:5" ht="15" customHeight="1" x14ac:dyDescent="0.3">
      <c r="A1029" s="25">
        <f>'Daily Returns'!F1029</f>
        <v>8.1244123925715804E-3</v>
      </c>
      <c r="B1029" s="25">
        <f>'Daily Returns'!B1029</f>
        <v>2.7710426047800486E-2</v>
      </c>
      <c r="C1029" s="25">
        <f>'Daily Returns'!C1029</f>
        <v>1.1444602486874128E-2</v>
      </c>
      <c r="D1029" s="25">
        <f>'Daily Returns'!D1029</f>
        <v>6.4501527667759776E-3</v>
      </c>
      <c r="E1029" s="25">
        <f>'Daily Returns'!E1029</f>
        <v>2.0728482470357353E-2</v>
      </c>
    </row>
    <row r="1030" spans="1:5" ht="15" customHeight="1" x14ac:dyDescent="0.3">
      <c r="A1030" s="26">
        <f>'Daily Returns'!F1030</f>
        <v>4.2754547992001294E-3</v>
      </c>
      <c r="B1030" s="26">
        <f>'Daily Returns'!B1030</f>
        <v>8.0889787664310451E-4</v>
      </c>
      <c r="C1030" s="26">
        <f>'Daily Returns'!C1030</f>
        <v>6.0917521564155166E-3</v>
      </c>
      <c r="D1030" s="26">
        <f>'Daily Returns'!D1030</f>
        <v>-2.7546660670115194E-3</v>
      </c>
      <c r="E1030" s="26">
        <f>'Daily Returns'!E1030</f>
        <v>1.4186027076717409E-2</v>
      </c>
    </row>
    <row r="1031" spans="1:5" ht="15" customHeight="1" x14ac:dyDescent="0.3">
      <c r="A1031" s="25">
        <f>'Daily Returns'!F1031</f>
        <v>-1.7710732280746169E-2</v>
      </c>
      <c r="B1031" s="25">
        <f>'Daily Returns'!B1031</f>
        <v>4.7821108641476926E-3</v>
      </c>
      <c r="C1031" s="25">
        <f>'Daily Returns'!C1031</f>
        <v>1.379092671678041E-2</v>
      </c>
      <c r="D1031" s="25">
        <f>'Daily Returns'!D1031</f>
        <v>-7.3848582219965837E-3</v>
      </c>
      <c r="E1031" s="25">
        <f>'Daily Returns'!E1031</f>
        <v>3.5494304019117108E-2</v>
      </c>
    </row>
    <row r="1032" spans="1:5" ht="15" customHeight="1" x14ac:dyDescent="0.3">
      <c r="A1032" s="26">
        <f>'Daily Returns'!F1032</f>
        <v>1.6947222219750615E-2</v>
      </c>
      <c r="B1032" s="26">
        <f>'Daily Returns'!B1032</f>
        <v>6.1000134066228487E-3</v>
      </c>
      <c r="C1032" s="26">
        <f>'Daily Returns'!C1032</f>
        <v>4.0790911632397923E-3</v>
      </c>
      <c r="D1032" s="26">
        <f>'Daily Returns'!D1032</f>
        <v>-1.4198091776465242E-2</v>
      </c>
      <c r="E1032" s="26">
        <f>'Daily Returns'!E1032</f>
        <v>3.600843512513433E-3</v>
      </c>
    </row>
    <row r="1033" spans="1:5" ht="15" customHeight="1" x14ac:dyDescent="0.3">
      <c r="A1033" s="25">
        <f>'Daily Returns'!F1033</f>
        <v>-3.4686617413915979E-3</v>
      </c>
      <c r="B1033" s="25">
        <f>'Daily Returns'!B1033</f>
        <v>3.3313345326126288E-4</v>
      </c>
      <c r="C1033" s="25">
        <f>'Daily Returns'!C1033</f>
        <v>-2.5374928810985198E-3</v>
      </c>
      <c r="D1033" s="25">
        <f>'Daily Returns'!D1033</f>
        <v>-7.6045627376427095E-3</v>
      </c>
      <c r="E1033" s="25">
        <f>'Daily Returns'!E1033</f>
        <v>-1.4787797093979892E-2</v>
      </c>
    </row>
    <row r="1034" spans="1:5" ht="15" customHeight="1" x14ac:dyDescent="0.3">
      <c r="A1034" s="26">
        <f>'Daily Returns'!F1034</f>
        <v>3.1345932579358031E-3</v>
      </c>
      <c r="B1034" s="26">
        <f>'Daily Returns'!B1034</f>
        <v>8.8583988277608407E-3</v>
      </c>
      <c r="C1034" s="26">
        <f>'Daily Returns'!C1034</f>
        <v>-9.1099987946379798E-3</v>
      </c>
      <c r="D1034" s="26">
        <f>'Daily Returns'!D1034</f>
        <v>1.1668408220132471E-2</v>
      </c>
      <c r="E1034" s="26">
        <f>'Daily Returns'!E1034</f>
        <v>-9.4967908090379874E-3</v>
      </c>
    </row>
    <row r="1035" spans="1:5" ht="15" customHeight="1" x14ac:dyDescent="0.3">
      <c r="A1035" s="25">
        <f>'Daily Returns'!F1035</f>
        <v>4.376161734185372E-5</v>
      </c>
      <c r="B1035" s="25">
        <f>'Daily Returns'!B1035</f>
        <v>-1.3203934772561474E-3</v>
      </c>
      <c r="C1035" s="25">
        <f>'Daily Returns'!C1035</f>
        <v>-8.4254736127739923E-3</v>
      </c>
      <c r="D1035" s="25">
        <f>'Daily Returns'!D1035</f>
        <v>-2.4674355884547359E-3</v>
      </c>
      <c r="E1035" s="25">
        <f>'Daily Returns'!E1035</f>
        <v>8.5315566028145817E-4</v>
      </c>
    </row>
    <row r="1036" spans="1:5" ht="15" customHeight="1" x14ac:dyDescent="0.3">
      <c r="A1036" s="26">
        <f>'Daily Returns'!F1036</f>
        <v>1.2288380814433642E-2</v>
      </c>
      <c r="B1036" s="26">
        <f>'Daily Returns'!B1036</f>
        <v>-2.3798505982680876E-3</v>
      </c>
      <c r="C1036" s="26">
        <f>'Daily Returns'!C1036</f>
        <v>-4.4874319621377255E-3</v>
      </c>
      <c r="D1036" s="26">
        <f>'Daily Returns'!D1036</f>
        <v>-1.5531523239761288E-3</v>
      </c>
      <c r="E1036" s="26">
        <f>'Daily Returns'!E1036</f>
        <v>1.6317915203669542E-2</v>
      </c>
    </row>
    <row r="1037" spans="1:5" ht="15" customHeight="1" x14ac:dyDescent="0.3">
      <c r="A1037" s="25">
        <f>'Daily Returns'!F1037</f>
        <v>-4.4423762011577203E-3</v>
      </c>
      <c r="B1037" s="25">
        <f>'Daily Returns'!B1037</f>
        <v>2.4650453912928229E-2</v>
      </c>
      <c r="C1037" s="25">
        <f>'Daily Returns'!C1037</f>
        <v>1.8050096639037082E-2</v>
      </c>
      <c r="D1037" s="25">
        <f>'Daily Returns'!D1037</f>
        <v>-1.5382842657141139E-2</v>
      </c>
      <c r="E1037" s="25">
        <f>'Daily Returns'!E1037</f>
        <v>-1.9610584123814265E-2</v>
      </c>
    </row>
    <row r="1038" spans="1:5" ht="15" customHeight="1" x14ac:dyDescent="0.3">
      <c r="A1038" s="26">
        <f>'Daily Returns'!F1038</f>
        <v>-1.2847520367344989E-2</v>
      </c>
      <c r="B1038" s="26">
        <f>'Daily Returns'!B1038</f>
        <v>2.6514906551121814E-3</v>
      </c>
      <c r="C1038" s="26">
        <f>'Daily Returns'!C1038</f>
        <v>-5.3515114834517827E-3</v>
      </c>
      <c r="D1038" s="26">
        <f>'Daily Returns'!D1038</f>
        <v>4.4353423054417696E-2</v>
      </c>
      <c r="E1038" s="26">
        <f>'Daily Returns'!E1038</f>
        <v>1.5888212168740985E-2</v>
      </c>
    </row>
    <row r="1039" spans="1:5" ht="15" customHeight="1" x14ac:dyDescent="0.3">
      <c r="A1039" s="25">
        <f>'Daily Returns'!F1039</f>
        <v>1.6995286186103829E-2</v>
      </c>
      <c r="B1039" s="25">
        <f>'Daily Returns'!B1039</f>
        <v>1.2254901960784168E-3</v>
      </c>
      <c r="C1039" s="25">
        <f>'Daily Returns'!C1039</f>
        <v>-1.3578863090471678E-3</v>
      </c>
      <c r="D1039" s="25">
        <f>'Daily Returns'!D1039</f>
        <v>-3.5242043926490323E-2</v>
      </c>
      <c r="E1039" s="25">
        <f>'Daily Returns'!E1039</f>
        <v>2.0050929360557627E-5</v>
      </c>
    </row>
    <row r="1040" spans="1:5" ht="15" customHeight="1" x14ac:dyDescent="0.3">
      <c r="A1040" s="26">
        <f>'Daily Returns'!F1040</f>
        <v>8.257780284438708E-3</v>
      </c>
      <c r="B1040" s="26">
        <f>'Daily Returns'!B1040</f>
        <v>1.2562004767119869E-2</v>
      </c>
      <c r="C1040" s="26">
        <f>'Daily Returns'!C1040</f>
        <v>-1.1929730041754872E-3</v>
      </c>
      <c r="D1040" s="26">
        <f>'Daily Returns'!D1040</f>
        <v>-3.1593007724025769E-2</v>
      </c>
      <c r="E1040" s="26">
        <f>'Daily Returns'!E1040</f>
        <v>-8.2207162048362325E-3</v>
      </c>
    </row>
    <row r="1041" spans="1:5" ht="15" customHeight="1" x14ac:dyDescent="0.3">
      <c r="A1041" s="25">
        <f>'Daily Returns'!F1041</f>
        <v>1.7867327111952602E-2</v>
      </c>
      <c r="B1041" s="25">
        <f>'Daily Returns'!B1041</f>
        <v>2.3539890571319796E-3</v>
      </c>
      <c r="C1041" s="25">
        <f>'Daily Returns'!C1041</f>
        <v>1.0017530678687644E-2</v>
      </c>
      <c r="D1041" s="25">
        <f>'Daily Returns'!D1041</f>
        <v>-7.8560719640180052E-3</v>
      </c>
      <c r="E1041" s="25">
        <f>'Daily Returns'!E1041</f>
        <v>-1.7163998059194583E-2</v>
      </c>
    </row>
    <row r="1042" spans="1:5" ht="15" customHeight="1" x14ac:dyDescent="0.3">
      <c r="A1042" s="26">
        <f>'Daily Returns'!F1042</f>
        <v>-1.5361559267805443E-4</v>
      </c>
      <c r="B1042" s="26">
        <f>'Daily Returns'!B1042</f>
        <v>4.3795620437956061E-3</v>
      </c>
      <c r="C1042" s="26">
        <f>'Daily Returns'!C1042</f>
        <v>1.2041681766452443E-2</v>
      </c>
      <c r="D1042" s="26">
        <f>'Daily Returns'!D1042</f>
        <v>3.5662475822050496E-3</v>
      </c>
      <c r="E1042" s="26">
        <f>'Daily Returns'!E1042</f>
        <v>-8.4336110254036121E-3</v>
      </c>
    </row>
    <row r="1043" spans="1:5" ht="15" customHeight="1" x14ac:dyDescent="0.3">
      <c r="A1043" s="25">
        <f>'Daily Returns'!F1043</f>
        <v>4.2159100656433647E-3</v>
      </c>
      <c r="B1043" s="25">
        <f>'Daily Returns'!B1043</f>
        <v>-5.6875631951468285E-4</v>
      </c>
      <c r="C1043" s="25">
        <f>'Daily Returns'!C1043</f>
        <v>3.5418799982410029E-2</v>
      </c>
      <c r="D1043" s="25">
        <f>'Daily Returns'!D1043</f>
        <v>2.830813708365951E-2</v>
      </c>
      <c r="E1043" s="25">
        <f>'Daily Returns'!E1043</f>
        <v>6.2441655429934465E-3</v>
      </c>
    </row>
    <row r="1044" spans="1:5" ht="15" customHeight="1" x14ac:dyDescent="0.3">
      <c r="A1044" s="26">
        <f>'Daily Returns'!F1044</f>
        <v>1.059416519216501E-2</v>
      </c>
      <c r="B1044" s="26">
        <f>'Daily Returns'!B1044</f>
        <v>-1.6566550742965567E-2</v>
      </c>
      <c r="C1044" s="26">
        <f>'Daily Returns'!C1044</f>
        <v>-2.3977818091360813E-2</v>
      </c>
      <c r="D1044" s="26">
        <f>'Daily Returns'!D1044</f>
        <v>8.4929420722779665E-3</v>
      </c>
      <c r="E1044" s="26">
        <f>'Daily Returns'!E1044</f>
        <v>-3.216096977693486E-3</v>
      </c>
    </row>
    <row r="1045" spans="1:5" ht="15" customHeight="1" x14ac:dyDescent="0.3">
      <c r="A1045" s="25">
        <f>'Daily Returns'!F1045</f>
        <v>-1.1201223084346373E-2</v>
      </c>
      <c r="B1045" s="25">
        <f>'Daily Returns'!B1045</f>
        <v>-1.2859255449116074E-4</v>
      </c>
      <c r="C1045" s="25">
        <f>'Daily Returns'!C1045</f>
        <v>-3.4251897530257857E-3</v>
      </c>
      <c r="D1045" s="25">
        <f>'Daily Returns'!D1045</f>
        <v>5.1109304216517331E-3</v>
      </c>
      <c r="E1045" s="25">
        <f>'Daily Returns'!E1045</f>
        <v>1.4746639089968967E-2</v>
      </c>
    </row>
    <row r="1046" spans="1:5" ht="15" customHeight="1" x14ac:dyDescent="0.3">
      <c r="A1046" s="26">
        <f>'Daily Returns'!F1046</f>
        <v>-1.7195047957241475E-2</v>
      </c>
      <c r="B1046" s="26">
        <f>'Daily Returns'!B1046</f>
        <v>-1.5433091119542006E-2</v>
      </c>
      <c r="C1046" s="26">
        <f>'Daily Returns'!C1046</f>
        <v>1.0703859876743341E-2</v>
      </c>
      <c r="D1046" s="26">
        <f>'Daily Returns'!D1046</f>
        <v>1.4908124349936346E-2</v>
      </c>
      <c r="E1046" s="26">
        <f>'Daily Returns'!E1046</f>
        <v>-2.9981860057477081E-2</v>
      </c>
    </row>
    <row r="1047" spans="1:5" ht="15" customHeight="1" x14ac:dyDescent="0.3">
      <c r="A1047" s="25">
        <f>'Daily Returns'!F1047</f>
        <v>-8.9925198031607628E-3</v>
      </c>
      <c r="B1047" s="25">
        <f>'Daily Returns'!B1047</f>
        <v>3.2003135000978422E-3</v>
      </c>
      <c r="C1047" s="25">
        <f>'Daily Returns'!C1047</f>
        <v>-2.9130048385504127E-2</v>
      </c>
      <c r="D1047" s="25">
        <f>'Daily Returns'!D1047</f>
        <v>1.8788430881348927E-3</v>
      </c>
      <c r="E1047" s="25">
        <f>'Daily Returns'!E1047</f>
        <v>-2.7294503277861842E-2</v>
      </c>
    </row>
    <row r="1048" spans="1:5" ht="15" customHeight="1" x14ac:dyDescent="0.3">
      <c r="A1048" s="26">
        <f>'Daily Returns'!F1048</f>
        <v>-6.8897406455021761E-3</v>
      </c>
      <c r="B1048" s="26">
        <f>'Daily Returns'!B1048</f>
        <v>-1.6015625000000054E-2</v>
      </c>
      <c r="C1048" s="26">
        <f>'Daily Returns'!C1048</f>
        <v>3.1313567941415925E-2</v>
      </c>
      <c r="D1048" s="26">
        <f>'Daily Returns'!D1048</f>
        <v>-3.0402909586861364E-2</v>
      </c>
      <c r="E1048" s="26">
        <f>'Daily Returns'!E1048</f>
        <v>-1.9138962694143852E-2</v>
      </c>
    </row>
    <row r="1049" spans="1:5" ht="15" customHeight="1" x14ac:dyDescent="0.3">
      <c r="A1049" s="25">
        <f>'Daily Returns'!F1049</f>
        <v>2.0557704183063661E-2</v>
      </c>
      <c r="B1049" s="25">
        <f>'Daily Returns'!B1049</f>
        <v>1.2968109037978088E-2</v>
      </c>
      <c r="C1049" s="25">
        <f>'Daily Returns'!C1049</f>
        <v>-1.4546530405947602E-3</v>
      </c>
      <c r="D1049" s="25">
        <f>'Daily Returns'!D1049</f>
        <v>4.4543429844097465E-3</v>
      </c>
      <c r="E1049" s="25">
        <f>'Daily Returns'!E1049</f>
        <v>2.1450437157266522E-2</v>
      </c>
    </row>
    <row r="1050" spans="1:5" ht="15" customHeight="1" x14ac:dyDescent="0.3">
      <c r="A1050" s="26">
        <f>'Daily Returns'!F1050</f>
        <v>2.9483620175554139E-2</v>
      </c>
      <c r="B1050" s="26">
        <f>'Daily Returns'!B1050</f>
        <v>1.071195297191388E-2</v>
      </c>
      <c r="C1050" s="26">
        <f>'Daily Returns'!C1050</f>
        <v>-1.3407241885902661E-2</v>
      </c>
      <c r="D1050" s="26">
        <f>'Daily Returns'!D1050</f>
        <v>3.792741276695097E-3</v>
      </c>
      <c r="E1050" s="26">
        <f>'Daily Returns'!E1050</f>
        <v>-2.1560552812574115E-3</v>
      </c>
    </row>
    <row r="1051" spans="1:5" ht="15" customHeight="1" x14ac:dyDescent="0.3">
      <c r="A1051" s="25">
        <f>'Daily Returns'!F1051</f>
        <v>-2.0182765001604992E-3</v>
      </c>
      <c r="B1051" s="25">
        <f>'Daily Returns'!B1051</f>
        <v>4.2005945456893966E-3</v>
      </c>
      <c r="C1051" s="25">
        <f>'Daily Returns'!C1051</f>
        <v>1.7718826252893661E-2</v>
      </c>
      <c r="D1051" s="25">
        <f>'Daily Returns'!D1051</f>
        <v>3.4586990641167173E-2</v>
      </c>
      <c r="E1051" s="25">
        <f>'Daily Returns'!E1051</f>
        <v>1.1883926449299093E-3</v>
      </c>
    </row>
    <row r="1052" spans="1:5" ht="15" customHeight="1" x14ac:dyDescent="0.3">
      <c r="A1052" s="26">
        <f>'Daily Returns'!F1052</f>
        <v>1.4093968626320075E-3</v>
      </c>
      <c r="B1052" s="26">
        <f>'Daily Returns'!B1052</f>
        <v>-1.0296672887572984E-3</v>
      </c>
      <c r="C1052" s="26">
        <f>'Daily Returns'!C1052</f>
        <v>-3.8177324759316809E-2</v>
      </c>
      <c r="D1052" s="26">
        <f>'Daily Returns'!D1052</f>
        <v>-1.0956287223283451E-2</v>
      </c>
      <c r="E1052" s="26">
        <f>'Daily Returns'!E1052</f>
        <v>1.165400552486183E-2</v>
      </c>
    </row>
    <row r="1053" spans="1:5" ht="15" customHeight="1" x14ac:dyDescent="0.3">
      <c r="A1053" s="25">
        <f>'Daily Returns'!F1053</f>
        <v>-3.2664560440810089E-3</v>
      </c>
      <c r="B1053" s="25">
        <f>'Daily Returns'!B1053</f>
        <v>6.0555305031243815E-3</v>
      </c>
      <c r="C1053" s="25">
        <f>'Daily Returns'!C1053</f>
        <v>4.3399892618822154E-3</v>
      </c>
      <c r="D1053" s="25">
        <f>'Daily Returns'!D1053</f>
        <v>2.016701698574113E-2</v>
      </c>
      <c r="E1053" s="25">
        <f>'Daily Returns'!E1053</f>
        <v>1.2885058452086399E-2</v>
      </c>
    </row>
    <row r="1054" spans="1:5" ht="15" customHeight="1" x14ac:dyDescent="0.3">
      <c r="A1054" s="26">
        <f>'Daily Returns'!F1054</f>
        <v>-2.4030990704199881E-3</v>
      </c>
      <c r="B1054" s="26">
        <f>'Daily Returns'!B1054</f>
        <v>-2.689376961004027E-2</v>
      </c>
      <c r="C1054" s="26">
        <f>'Daily Returns'!C1054</f>
        <v>-1.6896729480497138E-2</v>
      </c>
      <c r="D1054" s="26">
        <f>'Daily Returns'!D1054</f>
        <v>-2.0993429112373372E-2</v>
      </c>
      <c r="E1054" s="26">
        <f>'Daily Returns'!E1054</f>
        <v>-9.6251053074978797E-3</v>
      </c>
    </row>
    <row r="1055" spans="1:5" ht="15" customHeight="1" x14ac:dyDescent="0.3">
      <c r="A1055" s="25">
        <f>'Daily Returns'!F1055</f>
        <v>4.2369224299841591E-3</v>
      </c>
      <c r="B1055" s="25">
        <f>'Daily Returns'!B1055</f>
        <v>-1.4871356188721398E-2</v>
      </c>
      <c r="C1055" s="25">
        <f>'Daily Returns'!C1055</f>
        <v>3.366218700639464E-4</v>
      </c>
      <c r="D1055" s="25">
        <f>'Daily Returns'!D1055</f>
        <v>2.4515101530060875E-2</v>
      </c>
      <c r="E1055" s="25">
        <f>'Daily Returns'!E1055</f>
        <v>-2.6497671352317027E-2</v>
      </c>
    </row>
    <row r="1056" spans="1:5" ht="15" customHeight="1" x14ac:dyDescent="0.3">
      <c r="A1056" s="26">
        <f>'Daily Returns'!F1056</f>
        <v>4.2184253862643985E-3</v>
      </c>
      <c r="B1056" s="26">
        <f>'Daily Returns'!B1056</f>
        <v>-1.7366909358093603E-3</v>
      </c>
      <c r="C1056" s="26">
        <f>'Daily Returns'!C1056</f>
        <v>7.1896355353075992E-3</v>
      </c>
      <c r="D1056" s="26">
        <f>'Daily Returns'!D1056</f>
        <v>2.4983344437041338E-3</v>
      </c>
      <c r="E1056" s="26">
        <f>'Daily Returns'!E1056</f>
        <v>-6.2913690281145461E-3</v>
      </c>
    </row>
    <row r="1057" spans="1:5" ht="15" customHeight="1" x14ac:dyDescent="0.3">
      <c r="A1057" s="25">
        <f>'Daily Returns'!F1057</f>
        <v>-3.6395799212485965E-3</v>
      </c>
      <c r="B1057" s="25">
        <f>'Daily Returns'!B1057</f>
        <v>5.08531281365018E-3</v>
      </c>
      <c r="C1057" s="25">
        <f>'Daily Returns'!C1057</f>
        <v>1.4578608189463969E-2</v>
      </c>
      <c r="D1057" s="25">
        <f>'Daily Returns'!D1057</f>
        <v>1.3568145317605456E-2</v>
      </c>
      <c r="E1057" s="25">
        <f>'Daily Returns'!E1057</f>
        <v>-2.8402470927037217E-2</v>
      </c>
    </row>
    <row r="1058" spans="1:5" ht="15" customHeight="1" x14ac:dyDescent="0.3">
      <c r="A1058" s="26">
        <f>'Daily Returns'!F1058</f>
        <v>-8.9640211800106142E-4</v>
      </c>
      <c r="B1058" s="26">
        <f>'Daily Returns'!B1058</f>
        <v>-7.9888156580789921E-4</v>
      </c>
      <c r="C1058" s="26">
        <f>'Daily Returns'!C1058</f>
        <v>7.8463409073638458E-3</v>
      </c>
      <c r="D1058" s="26">
        <f>'Daily Returns'!D1058</f>
        <v>1.1474155829963906E-2</v>
      </c>
      <c r="E1058" s="26">
        <f>'Daily Returns'!E1058</f>
        <v>-7.919089530964154E-4</v>
      </c>
    </row>
    <row r="1059" spans="1:5" ht="15" customHeight="1" x14ac:dyDescent="0.3">
      <c r="A1059" s="25">
        <f>'Daily Returns'!F1059</f>
        <v>-6.4958901691786041E-3</v>
      </c>
      <c r="B1059" s="25">
        <f>'Daily Returns'!B1059</f>
        <v>-1.3591844893064108E-2</v>
      </c>
      <c r="C1059" s="25">
        <f>'Daily Returns'!C1059</f>
        <v>3.7399385473807223E-2</v>
      </c>
      <c r="D1059" s="25">
        <f>'Daily Returns'!D1059</f>
        <v>1.1073898012100167E-2</v>
      </c>
      <c r="E1059" s="25">
        <f>'Daily Returns'!E1059</f>
        <v>-1.401657533626194E-2</v>
      </c>
    </row>
    <row r="1060" spans="1:5" ht="15" customHeight="1" x14ac:dyDescent="0.3">
      <c r="A1060" s="26">
        <f>'Daily Returns'!F1060</f>
        <v>-7.945412793438569E-3</v>
      </c>
      <c r="B1060" s="26">
        <f>'Daily Returns'!B1060</f>
        <v>2.161431948665945E-3</v>
      </c>
      <c r="C1060" s="26">
        <f>'Daily Returns'!C1060</f>
        <v>1.6838381819393048E-3</v>
      </c>
      <c r="D1060" s="26">
        <f>'Daily Returns'!D1060</f>
        <v>1.923385157877938E-3</v>
      </c>
      <c r="E1060" s="26">
        <f>'Daily Returns'!E1060</f>
        <v>5.9022116069172847E-3</v>
      </c>
    </row>
    <row r="1061" spans="1:5" ht="15" customHeight="1" x14ac:dyDescent="0.3">
      <c r="A1061" s="25">
        <f>'Daily Returns'!F1061</f>
        <v>-4.1816037180647881E-3</v>
      </c>
      <c r="B1061" s="25">
        <f>'Daily Returns'!B1061</f>
        <v>-5.9985172204624574E-3</v>
      </c>
      <c r="C1061" s="25">
        <f>'Daily Returns'!C1061</f>
        <v>-5.4360642652847794E-3</v>
      </c>
      <c r="D1061" s="25">
        <f>'Daily Returns'!D1061</f>
        <v>-9.9184130539114474E-3</v>
      </c>
      <c r="E1061" s="25">
        <f>'Daily Returns'!E1061</f>
        <v>4.1780821917807853E-3</v>
      </c>
    </row>
    <row r="1062" spans="1:5" ht="15" customHeight="1" x14ac:dyDescent="0.3">
      <c r="A1062" s="26">
        <f>'Daily Returns'!F1062</f>
        <v>8.1976019075322877E-3</v>
      </c>
      <c r="B1062" s="26">
        <f>'Daily Returns'!B1062</f>
        <v>-1.4442636289666366E-2</v>
      </c>
      <c r="C1062" s="26">
        <f>'Daily Returns'!C1062</f>
        <v>2.2227896739989511E-2</v>
      </c>
      <c r="D1062" s="26">
        <f>'Daily Returns'!D1062</f>
        <v>-2.1005008886733796E-3</v>
      </c>
      <c r="E1062" s="26">
        <f>'Daily Returns'!E1062</f>
        <v>-6.3888320487461119E-3</v>
      </c>
    </row>
    <row r="1063" spans="1:5" ht="15" customHeight="1" x14ac:dyDescent="0.3">
      <c r="A1063" s="25">
        <f>'Daily Returns'!F1063</f>
        <v>5.8672452544525008E-3</v>
      </c>
      <c r="B1063" s="25">
        <f>'Daily Returns'!B1063</f>
        <v>4.88476092191268E-3</v>
      </c>
      <c r="C1063" s="25">
        <f>'Daily Returns'!C1063</f>
        <v>-5.5907787835882529E-4</v>
      </c>
      <c r="D1063" s="25">
        <f>'Daily Returns'!D1063</f>
        <v>-1.1658031088082882E-2</v>
      </c>
      <c r="E1063" s="25">
        <f>'Daily Returns'!E1063</f>
        <v>1.2470825133861255E-2</v>
      </c>
    </row>
    <row r="1064" spans="1:5" ht="15" customHeight="1" x14ac:dyDescent="0.3">
      <c r="A1064" s="26">
        <f>'Daily Returns'!F1064</f>
        <v>-5.595754502765421E-3</v>
      </c>
      <c r="B1064" s="26">
        <f>'Daily Returns'!B1064</f>
        <v>-2.6016705463507836E-3</v>
      </c>
      <c r="C1064" s="26">
        <f>'Daily Returns'!C1064</f>
        <v>7.9742918352772325E-3</v>
      </c>
      <c r="D1064" s="26">
        <f>'Daily Returns'!D1064</f>
        <v>-1.4198339886412783E-3</v>
      </c>
      <c r="E1064" s="26">
        <f>'Daily Returns'!E1064</f>
        <v>5.4082762673175466E-2</v>
      </c>
    </row>
    <row r="1065" spans="1:5" ht="15" customHeight="1" x14ac:dyDescent="0.3">
      <c r="A1065" s="25">
        <f>'Daily Returns'!F1065</f>
        <v>1.1370020017463961E-2</v>
      </c>
      <c r="B1065" s="25">
        <f>'Daily Returns'!B1065</f>
        <v>1.6886326194398543E-2</v>
      </c>
      <c r="C1065" s="25">
        <f>'Daily Returns'!C1065</f>
        <v>-6.8857007911205512E-2</v>
      </c>
      <c r="D1065" s="25">
        <f>'Daily Returns'!D1065</f>
        <v>-2.4937110357650671E-2</v>
      </c>
      <c r="E1065" s="25">
        <f>'Daily Returns'!E1065</f>
        <v>-3.4391080617495635E-2</v>
      </c>
    </row>
    <row r="1066" spans="1:5" ht="15" customHeight="1" x14ac:dyDescent="0.3">
      <c r="A1066" s="26">
        <f>'Daily Returns'!F1066</f>
        <v>1.0403232348652129E-3</v>
      </c>
      <c r="B1066" s="26">
        <f>'Daily Returns'!B1066</f>
        <v>9.5180234912921914E-3</v>
      </c>
      <c r="C1066" s="26">
        <f>'Daily Returns'!C1066</f>
        <v>8.5913376490802853E-3</v>
      </c>
      <c r="D1066" s="26">
        <f>'Daily Returns'!D1066</f>
        <v>3.1407739764442075E-3</v>
      </c>
      <c r="E1066" s="26">
        <f>'Daily Returns'!E1066</f>
        <v>4.6340705213606899E-2</v>
      </c>
    </row>
    <row r="1067" spans="1:5" ht="15" customHeight="1" x14ac:dyDescent="0.3">
      <c r="A1067" s="25">
        <f>'Daily Returns'!F1067</f>
        <v>1.1206531740917625E-2</v>
      </c>
      <c r="B1067" s="25">
        <f>'Daily Returns'!B1067</f>
        <v>1.0498161150116972E-2</v>
      </c>
      <c r="C1067" s="25">
        <f>'Daily Returns'!C1067</f>
        <v>-7.2294306980492538E-4</v>
      </c>
      <c r="D1067" s="25">
        <f>'Daily Returns'!D1067</f>
        <v>1.5766521301576613E-2</v>
      </c>
      <c r="E1067" s="25">
        <f>'Daily Returns'!E1067</f>
        <v>-1.7910574454088231E-2</v>
      </c>
    </row>
    <row r="1068" spans="1:5" ht="15" customHeight="1" x14ac:dyDescent="0.3">
      <c r="A1068" s="26">
        <f>'Daily Returns'!F1068</f>
        <v>-1.799285151634946E-3</v>
      </c>
      <c r="B1068" s="26">
        <f>'Daily Returns'!B1068</f>
        <v>4.7644256220222263E-3</v>
      </c>
      <c r="C1068" s="26">
        <f>'Daily Returns'!C1068</f>
        <v>-7.0773857080845765E-3</v>
      </c>
      <c r="D1068" s="26">
        <f>'Daily Returns'!D1068</f>
        <v>1.9319682959048828E-2</v>
      </c>
      <c r="E1068" s="26">
        <f>'Daily Returns'!E1068</f>
        <v>-2.5108580565699354E-2</v>
      </c>
    </row>
    <row r="1069" spans="1:5" ht="15" customHeight="1" x14ac:dyDescent="0.3">
      <c r="A1069" s="25">
        <f>'Daily Returns'!F1069</f>
        <v>2.0782839257721175E-2</v>
      </c>
      <c r="B1069" s="25">
        <f>'Daily Returns'!B1069</f>
        <v>-1.1393572181243346E-2</v>
      </c>
      <c r="C1069" s="25">
        <f>'Daily Returns'!C1069</f>
        <v>-1.0980029398347564E-2</v>
      </c>
      <c r="D1069" s="25">
        <f>'Daily Returns'!D1069</f>
        <v>2.1113451050272673E-2</v>
      </c>
      <c r="E1069" s="25">
        <f>'Daily Returns'!E1069</f>
        <v>-1.7709510827404323E-2</v>
      </c>
    </row>
    <row r="1070" spans="1:5" ht="15" customHeight="1" x14ac:dyDescent="0.3">
      <c r="A1070" s="26">
        <f>'Daily Returns'!F1070</f>
        <v>1.6201650862951087E-2</v>
      </c>
      <c r="B1070" s="26">
        <f>'Daily Returns'!B1070</f>
        <v>-1.2657384584637969E-2</v>
      </c>
      <c r="C1070" s="26">
        <f>'Daily Returns'!C1070</f>
        <v>1.6527972632752262E-2</v>
      </c>
      <c r="D1070" s="26">
        <f>'Daily Returns'!D1070</f>
        <v>2.8027498677948236E-3</v>
      </c>
      <c r="E1070" s="26">
        <f>'Daily Returns'!E1070</f>
        <v>1.4350828105961491E-2</v>
      </c>
    </row>
    <row r="1071" spans="1:5" ht="15" customHeight="1" x14ac:dyDescent="0.3">
      <c r="A1071" s="25">
        <f>'Daily Returns'!F1071</f>
        <v>8.5926224280872213E-3</v>
      </c>
      <c r="B1071" s="25">
        <f>'Daily Returns'!B1071</f>
        <v>-2.0039133661696233E-2</v>
      </c>
      <c r="C1071" s="25">
        <f>'Daily Returns'!C1071</f>
        <v>-3.5417415032865121E-2</v>
      </c>
      <c r="D1071" s="25">
        <f>'Daily Returns'!D1071</f>
        <v>-2.0566366081315526E-3</v>
      </c>
      <c r="E1071" s="25">
        <f>'Daily Returns'!E1071</f>
        <v>4.5602171108242969E-3</v>
      </c>
    </row>
    <row r="1072" spans="1:5" ht="15" customHeight="1" x14ac:dyDescent="0.3">
      <c r="A1072" s="26">
        <f>'Daily Returns'!F1072</f>
        <v>1.6705655272858201E-2</v>
      </c>
      <c r="B1072" s="26">
        <f>'Daily Returns'!B1072</f>
        <v>4.0209308730377327E-2</v>
      </c>
      <c r="C1072" s="26">
        <f>'Daily Returns'!C1072</f>
        <v>5.6141749260089288E-2</v>
      </c>
      <c r="D1072" s="26">
        <f>'Daily Returns'!D1072</f>
        <v>-3.5933206510251892E-3</v>
      </c>
      <c r="E1072" s="26">
        <f>'Daily Returns'!E1072</f>
        <v>-1.1249141920768804E-2</v>
      </c>
    </row>
    <row r="1073" spans="1:5" ht="15" customHeight="1" x14ac:dyDescent="0.3">
      <c r="A1073" s="25">
        <f>'Daily Returns'!F1073</f>
        <v>-6.9638644595688502E-3</v>
      </c>
      <c r="B1073" s="25">
        <f>'Daily Returns'!B1073</f>
        <v>-1.4628011649457293E-2</v>
      </c>
      <c r="C1073" s="25">
        <f>'Daily Returns'!C1073</f>
        <v>2.0952416301685175E-2</v>
      </c>
      <c r="D1073" s="25">
        <f>'Daily Returns'!D1073</f>
        <v>6.5761561306746348E-3</v>
      </c>
      <c r="E1073" s="25">
        <f>'Daily Returns'!E1073</f>
        <v>-1.0481288213029958E-2</v>
      </c>
    </row>
    <row r="1074" spans="1:5" ht="15" customHeight="1" x14ac:dyDescent="0.3">
      <c r="A1074" s="26">
        <f>'Daily Returns'!F1074</f>
        <v>2.0087251575375668E-2</v>
      </c>
      <c r="B1074" s="26">
        <f>'Daily Returns'!B1074</f>
        <v>-2.6197353395581028E-3</v>
      </c>
      <c r="C1074" s="26">
        <f>'Daily Returns'!C1074</f>
        <v>7.1134701494798254E-3</v>
      </c>
      <c r="D1074" s="26">
        <f>'Daily Returns'!D1074</f>
        <v>1.1643835616438248E-2</v>
      </c>
      <c r="E1074" s="26">
        <f>'Daily Returns'!E1074</f>
        <v>-1.3874114478419292E-2</v>
      </c>
    </row>
    <row r="1075" spans="1:5" ht="15" customHeight="1" x14ac:dyDescent="0.3">
      <c r="A1075" s="25">
        <f>'Daily Returns'!F1075</f>
        <v>-1.3526638915816111E-2</v>
      </c>
      <c r="B1075" s="25">
        <f>'Daily Returns'!B1075</f>
        <v>-4.6470905172413647E-3</v>
      </c>
      <c r="C1075" s="25">
        <f>'Daily Returns'!C1075</f>
        <v>3.4118871568409093E-2</v>
      </c>
      <c r="D1075" s="25">
        <f>'Daily Returns'!D1075</f>
        <v>5.7288682881101128E-3</v>
      </c>
      <c r="E1075" s="25">
        <f>'Daily Returns'!E1075</f>
        <v>1.1659398668808777E-2</v>
      </c>
    </row>
    <row r="1076" spans="1:5" ht="15" customHeight="1" x14ac:dyDescent="0.3">
      <c r="A1076" s="26">
        <f>'Daily Returns'!F1076</f>
        <v>1.2641776823794631E-3</v>
      </c>
      <c r="B1076" s="26">
        <f>'Daily Returns'!B1076</f>
        <v>-3.5861695649232099E-3</v>
      </c>
      <c r="C1076" s="26">
        <f>'Daily Returns'!C1076</f>
        <v>5.4397151567336906E-3</v>
      </c>
      <c r="D1076" s="26">
        <f>'Daily Returns'!D1076</f>
        <v>-2.0765366889337781E-2</v>
      </c>
      <c r="E1076" s="26">
        <f>'Daily Returns'!E1076</f>
        <v>2.4184400381142578E-2</v>
      </c>
    </row>
    <row r="1077" spans="1:5" ht="15" customHeight="1" x14ac:dyDescent="0.3">
      <c r="A1077" s="25">
        <f>'Daily Returns'!F1077</f>
        <v>-6.5984848251590964E-3</v>
      </c>
      <c r="B1077" s="25">
        <f>'Daily Returns'!B1077</f>
        <v>-7.8093168545428316E-3</v>
      </c>
      <c r="C1077" s="25">
        <f>'Daily Returns'!C1077</f>
        <v>-1.518930210219941E-2</v>
      </c>
      <c r="D1077" s="25">
        <f>'Daily Returns'!D1077</f>
        <v>2.2104706504495013E-2</v>
      </c>
      <c r="E1077" s="25">
        <f>'Daily Returns'!E1077</f>
        <v>-4.3416622363990328E-3</v>
      </c>
    </row>
    <row r="1078" spans="1:5" ht="15" customHeight="1" x14ac:dyDescent="0.3">
      <c r="A1078" s="26">
        <f>'Daily Returns'!F1078</f>
        <v>-2.1260092824638723E-2</v>
      </c>
      <c r="B1078" s="26">
        <f>'Daily Returns'!B1078</f>
        <v>-2.5528711244952554E-2</v>
      </c>
      <c r="C1078" s="26">
        <f>'Daily Returns'!C1078</f>
        <v>1.8708062563897621E-2</v>
      </c>
      <c r="D1078" s="26">
        <f>'Daily Returns'!D1078</f>
        <v>7.9159768211920587E-3</v>
      </c>
      <c r="E1078" s="26">
        <f>'Daily Returns'!E1078</f>
        <v>-1.2369849603986833E-2</v>
      </c>
    </row>
    <row r="1079" spans="1:5" ht="15" customHeight="1" x14ac:dyDescent="0.3">
      <c r="A1079" s="25">
        <f>'Daily Returns'!F1079</f>
        <v>-1.4343513592789972E-2</v>
      </c>
      <c r="B1079" s="25">
        <f>'Daily Returns'!B1079</f>
        <v>-1.3555274617221568E-2</v>
      </c>
      <c r="C1079" s="25">
        <f>'Daily Returns'!C1079</f>
        <v>-2.8261947882661006E-2</v>
      </c>
      <c r="D1079" s="25">
        <f>'Daily Returns'!D1079</f>
        <v>1.5964272881268851E-2</v>
      </c>
      <c r="E1079" s="25">
        <f>'Daily Returns'!E1079</f>
        <v>-6.6228149216074911E-3</v>
      </c>
    </row>
    <row r="1080" spans="1:5" ht="15" customHeight="1" x14ac:dyDescent="0.3">
      <c r="A1080" s="26">
        <f>'Daily Returns'!F1080</f>
        <v>-4.5775210703318794E-3</v>
      </c>
      <c r="B1080" s="26">
        <f>'Daily Returns'!B1080</f>
        <v>-1.8939124243503004E-2</v>
      </c>
      <c r="C1080" s="26">
        <f>'Daily Returns'!C1080</f>
        <v>1.1182468927693775E-2</v>
      </c>
      <c r="D1080" s="26">
        <f>'Daily Returns'!D1080</f>
        <v>1.2126111560226815E-3</v>
      </c>
      <c r="E1080" s="26">
        <f>'Daily Returns'!E1080</f>
        <v>-4.3131207764524553E-2</v>
      </c>
    </row>
    <row r="1081" spans="1:5" ht="15" customHeight="1" x14ac:dyDescent="0.3">
      <c r="A1081" s="25">
        <f>'Daily Returns'!F1081</f>
        <v>5.8815555257897001E-3</v>
      </c>
      <c r="B1081" s="25">
        <f>'Daily Returns'!B1081</f>
        <v>-1.4514841425356604E-3</v>
      </c>
      <c r="C1081" s="25">
        <f>'Daily Returns'!C1081</f>
        <v>2.1724328195254938E-2</v>
      </c>
      <c r="D1081" s="25">
        <f>'Daily Returns'!D1081</f>
        <v>-3.6838918046022901E-3</v>
      </c>
      <c r="E1081" s="25">
        <f>'Daily Returns'!E1081</f>
        <v>-5.4507536259351924E-4</v>
      </c>
    </row>
    <row r="1082" spans="1:5" ht="15" customHeight="1" x14ac:dyDescent="0.3">
      <c r="A1082" s="26">
        <f>'Daily Returns'!F1082</f>
        <v>-3.8412882534472293E-3</v>
      </c>
      <c r="B1082" s="26">
        <f>'Daily Returns'!B1082</f>
        <v>-9.1576422705137786E-3</v>
      </c>
      <c r="C1082" s="26">
        <f>'Daily Returns'!C1082</f>
        <v>1.0030850898812388E-2</v>
      </c>
      <c r="D1082" s="26">
        <f>'Daily Returns'!D1082</f>
        <v>3.0897026794306812E-2</v>
      </c>
      <c r="E1082" s="26">
        <f>'Daily Returns'!E1082</f>
        <v>7.7063524055675427E-3</v>
      </c>
    </row>
    <row r="1083" spans="1:5" ht="15" customHeight="1" x14ac:dyDescent="0.3">
      <c r="A1083" s="25">
        <f>'Daily Returns'!F1083</f>
        <v>1.0992725470356077E-2</v>
      </c>
      <c r="B1083" s="25">
        <f>'Daily Returns'!B1083</f>
        <v>-9.1689283356561277E-3</v>
      </c>
      <c r="C1083" s="25">
        <f>'Daily Returns'!C1083</f>
        <v>-2.4998720202037337E-2</v>
      </c>
      <c r="D1083" s="25">
        <f>'Daily Returns'!D1083</f>
        <v>-1.6459490001473957E-2</v>
      </c>
      <c r="E1083" s="25">
        <f>'Daily Returns'!E1083</f>
        <v>-6.4944232669772476E-3</v>
      </c>
    </row>
    <row r="1084" spans="1:5" ht="15" customHeight="1" x14ac:dyDescent="0.3">
      <c r="A1084" s="26">
        <f>'Daily Returns'!F1084</f>
        <v>-3.3583595673023314E-3</v>
      </c>
      <c r="B1084" s="26">
        <f>'Daily Returns'!B1084</f>
        <v>3.2573289902279958E-3</v>
      </c>
      <c r="C1084" s="26">
        <f>'Daily Returns'!C1084</f>
        <v>4.2120246887650944E-3</v>
      </c>
      <c r="D1084" s="26">
        <f>'Daily Returns'!D1084</f>
        <v>-2.6176441202917417E-2</v>
      </c>
      <c r="E1084" s="26">
        <f>'Daily Returns'!E1084</f>
        <v>-9.0711003742125918E-3</v>
      </c>
    </row>
    <row r="1085" spans="1:5" ht="15" customHeight="1" x14ac:dyDescent="0.3">
      <c r="A1085" s="25">
        <f>'Daily Returns'!F1085</f>
        <v>-1.0140197708979903E-2</v>
      </c>
      <c r="B1085" s="25">
        <f>'Daily Returns'!B1085</f>
        <v>-7.7479338842976041E-3</v>
      </c>
      <c r="C1085" s="25">
        <f>'Daily Returns'!C1085</f>
        <v>-1.5743365710832187E-3</v>
      </c>
      <c r="D1085" s="25">
        <f>'Daily Returns'!D1085</f>
        <v>3.1804657843438951E-2</v>
      </c>
      <c r="E1085" s="25">
        <f>'Daily Returns'!E1085</f>
        <v>2.1654437247544164E-2</v>
      </c>
    </row>
    <row r="1086" spans="1:5" ht="15" customHeight="1" x14ac:dyDescent="0.3">
      <c r="A1086" s="26">
        <f>'Daily Returns'!F1086</f>
        <v>1.5767490126016824E-2</v>
      </c>
      <c r="B1086" s="26">
        <f>'Daily Returns'!B1086</f>
        <v>1.3237153268387009E-2</v>
      </c>
      <c r="C1086" s="26">
        <f>'Daily Returns'!C1086</f>
        <v>-1.2498181712390548E-2</v>
      </c>
      <c r="D1086" s="26">
        <f>'Daily Returns'!D1086</f>
        <v>4.2259122998907364E-3</v>
      </c>
      <c r="E1086" s="26">
        <f>'Daily Returns'!E1086</f>
        <v>6.4101064451982902E-3</v>
      </c>
    </row>
    <row r="1087" spans="1:5" ht="15" customHeight="1" x14ac:dyDescent="0.3">
      <c r="A1087" s="25">
        <f>'Daily Returns'!F1087</f>
        <v>1.4042496705281318E-2</v>
      </c>
      <c r="B1087" s="25">
        <f>'Daily Returns'!B1087</f>
        <v>-4.9908256880734445E-3</v>
      </c>
      <c r="C1087" s="25">
        <f>'Daily Returns'!C1087</f>
        <v>-4.0184542503108142E-2</v>
      </c>
      <c r="D1087" s="25">
        <f>'Daily Returns'!D1087</f>
        <v>-6.3864547749889616E-3</v>
      </c>
      <c r="E1087" s="25">
        <f>'Daily Returns'!E1087</f>
        <v>7.8105023361770701E-3</v>
      </c>
    </row>
    <row r="1088" spans="1:5" ht="15" customHeight="1" x14ac:dyDescent="0.3">
      <c r="A1088" s="26">
        <f>'Daily Returns'!F1088</f>
        <v>-2.4321168764337374E-3</v>
      </c>
      <c r="B1088" s="26">
        <f>'Daily Returns'!B1088</f>
        <v>3.3930810651324628E-3</v>
      </c>
      <c r="C1088" s="26">
        <f>'Daily Returns'!C1088</f>
        <v>-2.0313449603123396E-2</v>
      </c>
      <c r="D1088" s="26">
        <f>'Daily Returns'!D1088</f>
        <v>-8.8191330343795806E-3</v>
      </c>
      <c r="E1088" s="26">
        <f>'Daily Returns'!E1088</f>
        <v>9.9642486449082988E-3</v>
      </c>
    </row>
    <row r="1089" spans="1:5" ht="15" customHeight="1" x14ac:dyDescent="0.3">
      <c r="A1089" s="25">
        <f>'Daily Returns'!F1089</f>
        <v>-1.7928314636274176E-2</v>
      </c>
      <c r="B1089" s="25">
        <f>'Daily Returns'!B1089</f>
        <v>-1.8010732926560233E-2</v>
      </c>
      <c r="C1089" s="25">
        <f>'Daily Returns'!C1089</f>
        <v>-8.2399679173873284E-3</v>
      </c>
      <c r="D1089" s="25">
        <f>'Daily Returns'!D1089</f>
        <v>-3.1166742070074985E-2</v>
      </c>
      <c r="E1089" s="25">
        <f>'Daily Returns'!E1089</f>
        <v>3.1972960010961636E-3</v>
      </c>
    </row>
    <row r="1090" spans="1:5" ht="15" customHeight="1" x14ac:dyDescent="0.3">
      <c r="A1090" s="26">
        <f>'Daily Returns'!F1090</f>
        <v>-1.2005514387454575E-2</v>
      </c>
      <c r="B1090" s="26">
        <f>'Daily Returns'!B1090</f>
        <v>9.4325497829015632E-3</v>
      </c>
      <c r="C1090" s="26">
        <f>'Daily Returns'!C1090</f>
        <v>2.0452003816190941E-2</v>
      </c>
      <c r="D1090" s="26">
        <f>'Daily Returns'!D1090</f>
        <v>2.978259741607435E-2</v>
      </c>
      <c r="E1090" s="26">
        <f>'Daily Returns'!E1090</f>
        <v>2.5291961663669302E-2</v>
      </c>
    </row>
    <row r="1091" spans="1:5" ht="15" customHeight="1" x14ac:dyDescent="0.3">
      <c r="A1091" s="25">
        <f>'Daily Returns'!F1091</f>
        <v>-5.5044604796622128E-3</v>
      </c>
      <c r="B1091" s="25">
        <f>'Daily Returns'!B1091</f>
        <v>-5.3396618214179683E-3</v>
      </c>
      <c r="C1091" s="25">
        <f>'Daily Returns'!C1091</f>
        <v>4.9154851092811654E-2</v>
      </c>
      <c r="D1091" s="25">
        <f>'Daily Returns'!D1091</f>
        <v>1.1538267748274258E-2</v>
      </c>
      <c r="E1091" s="25">
        <f>'Daily Returns'!E1091</f>
        <v>-2.540077268084728E-2</v>
      </c>
    </row>
    <row r="1092" spans="1:5" ht="15" customHeight="1" x14ac:dyDescent="0.3">
      <c r="A1092" s="26">
        <f>'Daily Returns'!F1092</f>
        <v>1.2153713325864077E-3</v>
      </c>
      <c r="B1092" s="26">
        <f>'Daily Returns'!B1092</f>
        <v>5.9648076349536451E-3</v>
      </c>
      <c r="C1092" s="26">
        <f>'Daily Returns'!C1092</f>
        <v>1.5709741574160892E-2</v>
      </c>
      <c r="D1092" s="26">
        <f>'Daily Returns'!D1092</f>
        <v>8.4180115560868584E-3</v>
      </c>
      <c r="E1092" s="26">
        <f>'Daily Returns'!E1092</f>
        <v>-1.1391078507315663E-4</v>
      </c>
    </row>
    <row r="1093" spans="1:5" ht="15" customHeight="1" x14ac:dyDescent="0.3">
      <c r="A1093" s="25">
        <f>'Daily Returns'!F1093</f>
        <v>1.3945774025431642E-2</v>
      </c>
      <c r="B1093" s="25">
        <f>'Daily Returns'!B1093</f>
        <v>4.891787726060073E-3</v>
      </c>
      <c r="C1093" s="25">
        <f>'Daily Returns'!C1093</f>
        <v>-1.3311177089203976E-2</v>
      </c>
      <c r="D1093" s="25">
        <f>'Daily Returns'!D1093</f>
        <v>1.338602123981234E-2</v>
      </c>
      <c r="E1093" s="25">
        <f>'Daily Returns'!E1093</f>
        <v>-4.2675841326983897E-2</v>
      </c>
    </row>
    <row r="1094" spans="1:5" ht="15" customHeight="1" x14ac:dyDescent="0.3">
      <c r="A1094" s="26">
        <f>'Daily Returns'!F1094</f>
        <v>1.1691250713156852E-3</v>
      </c>
      <c r="B1094" s="26">
        <f>'Daily Returns'!B1094</f>
        <v>-2.0652013571323285E-3</v>
      </c>
      <c r="C1094" s="26">
        <f>'Daily Returns'!C1094</f>
        <v>-6.83076198327649E-3</v>
      </c>
      <c r="D1094" s="26">
        <f>'Daily Returns'!D1094</f>
        <v>-1.4037824137258703E-2</v>
      </c>
      <c r="E1094" s="26">
        <f>'Daily Returns'!E1094</f>
        <v>-7.4733434881950759E-3</v>
      </c>
    </row>
    <row r="1095" spans="1:5" ht="15" customHeight="1" x14ac:dyDescent="0.3">
      <c r="A1095" s="25">
        <f>'Daily Returns'!F1095</f>
        <v>3.6549079462750598E-3</v>
      </c>
      <c r="B1095" s="25">
        <f>'Daily Returns'!B1095</f>
        <v>3.3259423503325101E-3</v>
      </c>
      <c r="C1095" s="25">
        <f>'Daily Returns'!C1095</f>
        <v>1.9684572512747568E-2</v>
      </c>
      <c r="D1095" s="25">
        <f>'Daily Returns'!D1095</f>
        <v>7.6132094126952349E-3</v>
      </c>
      <c r="E1095" s="25">
        <f>'Daily Returns'!E1095</f>
        <v>3.8343484724953261E-2</v>
      </c>
    </row>
    <row r="1096" spans="1:5" ht="15" customHeight="1" x14ac:dyDescent="0.3">
      <c r="A1096" s="26">
        <f>'Daily Returns'!F1096</f>
        <v>5.2421691767556835E-3</v>
      </c>
      <c r="B1096" s="26">
        <f>'Daily Returns'!B1096</f>
        <v>-5.0092081031308053E-3</v>
      </c>
      <c r="C1096" s="26">
        <f>'Daily Returns'!C1096</f>
        <v>1.1419932550296604E-2</v>
      </c>
      <c r="D1096" s="26">
        <f>'Daily Returns'!D1096</f>
        <v>1.7515454813070323E-2</v>
      </c>
      <c r="E1096" s="26">
        <f>'Daily Returns'!E1096</f>
        <v>-2.3810073670354041E-2</v>
      </c>
    </row>
    <row r="1097" spans="1:5" ht="15" customHeight="1" x14ac:dyDescent="0.3">
      <c r="A1097" s="25">
        <f>'Daily Returns'!F1097</f>
        <v>-1.3026260383455984E-2</v>
      </c>
      <c r="B1097" s="25">
        <f>'Daily Returns'!B1097</f>
        <v>1.8953135411268248E-2</v>
      </c>
      <c r="C1097" s="25">
        <f>'Daily Returns'!C1097</f>
        <v>7.4909166168421861E-3</v>
      </c>
      <c r="D1097" s="25">
        <f>'Daily Returns'!D1097</f>
        <v>-3.4331452818361426E-2</v>
      </c>
      <c r="E1097" s="25">
        <f>'Daily Returns'!E1097</f>
        <v>-2.0369056068133461E-2</v>
      </c>
    </row>
    <row r="1098" spans="1:5" ht="15" customHeight="1" x14ac:dyDescent="0.3">
      <c r="A1098" s="26">
        <f>'Daily Returns'!F1098</f>
        <v>1.3116113357978382E-2</v>
      </c>
      <c r="B1098" s="26">
        <f>'Daily Returns'!B1098</f>
        <v>1.3296519654145264E-2</v>
      </c>
      <c r="C1098" s="26">
        <f>'Daily Returns'!C1098</f>
        <v>4.7932346916066257E-3</v>
      </c>
      <c r="D1098" s="26">
        <f>'Daily Returns'!D1098</f>
        <v>9.7867878364207295E-3</v>
      </c>
      <c r="E1098" s="26">
        <f>'Daily Returns'!E1098</f>
        <v>-9.4182424110697289E-4</v>
      </c>
    </row>
    <row r="1099" spans="1:5" ht="15" customHeight="1" x14ac:dyDescent="0.3">
      <c r="A1099" s="25">
        <f>'Daily Returns'!F1099</f>
        <v>1.759133346874292E-2</v>
      </c>
      <c r="B1099" s="25">
        <f>'Daily Returns'!B1099</f>
        <v>6.955399397676745E-3</v>
      </c>
      <c r="C1099" s="25">
        <f>'Daily Returns'!C1099</f>
        <v>2.1750611913429262E-2</v>
      </c>
      <c r="D1099" s="25">
        <f>'Daily Returns'!D1099</f>
        <v>1.2164367304554261E-2</v>
      </c>
      <c r="E1099" s="25">
        <f>'Daily Returns'!E1099</f>
        <v>1.6799613246313728E-2</v>
      </c>
    </row>
    <row r="1100" spans="1:5" ht="15" customHeight="1" x14ac:dyDescent="0.3">
      <c r="A1100" s="26">
        <f>'Daily Returns'!F1100</f>
        <v>6.3020336297071444E-3</v>
      </c>
      <c r="B1100" s="26">
        <f>'Daily Returns'!B1100</f>
        <v>-1.6022217474898525E-2</v>
      </c>
      <c r="C1100" s="26">
        <f>'Daily Returns'!C1100</f>
        <v>4.0035127308703441E-2</v>
      </c>
      <c r="D1100" s="26">
        <f>'Daily Returns'!D1100</f>
        <v>2.0030289706385101E-3</v>
      </c>
      <c r="E1100" s="26">
        <f>'Daily Returns'!E1100</f>
        <v>1.3336503031023449E-2</v>
      </c>
    </row>
    <row r="1101" spans="1:5" ht="15" customHeight="1" x14ac:dyDescent="0.3">
      <c r="A1101" s="25">
        <f>'Daily Returns'!F1101</f>
        <v>1.7908780855729639E-2</v>
      </c>
      <c r="B1101" s="25">
        <f>'Daily Returns'!B1101</f>
        <v>-1.4908090895932856E-2</v>
      </c>
      <c r="C1101" s="25">
        <f>'Daily Returns'!C1101</f>
        <v>7.6421547669947823E-4</v>
      </c>
      <c r="D1101" s="25">
        <f>'Daily Returns'!D1101</f>
        <v>-1.3554363725012196E-2</v>
      </c>
      <c r="E1101" s="25">
        <f>'Daily Returns'!E1101</f>
        <v>-9.8062215549195482E-3</v>
      </c>
    </row>
    <row r="1102" spans="1:5" ht="15" customHeight="1" x14ac:dyDescent="0.3">
      <c r="A1102" s="26">
        <f>'Daily Returns'!F1102</f>
        <v>-2.4793164888641476E-3</v>
      </c>
      <c r="B1102" s="26">
        <f>'Daily Returns'!B1102</f>
        <v>-8.889215398178137E-3</v>
      </c>
      <c r="C1102" s="26">
        <f>'Daily Returns'!C1102</f>
        <v>3.3962929142435502E-3</v>
      </c>
      <c r="D1102" s="26">
        <f>'Daily Returns'!D1102</f>
        <v>-2.2241992882561716E-3</v>
      </c>
      <c r="E1102" s="26">
        <f>'Daily Returns'!E1102</f>
        <v>3.2553070507960601E-2</v>
      </c>
    </row>
    <row r="1103" spans="1:5" ht="15" customHeight="1" x14ac:dyDescent="0.3">
      <c r="A1103" s="25">
        <f>'Daily Returns'!F1103</f>
        <v>4.4378093720266699E-4</v>
      </c>
      <c r="B1103" s="25">
        <f>'Daily Returns'!B1103</f>
        <v>-3.0390630790897385E-3</v>
      </c>
      <c r="C1103" s="25">
        <f>'Daily Returns'!C1103</f>
        <v>9.4891404424717139E-3</v>
      </c>
      <c r="D1103" s="25">
        <f>'Daily Returns'!D1103</f>
        <v>-6.7865457967999435E-3</v>
      </c>
      <c r="E1103" s="25">
        <f>'Daily Returns'!E1103</f>
        <v>-6.195218209352068E-4</v>
      </c>
    </row>
    <row r="1104" spans="1:5" ht="15" customHeight="1" x14ac:dyDescent="0.3">
      <c r="A1104" s="26">
        <f>'Daily Returns'!F1104</f>
        <v>1.5889815546133418E-2</v>
      </c>
      <c r="B1104" s="26">
        <f>'Daily Returns'!B1104</f>
        <v>6.468401486988881E-3</v>
      </c>
      <c r="C1104" s="26">
        <f>'Daily Returns'!C1104</f>
        <v>-7.5547495281576152E-3</v>
      </c>
      <c r="D1104" s="26">
        <f>'Daily Returns'!D1104</f>
        <v>6.0847880299251811E-3</v>
      </c>
      <c r="E1104" s="26">
        <f>'Daily Returns'!E1104</f>
        <v>2.1995178509929936E-2</v>
      </c>
    </row>
    <row r="1105" spans="1:5" ht="15" customHeight="1" x14ac:dyDescent="0.3">
      <c r="A1105" s="25">
        <f>'Daily Returns'!F1105</f>
        <v>-1.5769228529057765E-3</v>
      </c>
      <c r="B1105" s="25">
        <f>'Daily Returns'!B1105</f>
        <v>-1.2041072615793716E-2</v>
      </c>
      <c r="C1105" s="25">
        <f>'Daily Returns'!C1105</f>
        <v>-3.8077227501872556E-2</v>
      </c>
      <c r="D1105" s="25">
        <f>'Daily Returns'!D1105</f>
        <v>-7.9813603014078187E-3</v>
      </c>
      <c r="E1105" s="25">
        <f>'Daily Returns'!E1105</f>
        <v>3.0597802889043662E-2</v>
      </c>
    </row>
    <row r="1106" spans="1:5" ht="15" customHeight="1" x14ac:dyDescent="0.3">
      <c r="A1106" s="26">
        <f>'Daily Returns'!F1106</f>
        <v>-6.5901417350929439E-3</v>
      </c>
      <c r="B1106" s="26">
        <f>'Daily Returns'!B1106</f>
        <v>1.6599371915657236E-2</v>
      </c>
      <c r="C1106" s="26">
        <f>'Daily Returns'!C1106</f>
        <v>9.2997056565847034E-3</v>
      </c>
      <c r="D1106" s="26">
        <f>'Daily Returns'!D1106</f>
        <v>1.2443156264054673E-2</v>
      </c>
      <c r="E1106" s="26">
        <f>'Daily Returns'!E1106</f>
        <v>-1.8114441416893737E-2</v>
      </c>
    </row>
    <row r="1107" spans="1:5" ht="15" customHeight="1" x14ac:dyDescent="0.3">
      <c r="A1107" s="25">
        <f>'Daily Returns'!F1107</f>
        <v>2.057671011320748E-2</v>
      </c>
      <c r="B1107" s="25">
        <f>'Daily Returns'!B1107</f>
        <v>3.6775522212402869E-4</v>
      </c>
      <c r="C1107" s="25">
        <f>'Daily Returns'!C1107</f>
        <v>-1.2343720077695495E-2</v>
      </c>
      <c r="D1107" s="25">
        <f>'Daily Returns'!D1107</f>
        <v>-7.7492596248765703E-3</v>
      </c>
      <c r="E1107" s="25">
        <f>'Daily Returns'!E1107</f>
        <v>-2.7772844329988437E-2</v>
      </c>
    </row>
    <row r="1108" spans="1:5" ht="15" customHeight="1" x14ac:dyDescent="0.3">
      <c r="A1108" s="26">
        <f>'Daily Returns'!F1108</f>
        <v>-1.3944979603169904E-3</v>
      </c>
      <c r="B1108" s="26">
        <f>'Daily Returns'!B1108</f>
        <v>-2.7571502095434162E-2</v>
      </c>
      <c r="C1108" s="26">
        <f>'Daily Returns'!C1108</f>
        <v>2.3821526904475677E-2</v>
      </c>
      <c r="D1108" s="26">
        <f>'Daily Returns'!D1108</f>
        <v>-7.8097796348803325E-3</v>
      </c>
      <c r="E1108" s="26">
        <f>'Daily Returns'!E1108</f>
        <v>1.0595300618820329E-2</v>
      </c>
    </row>
    <row r="1109" spans="1:5" ht="15" customHeight="1" x14ac:dyDescent="0.3">
      <c r="A1109" s="25">
        <f>'Daily Returns'!F1109</f>
        <v>-8.7517139586352297E-3</v>
      </c>
      <c r="B1109" s="25">
        <f>'Daily Returns'!B1109</f>
        <v>-6.2755179192498425E-3</v>
      </c>
      <c r="C1109" s="25">
        <f>'Daily Returns'!C1109</f>
        <v>3.8093382898020073E-3</v>
      </c>
      <c r="D1109" s="25">
        <f>'Daily Returns'!D1109</f>
        <v>1.88007620575554E-2</v>
      </c>
      <c r="E1109" s="25">
        <f>'Daily Returns'!E1109</f>
        <v>3.9993673317214942E-3</v>
      </c>
    </row>
    <row r="1110" spans="1:5" ht="15" customHeight="1" x14ac:dyDescent="0.3">
      <c r="A1110" s="26">
        <f>'Daily Returns'!F1110</f>
        <v>2.2970168407899187E-4</v>
      </c>
      <c r="B1110" s="26">
        <f>'Daily Returns'!B1110</f>
        <v>-3.5532222475842666E-2</v>
      </c>
      <c r="C1110" s="26">
        <f>'Daily Returns'!C1110</f>
        <v>2.7006193636025456E-2</v>
      </c>
      <c r="D1110" s="26">
        <f>'Daily Returns'!D1110</f>
        <v>-2.116037596575005E-3</v>
      </c>
      <c r="E1110" s="26">
        <f>'Daily Returns'!E1110</f>
        <v>1.1252644371427287E-3</v>
      </c>
    </row>
    <row r="1111" spans="1:5" ht="15" customHeight="1" x14ac:dyDescent="0.3">
      <c r="A1111" s="25">
        <f>'Daily Returns'!F1111</f>
        <v>-2.3938417342037627E-2</v>
      </c>
      <c r="B1111" s="25">
        <f>'Daily Returns'!B1111</f>
        <v>-1.0097822656989596E-2</v>
      </c>
      <c r="C1111" s="25">
        <f>'Daily Returns'!C1111</f>
        <v>-1.4528429638416392E-2</v>
      </c>
      <c r="D1111" s="25">
        <f>'Daily Returns'!D1111</f>
        <v>8.7286714666141157E-3</v>
      </c>
      <c r="E1111" s="25">
        <f>'Daily Returns'!E1111</f>
        <v>5.5525582231814299E-3</v>
      </c>
    </row>
    <row r="1112" spans="1:5" ht="15" customHeight="1" x14ac:dyDescent="0.3">
      <c r="A1112" s="26">
        <f>'Daily Returns'!F1112</f>
        <v>1.220926927231465E-2</v>
      </c>
      <c r="B1112" s="26">
        <f>'Daily Returns'!B1112</f>
        <v>-7.2521517373287442E-3</v>
      </c>
      <c r="C1112" s="26">
        <f>'Daily Returns'!C1112</f>
        <v>2.0548054645681955E-2</v>
      </c>
      <c r="D1112" s="26">
        <f>'Daily Returns'!D1112</f>
        <v>-1.9995111219750689E-2</v>
      </c>
      <c r="E1112" s="26">
        <f>'Daily Returns'!E1112</f>
        <v>-1.430775077686585E-3</v>
      </c>
    </row>
    <row r="1113" spans="1:5" ht="15" customHeight="1" x14ac:dyDescent="0.3">
      <c r="A1113" s="25">
        <f>'Daily Returns'!F1113</f>
        <v>1.5641626806605746E-2</v>
      </c>
      <c r="B1113" s="25">
        <f>'Daily Returns'!B1113</f>
        <v>-8.1881672954964759E-3</v>
      </c>
      <c r="C1113" s="25">
        <f>'Daily Returns'!C1113</f>
        <v>-2.8181803948583863E-2</v>
      </c>
      <c r="D1113" s="25">
        <f>'Daily Returns'!D1113</f>
        <v>2.4344008779806421E-2</v>
      </c>
      <c r="E1113" s="25">
        <f>'Daily Returns'!E1113</f>
        <v>2.9977388228446023E-2</v>
      </c>
    </row>
    <row r="1114" spans="1:5" ht="15" customHeight="1" x14ac:dyDescent="0.3">
      <c r="A1114" s="26">
        <f>'Daily Returns'!F1114</f>
        <v>-1.3747125895626685E-2</v>
      </c>
      <c r="B1114" s="26">
        <f>'Daily Returns'!B1114</f>
        <v>-4.2088223391339216E-3</v>
      </c>
      <c r="C1114" s="26">
        <f>'Daily Returns'!C1114</f>
        <v>1.7130919967993569E-2</v>
      </c>
      <c r="D1114" s="26">
        <f>'Daily Returns'!D1114</f>
        <v>-2.2499269504236898E-2</v>
      </c>
      <c r="E1114" s="26">
        <f>'Daily Returns'!E1114</f>
        <v>-5.6405686214841516E-2</v>
      </c>
    </row>
    <row r="1115" spans="1:5" ht="15" customHeight="1" x14ac:dyDescent="0.3">
      <c r="A1115" s="25">
        <f>'Daily Returns'!F1115</f>
        <v>-7.2556026713621168E-3</v>
      </c>
      <c r="B1115" s="25">
        <f>'Daily Returns'!B1115</f>
        <v>-5.1207022677395384E-3</v>
      </c>
      <c r="C1115" s="25">
        <f>'Daily Returns'!C1115</f>
        <v>-3.590228243480808E-3</v>
      </c>
      <c r="D1115" s="25">
        <f>'Daily Returns'!D1115</f>
        <v>1.9430051813472239E-3</v>
      </c>
      <c r="E1115" s="25">
        <f>'Daily Returns'!E1115</f>
        <v>2.4486881205224471E-2</v>
      </c>
    </row>
    <row r="1116" spans="1:5" ht="15" customHeight="1" x14ac:dyDescent="0.3">
      <c r="A1116" s="26">
        <f>'Daily Returns'!F1116</f>
        <v>2.1424429360234285E-2</v>
      </c>
      <c r="B1116" s="26">
        <f>'Daily Returns'!B1116</f>
        <v>-7.9248366013071805E-3</v>
      </c>
      <c r="C1116" s="26">
        <f>'Daily Returns'!C1116</f>
        <v>1.713092733795029E-2</v>
      </c>
      <c r="D1116" s="26">
        <f>'Daily Returns'!D1116</f>
        <v>-3.1326139923426176E-3</v>
      </c>
      <c r="E1116" s="26">
        <f>'Daily Returns'!E1116</f>
        <v>5.3739263389845447E-3</v>
      </c>
    </row>
    <row r="1117" spans="1:5" ht="15" customHeight="1" x14ac:dyDescent="0.3">
      <c r="A1117" s="25">
        <f>'Daily Returns'!F1117</f>
        <v>1.1314362169062174E-2</v>
      </c>
      <c r="B1117" s="25">
        <f>'Daily Returns'!B1117</f>
        <v>2.1164456888742429E-2</v>
      </c>
      <c r="C1117" s="25">
        <f>'Daily Returns'!C1117</f>
        <v>-5.7200608472775111E-3</v>
      </c>
      <c r="D1117" s="25">
        <f>'Daily Returns'!D1117</f>
        <v>-1.1622106943335915E-2</v>
      </c>
      <c r="E1117" s="25">
        <f>'Daily Returns'!E1117</f>
        <v>-1.9457428488359192E-3</v>
      </c>
    </row>
    <row r="1118" spans="1:5" ht="15" customHeight="1" x14ac:dyDescent="0.3">
      <c r="A1118" s="26">
        <f>'Daily Returns'!F1118</f>
        <v>-3.3978043024323343E-3</v>
      </c>
      <c r="B1118" s="26">
        <f>'Daily Returns'!B1118</f>
        <v>1.7177419354838672E-2</v>
      </c>
      <c r="C1118" s="26">
        <f>'Daily Returns'!C1118</f>
        <v>1.2632428297477773E-2</v>
      </c>
      <c r="D1118" s="26">
        <f>'Daily Returns'!D1118</f>
        <v>-3.9364118092354329E-3</v>
      </c>
      <c r="E1118" s="26">
        <f>'Daily Returns'!E1118</f>
        <v>-1.7949177609465315E-2</v>
      </c>
    </row>
    <row r="1119" spans="1:5" ht="15" customHeight="1" x14ac:dyDescent="0.3">
      <c r="A1119" s="25">
        <f>'Daily Returns'!F1119</f>
        <v>-1.5358375059450833E-3</v>
      </c>
      <c r="B1119" s="25">
        <f>'Daily Returns'!B1119</f>
        <v>-1.5539522714659429E-2</v>
      </c>
      <c r="C1119" s="25">
        <f>'Daily Returns'!C1119</f>
        <v>9.4583197512275487E-3</v>
      </c>
      <c r="D1119" s="25">
        <f>'Daily Returns'!D1119</f>
        <v>1.9861174443937719E-2</v>
      </c>
      <c r="E1119" s="25">
        <f>'Daily Returns'!E1119</f>
        <v>2.3776383342840882E-2</v>
      </c>
    </row>
    <row r="1120" spans="1:5" ht="15" customHeight="1" x14ac:dyDescent="0.3">
      <c r="A1120" s="26">
        <f>'Daily Returns'!F1120</f>
        <v>4.9079084936258701E-3</v>
      </c>
      <c r="B1120" s="26">
        <f>'Daily Returns'!B1120</f>
        <v>1.771764516388824E-2</v>
      </c>
      <c r="C1120" s="26">
        <f>'Daily Returns'!C1120</f>
        <v>7.3553155609773135E-3</v>
      </c>
      <c r="D1120" s="26">
        <f>'Daily Returns'!D1120</f>
        <v>2.7770877837945272E-2</v>
      </c>
      <c r="E1120" s="26">
        <f>'Daily Returns'!E1120</f>
        <v>-2.1463436378630164E-2</v>
      </c>
    </row>
    <row r="1121" spans="1:5" ht="15" customHeight="1" x14ac:dyDescent="0.3">
      <c r="A1121" s="25">
        <f>'Daily Returns'!F1121</f>
        <v>1.6464403850253509E-2</v>
      </c>
      <c r="B1121" s="25">
        <f>'Daily Returns'!B1121</f>
        <v>-2.2157157553216834E-2</v>
      </c>
      <c r="C1121" s="25">
        <f>'Daily Returns'!C1121</f>
        <v>8.4057558056703143E-3</v>
      </c>
      <c r="D1121" s="25">
        <f>'Daily Returns'!D1121</f>
        <v>-3.3352668213456967E-3</v>
      </c>
      <c r="E1121" s="25">
        <f>'Daily Returns'!E1121</f>
        <v>2.5282434402331376E-3</v>
      </c>
    </row>
    <row r="1122" spans="1:5" ht="15" customHeight="1" x14ac:dyDescent="0.3">
      <c r="A1122" s="26">
        <f>'Daily Returns'!F1122</f>
        <v>9.1431344254667337E-3</v>
      </c>
      <c r="B1122" s="26">
        <f>'Daily Returns'!B1122</f>
        <v>-1.1005907582746617E-2</v>
      </c>
      <c r="C1122" s="26">
        <f>'Daily Returns'!C1122</f>
        <v>3.0234529528115325E-2</v>
      </c>
      <c r="D1122" s="26">
        <f>'Daily Returns'!D1122</f>
        <v>-5.2378873854211361E-3</v>
      </c>
      <c r="E1122" s="26">
        <f>'Daily Returns'!E1122</f>
        <v>2.1969783028513046E-2</v>
      </c>
    </row>
    <row r="1123" spans="1:5" ht="15" customHeight="1" x14ac:dyDescent="0.3">
      <c r="A1123" s="25">
        <f>'Daily Returns'!F1123</f>
        <v>6.7644703314016074E-3</v>
      </c>
      <c r="B1123" s="25">
        <f>'Daily Returns'!B1123</f>
        <v>2.1520333851567056E-2</v>
      </c>
      <c r="C1123" s="25">
        <f>'Daily Returns'!C1123</f>
        <v>-9.3056970456860746E-3</v>
      </c>
      <c r="D1123" s="25">
        <f>'Daily Returns'!D1123</f>
        <v>-2.9155087514016957E-2</v>
      </c>
      <c r="E1123" s="25">
        <f>'Daily Returns'!E1123</f>
        <v>-3.0790093815303825E-2</v>
      </c>
    </row>
    <row r="1124" spans="1:5" ht="15" customHeight="1" x14ac:dyDescent="0.3">
      <c r="A1124" s="26">
        <f>'Daily Returns'!F1124</f>
        <v>-1.9555476052054866E-3</v>
      </c>
      <c r="B1124" s="26">
        <f>'Daily Returns'!B1124</f>
        <v>-3.0759371996155103E-2</v>
      </c>
      <c r="C1124" s="26">
        <f>'Daily Returns'!C1124</f>
        <v>2.5346556190551626E-2</v>
      </c>
      <c r="D1124" s="26">
        <f>'Daily Returns'!D1124</f>
        <v>2.7369055390950723E-2</v>
      </c>
      <c r="E1124" s="26">
        <f>'Daily Returns'!E1124</f>
        <v>6.4453976191021067E-3</v>
      </c>
    </row>
    <row r="1125" spans="1:5" ht="15" customHeight="1" x14ac:dyDescent="0.3">
      <c r="A1125" s="25">
        <f>'Daily Returns'!F1125</f>
        <v>1.7855945834239918E-2</v>
      </c>
      <c r="B1125" s="25">
        <f>'Daily Returns'!B1125</f>
        <v>8.2644628099173556E-3</v>
      </c>
      <c r="C1125" s="25">
        <f>'Daily Returns'!C1125</f>
        <v>-5.6508343659446847E-3</v>
      </c>
      <c r="D1125" s="25">
        <f>'Daily Returns'!D1125</f>
        <v>-1.6375012220158483E-2</v>
      </c>
      <c r="E1125" s="25">
        <f>'Daily Returns'!E1125</f>
        <v>6.3357491225671855E-3</v>
      </c>
    </row>
    <row r="1126" spans="1:5" ht="15" customHeight="1" x14ac:dyDescent="0.3">
      <c r="A1126" s="26">
        <f>'Daily Returns'!F1126</f>
        <v>6.958162277410149E-3</v>
      </c>
      <c r="B1126" s="26">
        <f>'Daily Returns'!B1126</f>
        <v>-1.7049180327868837E-2</v>
      </c>
      <c r="C1126" s="26">
        <f>'Daily Returns'!C1126</f>
        <v>2.188807696224131E-2</v>
      </c>
      <c r="D1126" s="26">
        <f>'Daily Returns'!D1126</f>
        <v>-1.3914426278387831E-2</v>
      </c>
      <c r="E1126" s="26">
        <f>'Daily Returns'!E1126</f>
        <v>8.5605580215598626E-3</v>
      </c>
    </row>
    <row r="1127" spans="1:5" ht="15" customHeight="1" x14ac:dyDescent="0.3">
      <c r="A1127" s="25">
        <f>'Daily Returns'!F1127</f>
        <v>-1.2098193621111459E-2</v>
      </c>
      <c r="B1127" s="25">
        <f>'Daily Returns'!B1127</f>
        <v>-1.6677785190126989E-3</v>
      </c>
      <c r="C1127" s="25">
        <f>'Daily Returns'!C1127</f>
        <v>4.1861016868727736E-2</v>
      </c>
      <c r="D1127" s="25">
        <f>'Daily Returns'!D1127</f>
        <v>2.0158242201280333E-3</v>
      </c>
      <c r="E1127" s="25">
        <f>'Daily Returns'!E1127</f>
        <v>-8.3307136120716295E-3</v>
      </c>
    </row>
    <row r="1128" spans="1:5" ht="15" customHeight="1" x14ac:dyDescent="0.3">
      <c r="A1128" s="26">
        <f>'Daily Returns'!F1128</f>
        <v>-4.0529101615534866E-3</v>
      </c>
      <c r="B1128" s="26">
        <f>'Daily Returns'!B1128</f>
        <v>-2.1717340461076271E-3</v>
      </c>
      <c r="C1128" s="26">
        <f>'Daily Returns'!C1128</f>
        <v>-1.3485633086939352E-2</v>
      </c>
      <c r="D1128" s="26">
        <f>'Daily Returns'!D1128</f>
        <v>1.1970024644168362E-2</v>
      </c>
      <c r="E1128" s="26">
        <f>'Daily Returns'!E1128</f>
        <v>1.1548128523877505E-2</v>
      </c>
    </row>
    <row r="1129" spans="1:5" ht="15" customHeight="1" x14ac:dyDescent="0.3">
      <c r="A1129" s="25">
        <f>'Daily Returns'!F1129</f>
        <v>2.0792061962420651E-2</v>
      </c>
      <c r="B1129" s="25">
        <f>'Daily Returns'!B1129</f>
        <v>2.3857358111501831E-2</v>
      </c>
      <c r="C1129" s="25">
        <f>'Daily Returns'!C1129</f>
        <v>-3.7432019426977985E-2</v>
      </c>
      <c r="D1129" s="25">
        <f>'Daily Returns'!D1129</f>
        <v>2.4402365687590064E-2</v>
      </c>
      <c r="E1129" s="25">
        <f>'Daily Returns'!E1129</f>
        <v>2.010162738119213E-2</v>
      </c>
    </row>
    <row r="1130" spans="1:5" ht="15" customHeight="1" x14ac:dyDescent="0.3">
      <c r="A1130" s="26">
        <f>'Daily Returns'!F1130</f>
        <v>-2.0244762562415589E-2</v>
      </c>
      <c r="B1130" s="26">
        <f>'Daily Returns'!B1130</f>
        <v>-1.0955768130161093E-2</v>
      </c>
      <c r="C1130" s="26">
        <f>'Daily Returns'!C1130</f>
        <v>3.4820477894271233E-3</v>
      </c>
      <c r="D1130" s="26">
        <f>'Daily Returns'!D1130</f>
        <v>3.4640015524936861E-2</v>
      </c>
      <c r="E1130" s="26">
        <f>'Daily Returns'!E1130</f>
        <v>-5.2006758684251054E-3</v>
      </c>
    </row>
    <row r="1131" spans="1:5" ht="15" customHeight="1" x14ac:dyDescent="0.3">
      <c r="A1131" s="25">
        <f>'Daily Returns'!F1131</f>
        <v>-1.1648118592046387E-2</v>
      </c>
      <c r="B1131" s="25">
        <f>'Daily Returns'!B1131</f>
        <v>-5.7865586509046191E-4</v>
      </c>
      <c r="C1131" s="25">
        <f>'Daily Returns'!C1131</f>
        <v>-1.1604787213703852E-2</v>
      </c>
      <c r="D1131" s="25">
        <f>'Daily Returns'!D1131</f>
        <v>1.2238582012566885E-2</v>
      </c>
      <c r="E1131" s="25">
        <f>'Daily Returns'!E1131</f>
        <v>3.9859707945471501E-2</v>
      </c>
    </row>
    <row r="1132" spans="1:5" ht="15" customHeight="1" x14ac:dyDescent="0.3">
      <c r="A1132" s="26">
        <f>'Daily Returns'!F1132</f>
        <v>6.5710169693883047E-3</v>
      </c>
      <c r="B1132" s="26">
        <f>'Daily Returns'!B1132</f>
        <v>8.9330024813895643E-3</v>
      </c>
      <c r="C1132" s="26">
        <f>'Daily Returns'!C1132</f>
        <v>-8.6897232054779852E-3</v>
      </c>
      <c r="D1132" s="26">
        <f>'Daily Returns'!D1132</f>
        <v>-7.1339231945151804E-3</v>
      </c>
      <c r="E1132" s="26">
        <f>'Daily Returns'!E1132</f>
        <v>-2.1000827305318159E-2</v>
      </c>
    </row>
    <row r="1133" spans="1:5" ht="15" customHeight="1" x14ac:dyDescent="0.3">
      <c r="A1133" s="25">
        <f>'Daily Returns'!F1133</f>
        <v>-1.2027318608189641E-3</v>
      </c>
      <c r="B1133" s="25">
        <f>'Daily Returns'!B1133</f>
        <v>-3.1152647975078674E-3</v>
      </c>
      <c r="C1133" s="25">
        <f>'Daily Returns'!C1133</f>
        <v>-5.2146595837052031E-3</v>
      </c>
      <c r="D1133" s="25">
        <f>'Daily Returns'!D1133</f>
        <v>-9.9379461577941662E-3</v>
      </c>
      <c r="E1133" s="25">
        <f>'Daily Returns'!E1133</f>
        <v>-1.2350761630300511E-2</v>
      </c>
    </row>
    <row r="1134" spans="1:5" ht="15" customHeight="1" x14ac:dyDescent="0.3">
      <c r="A1134" s="26">
        <f>'Daily Returns'!F1134</f>
        <v>-1.2509487859474465E-2</v>
      </c>
      <c r="B1134" s="26">
        <f>'Daily Returns'!B1134</f>
        <v>-1.1101973684210479E-2</v>
      </c>
      <c r="C1134" s="26">
        <f>'Daily Returns'!C1134</f>
        <v>-8.8216544892855443E-3</v>
      </c>
      <c r="D1134" s="26">
        <f>'Daily Returns'!D1134</f>
        <v>-2.4505183788877559E-3</v>
      </c>
      <c r="E1134" s="26">
        <f>'Daily Returns'!E1134</f>
        <v>2.3211425813387122E-2</v>
      </c>
    </row>
    <row r="1135" spans="1:5" ht="15" customHeight="1" x14ac:dyDescent="0.3">
      <c r="A1135" s="25">
        <f>'Daily Returns'!F1135</f>
        <v>-3.9368559956866042E-2</v>
      </c>
      <c r="B1135" s="25">
        <f>'Daily Returns'!B1135</f>
        <v>-4.9896049896051787E-4</v>
      </c>
      <c r="C1135" s="25">
        <f>'Daily Returns'!C1135</f>
        <v>2.5839678228475601E-2</v>
      </c>
      <c r="D1135" s="25">
        <f>'Daily Returns'!D1135</f>
        <v>1.3085789871504071E-2</v>
      </c>
      <c r="E1135" s="25">
        <f>'Daily Returns'!E1135</f>
        <v>-3.6235768348377921E-3</v>
      </c>
    </row>
    <row r="1136" spans="1:5" ht="15" customHeight="1" x14ac:dyDescent="0.3">
      <c r="A1136" s="26">
        <f>'Daily Returns'!F1136</f>
        <v>-3.4008032743337514E-3</v>
      </c>
      <c r="B1136" s="26">
        <f>'Daily Returns'!B1136</f>
        <v>1.5808303519427385E-3</v>
      </c>
      <c r="C1136" s="26">
        <f>'Daily Returns'!C1136</f>
        <v>2.0443299864000633E-2</v>
      </c>
      <c r="D1136" s="26">
        <f>'Daily Returns'!D1136</f>
        <v>1.5434833294474247E-2</v>
      </c>
      <c r="E1136" s="26">
        <f>'Daily Returns'!E1136</f>
        <v>-1.7236927049709472E-2</v>
      </c>
    </row>
    <row r="1137" spans="1:5" ht="15" customHeight="1" x14ac:dyDescent="0.3">
      <c r="A1137" s="25">
        <f>'Daily Returns'!F1137</f>
        <v>1.3738925233300057E-2</v>
      </c>
      <c r="B1137" s="25">
        <f>'Daily Returns'!B1137</f>
        <v>1.2626682173118544E-2</v>
      </c>
      <c r="C1137" s="25">
        <f>'Daily Returns'!C1137</f>
        <v>2.1040393585799146E-2</v>
      </c>
      <c r="D1137" s="25">
        <f>'Daily Returns'!D1137</f>
        <v>1.0102865540044165E-2</v>
      </c>
      <c r="E1137" s="25">
        <f>'Daily Returns'!E1137</f>
        <v>-7.9484989818038396E-3</v>
      </c>
    </row>
    <row r="1138" spans="1:5" ht="15" customHeight="1" x14ac:dyDescent="0.3">
      <c r="A1138" s="26">
        <f>'Daily Returns'!F1138</f>
        <v>-1.098788924849585E-2</v>
      </c>
      <c r="B1138" s="26">
        <f>'Daily Returns'!B1138</f>
        <v>-1.2797374897456949E-2</v>
      </c>
      <c r="C1138" s="26">
        <f>'Daily Returns'!C1138</f>
        <v>4.1375639334398084E-2</v>
      </c>
      <c r="D1138" s="26">
        <f>'Daily Returns'!D1138</f>
        <v>-2.9414438988907068E-2</v>
      </c>
      <c r="E1138" s="26">
        <f>'Daily Returns'!E1138</f>
        <v>2.9091069615503479E-2</v>
      </c>
    </row>
    <row r="1139" spans="1:5" ht="15" customHeight="1" x14ac:dyDescent="0.3">
      <c r="A1139" s="25">
        <f>'Daily Returns'!F1139</f>
        <v>-1.2649283069550389E-2</v>
      </c>
      <c r="B1139" s="25">
        <f>'Daily Returns'!B1139</f>
        <v>-5.8999501412664778E-3</v>
      </c>
      <c r="C1139" s="25">
        <f>'Daily Returns'!C1139</f>
        <v>-1.2996479749671191E-2</v>
      </c>
      <c r="D1139" s="25">
        <f>'Daily Returns'!D1139</f>
        <v>-8.5249894608647788E-3</v>
      </c>
      <c r="E1139" s="25">
        <f>'Daily Returns'!E1139</f>
        <v>1.5485586822237411E-2</v>
      </c>
    </row>
    <row r="1140" spans="1:5" ht="15" customHeight="1" x14ac:dyDescent="0.3">
      <c r="A1140" s="26">
        <f>'Daily Returns'!F1140</f>
        <v>9.1400075945366754E-3</v>
      </c>
      <c r="B1140" s="26">
        <f>'Daily Returns'!B1140</f>
        <v>4.8482822034606561E-3</v>
      </c>
      <c r="C1140" s="26">
        <f>'Daily Returns'!C1140</f>
        <v>-4.3447716833288311E-2</v>
      </c>
      <c r="D1140" s="26">
        <f>'Daily Returns'!D1140</f>
        <v>2.3338215146218293E-2</v>
      </c>
      <c r="E1140" s="26">
        <f>'Daily Returns'!E1140</f>
        <v>-1.7044734507666949E-2</v>
      </c>
    </row>
    <row r="1141" spans="1:5" ht="15" customHeight="1" x14ac:dyDescent="0.3">
      <c r="A1141" s="25">
        <f>'Daily Returns'!F1141</f>
        <v>1.6261038652136794E-2</v>
      </c>
      <c r="B1141" s="25">
        <f>'Daily Returns'!B1141</f>
        <v>-1.9965061142999327E-3</v>
      </c>
      <c r="C1141" s="25">
        <f>'Daily Returns'!C1141</f>
        <v>3.6287968664670517E-2</v>
      </c>
      <c r="D1141" s="25">
        <f>'Daily Returns'!D1141</f>
        <v>-8.0328701352661881E-3</v>
      </c>
      <c r="E1141" s="25">
        <f>'Daily Returns'!E1141</f>
        <v>-3.4916951374116337E-2</v>
      </c>
    </row>
    <row r="1142" spans="1:5" ht="15" customHeight="1" x14ac:dyDescent="0.3">
      <c r="A1142" s="26">
        <f>'Daily Returns'!F1142</f>
        <v>-9.6118386934413557E-3</v>
      </c>
      <c r="B1142" s="26">
        <f>'Daily Returns'!B1142</f>
        <v>-2.2505626406601319E-3</v>
      </c>
      <c r="C1142" s="26">
        <f>'Daily Returns'!C1142</f>
        <v>5.0154461202980031E-3</v>
      </c>
      <c r="D1142" s="26">
        <f>'Daily Returns'!D1142</f>
        <v>-8.3771582817520739E-4</v>
      </c>
      <c r="E1142" s="26">
        <f>'Daily Returns'!E1142</f>
        <v>2.8677027207552202E-2</v>
      </c>
    </row>
    <row r="1143" spans="1:5" ht="15" customHeight="1" x14ac:dyDescent="0.3">
      <c r="A1143" s="25">
        <f>'Daily Returns'!F1143</f>
        <v>-3.5860090892978875E-3</v>
      </c>
      <c r="B1143" s="25">
        <f>'Daily Returns'!B1143</f>
        <v>8.3542188805270715E-5</v>
      </c>
      <c r="C1143" s="25">
        <f>'Daily Returns'!C1143</f>
        <v>-3.8874624814652691E-4</v>
      </c>
      <c r="D1143" s="25">
        <f>'Daily Returns'!D1143</f>
        <v>4.3318272858540272E-2</v>
      </c>
      <c r="E1143" s="25">
        <f>'Daily Returns'!E1143</f>
        <v>5.1080039825116092E-3</v>
      </c>
    </row>
    <row r="1144" spans="1:5" ht="15" customHeight="1" x14ac:dyDescent="0.3">
      <c r="A1144" s="26">
        <f>'Daily Returns'!F1144</f>
        <v>-1.6855550371117391E-2</v>
      </c>
      <c r="B1144" s="26">
        <f>'Daily Returns'!B1144</f>
        <v>-9.355943530197898E-3</v>
      </c>
      <c r="C1144" s="26">
        <f>'Daily Returns'!C1144</f>
        <v>-3.1202235708019426E-2</v>
      </c>
      <c r="D1144" s="26">
        <f>'Daily Returns'!D1144</f>
        <v>-7.5896245368103888E-4</v>
      </c>
      <c r="E1144" s="26">
        <f>'Daily Returns'!E1144</f>
        <v>-7.5153968732503754E-3</v>
      </c>
    </row>
    <row r="1145" spans="1:5" ht="15" customHeight="1" x14ac:dyDescent="0.3">
      <c r="A1145" s="25">
        <f>'Daily Returns'!F1145</f>
        <v>3.3957553058677211E-4</v>
      </c>
      <c r="B1145" s="25">
        <f>'Daily Returns'!B1145</f>
        <v>-1.0793490176237467E-2</v>
      </c>
      <c r="C1145" s="25">
        <f>'Daily Returns'!C1145</f>
        <v>-2.3249843631848666E-2</v>
      </c>
      <c r="D1145" s="25">
        <f>'Daily Returns'!D1145</f>
        <v>2.2830846215709112E-2</v>
      </c>
      <c r="E1145" s="25">
        <f>'Daily Returns'!E1145</f>
        <v>-1.6663412093992074E-2</v>
      </c>
    </row>
    <row r="1146" spans="1:5" ht="15" customHeight="1" x14ac:dyDescent="0.3">
      <c r="A1146" s="26">
        <f>'Daily Returns'!F1146</f>
        <v>-8.128421962925075E-3</v>
      </c>
      <c r="B1146" s="26">
        <f>'Daily Returns'!B1146</f>
        <v>6.478561077486923E-3</v>
      </c>
      <c r="C1146" s="26">
        <f>'Daily Returns'!C1146</f>
        <v>1.280243910597971E-2</v>
      </c>
      <c r="D1146" s="26">
        <f>'Daily Returns'!D1146</f>
        <v>2.9353950989385397E-2</v>
      </c>
      <c r="E1146" s="26">
        <f>'Daily Returns'!E1146</f>
        <v>-3.8679640784625172E-2</v>
      </c>
    </row>
    <row r="1147" spans="1:5" ht="15" customHeight="1" x14ac:dyDescent="0.3">
      <c r="A1147" s="25">
        <f>'Daily Returns'!F1147</f>
        <v>-1.5681581623300581E-3</v>
      </c>
      <c r="B1147" s="25">
        <f>'Daily Returns'!B1147</f>
        <v>-1.4906411450834175E-2</v>
      </c>
      <c r="C1147" s="25">
        <f>'Daily Returns'!C1147</f>
        <v>-1.9298278725653714E-3</v>
      </c>
      <c r="D1147" s="25">
        <f>'Daily Returns'!D1147</f>
        <v>1.2306386590282221E-2</v>
      </c>
      <c r="E1147" s="25">
        <f>'Daily Returns'!E1147</f>
        <v>-2.4513404333455762E-2</v>
      </c>
    </row>
    <row r="1148" spans="1:5" ht="15" customHeight="1" x14ac:dyDescent="0.3">
      <c r="A1148" s="26">
        <f>'Daily Returns'!F1148</f>
        <v>-2.7412098726751911E-2</v>
      </c>
      <c r="B1148" s="26">
        <f>'Daily Returns'!B1148</f>
        <v>1.6507608976012396E-2</v>
      </c>
      <c r="C1148" s="26">
        <f>'Daily Returns'!C1148</f>
        <v>-3.7380570801836141E-2</v>
      </c>
      <c r="D1148" s="26">
        <f>'Daily Returns'!D1148</f>
        <v>-6.455669670928612E-3</v>
      </c>
      <c r="E1148" s="26">
        <f>'Daily Returns'!E1148</f>
        <v>6.1647058823529515E-3</v>
      </c>
    </row>
    <row r="1149" spans="1:5" ht="15" customHeight="1" x14ac:dyDescent="0.3">
      <c r="A1149" s="25">
        <f>'Daily Returns'!F1149</f>
        <v>1.0750043108217157E-2</v>
      </c>
      <c r="B1149" s="25">
        <f>'Daily Returns'!B1149</f>
        <v>3.2986551636640495E-3</v>
      </c>
      <c r="C1149" s="25">
        <f>'Daily Returns'!C1149</f>
        <v>-1.5990570670857452E-2</v>
      </c>
      <c r="D1149" s="25">
        <f>'Daily Returns'!D1149</f>
        <v>-3.5483734863507858E-2</v>
      </c>
      <c r="E1149" s="25">
        <f>'Daily Returns'!E1149</f>
        <v>-8.8630092137879906E-3</v>
      </c>
    </row>
    <row r="1150" spans="1:5" ht="15" customHeight="1" x14ac:dyDescent="0.3">
      <c r="A1150" s="26">
        <f>'Daily Returns'!F1150</f>
        <v>-2.0569102227607761E-2</v>
      </c>
      <c r="B1150" s="26">
        <f>'Daily Returns'!B1150</f>
        <v>-1.7366380037093256E-2</v>
      </c>
      <c r="C1150" s="26">
        <f>'Daily Returns'!C1150</f>
        <v>1.910023756762691E-2</v>
      </c>
      <c r="D1150" s="26">
        <f>'Daily Returns'!D1150</f>
        <v>-1.3123359580052493E-2</v>
      </c>
      <c r="E1150" s="26">
        <f>'Daily Returns'!E1150</f>
        <v>3.1569261260411006E-2</v>
      </c>
    </row>
    <row r="1151" spans="1:5" ht="15" customHeight="1" x14ac:dyDescent="0.3">
      <c r="A1151" s="25">
        <f>'Daily Returns'!F1151</f>
        <v>-1.4944385701475982E-2</v>
      </c>
      <c r="B1151" s="25">
        <f>'Daily Returns'!B1151</f>
        <v>4.2038435140699633E-3</v>
      </c>
      <c r="C1151" s="25">
        <f>'Daily Returns'!C1151</f>
        <v>2.3149893971820379E-2</v>
      </c>
      <c r="D1151" s="25">
        <f>'Daily Returns'!D1151</f>
        <v>1.0505319148936191E-2</v>
      </c>
      <c r="E1151" s="25">
        <f>'Daily Returns'!E1151</f>
        <v>1.7840397063196203E-2</v>
      </c>
    </row>
    <row r="1152" spans="1:5" ht="15" customHeight="1" x14ac:dyDescent="0.3">
      <c r="A1152" s="26">
        <f>'Daily Returns'!F1152</f>
        <v>-2.3741461332530793E-3</v>
      </c>
      <c r="B1152" s="26">
        <f>'Daily Returns'!B1152</f>
        <v>2.6484408372490584E-3</v>
      </c>
      <c r="C1152" s="26">
        <f>'Daily Returns'!C1152</f>
        <v>4.3701356513082216E-3</v>
      </c>
      <c r="D1152" s="26">
        <f>'Daily Returns'!D1152</f>
        <v>9.7381234372943756E-3</v>
      </c>
      <c r="E1152" s="26">
        <f>'Daily Returns'!E1152</f>
        <v>-1.0696388845194469E-2</v>
      </c>
    </row>
    <row r="1153" spans="1:5" ht="15" customHeight="1" x14ac:dyDescent="0.3">
      <c r="A1153" s="25">
        <f>'Daily Returns'!F1153</f>
        <v>-2.2536960196711246E-2</v>
      </c>
      <c r="B1153" s="25">
        <f>'Daily Returns'!B1153</f>
        <v>1.0906612133606008E-2</v>
      </c>
      <c r="C1153" s="25">
        <f>'Daily Returns'!C1153</f>
        <v>5.0583564868870605E-2</v>
      </c>
      <c r="D1153" s="25">
        <f>'Daily Returns'!D1153</f>
        <v>1.885399018202356E-2</v>
      </c>
      <c r="E1153" s="25">
        <f>'Daily Returns'!E1153</f>
        <v>-1.7058489494605318E-2</v>
      </c>
    </row>
    <row r="1154" spans="1:5" ht="15" customHeight="1" x14ac:dyDescent="0.3">
      <c r="A1154" s="26">
        <f>'Daily Returns'!F1154</f>
        <v>-1.7954771475960196E-2</v>
      </c>
      <c r="B1154" s="26">
        <f>'Daily Returns'!B1154</f>
        <v>1.6351989211058647E-2</v>
      </c>
      <c r="C1154" s="26">
        <f>'Daily Returns'!C1154</f>
        <v>1.8703077865227163E-2</v>
      </c>
      <c r="D1154" s="26">
        <f>'Daily Returns'!D1154</f>
        <v>-1.7012748902059477E-2</v>
      </c>
      <c r="E1154" s="26">
        <f>'Daily Returns'!E1154</f>
        <v>2.4864814900402068E-2</v>
      </c>
    </row>
    <row r="1155" spans="1:5" ht="15" customHeight="1" x14ac:dyDescent="0.3">
      <c r="A1155" s="25">
        <f>'Daily Returns'!F1155</f>
        <v>-1.0346634675421658E-2</v>
      </c>
      <c r="B1155" s="25">
        <f>'Daily Returns'!B1155</f>
        <v>-4.7271520981920154E-3</v>
      </c>
      <c r="C1155" s="25">
        <f>'Daily Returns'!C1155</f>
        <v>3.2524669587830846E-2</v>
      </c>
      <c r="D1155" s="25">
        <f>'Daily Returns'!D1155</f>
        <v>3.5134900667996975E-3</v>
      </c>
      <c r="E1155" s="25">
        <f>'Daily Returns'!E1155</f>
        <v>-6.5839909808343084E-3</v>
      </c>
    </row>
    <row r="1156" spans="1:5" ht="15" customHeight="1" x14ac:dyDescent="0.3">
      <c r="A1156" s="26">
        <f>'Daily Returns'!F1156</f>
        <v>-2.0495044913392491E-2</v>
      </c>
      <c r="B1156" s="26">
        <f>'Daily Returns'!B1156</f>
        <v>-9.4992083993000621E-3</v>
      </c>
      <c r="C1156" s="26">
        <f>'Daily Returns'!C1156</f>
        <v>2.4112441346950175E-2</v>
      </c>
      <c r="D1156" s="26">
        <f>'Daily Returns'!D1156</f>
        <v>-3.1899719040414935E-2</v>
      </c>
      <c r="E1156" s="26">
        <f>'Daily Returns'!E1156</f>
        <v>5.0433519451632006E-2</v>
      </c>
    </row>
    <row r="1157" spans="1:5" ht="15" customHeight="1" x14ac:dyDescent="0.3">
      <c r="A1157" s="25">
        <f>'Daily Returns'!F1157</f>
        <v>-7.65184501556543E-3</v>
      </c>
      <c r="B1157" s="25">
        <f>'Daily Returns'!B1157</f>
        <v>-8.0760494658030455E-3</v>
      </c>
      <c r="C1157" s="25">
        <f>'Daily Returns'!C1157</f>
        <v>1.5257113739824737E-2</v>
      </c>
      <c r="D1157" s="25">
        <f>'Daily Returns'!D1157</f>
        <v>-1.3483948743135287E-2</v>
      </c>
      <c r="E1157" s="25">
        <f>'Daily Returns'!E1157</f>
        <v>2.3120138288677465E-3</v>
      </c>
    </row>
    <row r="1158" spans="1:5" ht="15" customHeight="1" x14ac:dyDescent="0.3">
      <c r="A1158" s="26">
        <f>'Daily Returns'!F1158</f>
        <v>-8.3503850874498968E-4</v>
      </c>
      <c r="B1158" s="26">
        <f>'Daily Returns'!B1158</f>
        <v>-1.3315240437621858E-2</v>
      </c>
      <c r="C1158" s="26">
        <f>'Daily Returns'!C1158</f>
        <v>-2.3024978638328322E-2</v>
      </c>
      <c r="D1158" s="26">
        <f>'Daily Returns'!D1158</f>
        <v>8.7350079203440002E-3</v>
      </c>
      <c r="E1158" s="26">
        <f>'Daily Returns'!E1158</f>
        <v>-2.5330372733740055E-2</v>
      </c>
    </row>
    <row r="1159" spans="1:5" ht="15" customHeight="1" x14ac:dyDescent="0.3">
      <c r="A1159" s="25">
        <f>'Daily Returns'!F1159</f>
        <v>1.9672119496754657E-2</v>
      </c>
      <c r="B1159" s="25">
        <f>'Daily Returns'!B1159</f>
        <v>-9.9707753137355734E-3</v>
      </c>
      <c r="C1159" s="25">
        <f>'Daily Returns'!C1159</f>
        <v>-2.7630713057507347E-2</v>
      </c>
      <c r="D1159" s="25">
        <f>'Daily Returns'!D1159</f>
        <v>-3.3964465183058117E-2</v>
      </c>
      <c r="E1159" s="25">
        <f>'Daily Returns'!E1159</f>
        <v>-3.8087233477837802E-2</v>
      </c>
    </row>
    <row r="1160" spans="1:5" ht="15" customHeight="1" x14ac:dyDescent="0.3">
      <c r="A1160" s="26">
        <f>'Daily Returns'!F1160</f>
        <v>1.0217172359596459E-2</v>
      </c>
      <c r="B1160" s="26">
        <f>'Daily Returns'!B1160</f>
        <v>4.2542108004861509E-3</v>
      </c>
      <c r="C1160" s="26">
        <f>'Daily Returns'!C1160</f>
        <v>-1.2483244333637582E-2</v>
      </c>
      <c r="D1160" s="26">
        <f>'Daily Returns'!D1160</f>
        <v>1.3236728438066017E-2</v>
      </c>
      <c r="E1160" s="26">
        <f>'Daily Returns'!E1160</f>
        <v>-1.3428374338928432E-2</v>
      </c>
    </row>
    <row r="1161" spans="1:5" ht="15" customHeight="1" x14ac:dyDescent="0.3">
      <c r="A1161" s="25">
        <f>'Daily Returns'!F1161</f>
        <v>-2.7529154712241103E-2</v>
      </c>
      <c r="B1161" s="25">
        <f>'Daily Returns'!B1161</f>
        <v>5.187170398547789E-4</v>
      </c>
      <c r="C1161" s="25">
        <f>'Daily Returns'!C1161</f>
        <v>5.1510381663188833E-3</v>
      </c>
      <c r="D1161" s="25">
        <f>'Daily Returns'!D1161</f>
        <v>2.9244591125779224E-2</v>
      </c>
      <c r="E1161" s="25">
        <f>'Daily Returns'!E1161</f>
        <v>2.7804969002004399E-2</v>
      </c>
    </row>
    <row r="1162" spans="1:5" ht="15" customHeight="1" x14ac:dyDescent="0.3">
      <c r="A1162" s="26">
        <f>'Daily Returns'!F1162</f>
        <v>-2.0465952379579381E-3</v>
      </c>
      <c r="B1162" s="26">
        <f>'Daily Returns'!B1162</f>
        <v>-6.4806013998099021E-3</v>
      </c>
      <c r="C1162" s="26">
        <f>'Daily Returns'!C1162</f>
        <v>6.1583668011247418E-4</v>
      </c>
      <c r="D1162" s="26">
        <f>'Daily Returns'!D1162</f>
        <v>-2.2223211899884122E-2</v>
      </c>
      <c r="E1162" s="26">
        <f>'Daily Returns'!E1162</f>
        <v>-4.1951064649992575E-3</v>
      </c>
    </row>
    <row r="1163" spans="1:5" ht="15" customHeight="1" x14ac:dyDescent="0.3">
      <c r="A1163" s="25">
        <f>'Daily Returns'!F1163</f>
        <v>-9.4335116492605744E-3</v>
      </c>
      <c r="B1163" s="25">
        <f>'Daily Returns'!B1163</f>
        <v>-9.9147677857018661E-3</v>
      </c>
      <c r="C1163" s="25">
        <f>'Daily Returns'!C1163</f>
        <v>7.2052507330539767E-3</v>
      </c>
      <c r="D1163" s="25">
        <f>'Daily Returns'!D1163</f>
        <v>-3.6893646094283863E-3</v>
      </c>
      <c r="E1163" s="25">
        <f>'Daily Returns'!E1163</f>
        <v>-4.6773238602723421E-2</v>
      </c>
    </row>
    <row r="1164" spans="1:5" ht="15" customHeight="1" x14ac:dyDescent="0.3">
      <c r="A1164" s="26">
        <f>'Daily Returns'!F1164</f>
        <v>5.5235521365412498E-3</v>
      </c>
      <c r="B1164" s="26">
        <f>'Daily Returns'!B1164</f>
        <v>5.0948699929725776E-3</v>
      </c>
      <c r="C1164" s="26">
        <f>'Daily Returns'!C1164</f>
        <v>2.4005726456937304E-4</v>
      </c>
      <c r="D1164" s="26">
        <f>'Daily Returns'!D1164</f>
        <v>2.7475541739050886E-2</v>
      </c>
      <c r="E1164" s="26">
        <f>'Daily Returns'!E1164</f>
        <v>-1.1347348303870042E-2</v>
      </c>
    </row>
    <row r="1165" spans="1:5" ht="15" customHeight="1" x14ac:dyDescent="0.3">
      <c r="A1165" s="25">
        <f>'Daily Returns'!F1165</f>
        <v>-3.5310625774949613E-3</v>
      </c>
      <c r="B1165" s="25">
        <f>'Daily Returns'!B1165</f>
        <v>-6.6421954203810972E-3</v>
      </c>
      <c r="C1165" s="25">
        <f>'Daily Returns'!C1165</f>
        <v>9.0239868742008379E-3</v>
      </c>
      <c r="D1165" s="25">
        <f>'Daily Returns'!D1165</f>
        <v>8.2758620689655782E-3</v>
      </c>
      <c r="E1165" s="25">
        <f>'Daily Returns'!E1165</f>
        <v>-5.0018122508156335E-3</v>
      </c>
    </row>
    <row r="1166" spans="1:5" ht="15" customHeight="1" x14ac:dyDescent="0.3">
      <c r="A1166" s="26">
        <f>'Daily Returns'!F1166</f>
        <v>4.3301409595743927E-3</v>
      </c>
      <c r="B1166" s="26">
        <f>'Daily Returns'!B1166</f>
        <v>-1.4077071969030392E-2</v>
      </c>
      <c r="C1166" s="26">
        <f>'Daily Returns'!C1166</f>
        <v>1.8011979155404714E-2</v>
      </c>
      <c r="D1166" s="26">
        <f>'Daily Returns'!D1166</f>
        <v>6.6634305635231931E-3</v>
      </c>
      <c r="E1166" s="26">
        <f>'Daily Returns'!E1166</f>
        <v>2.6373306134343615E-2</v>
      </c>
    </row>
    <row r="1167" spans="1:5" ht="15" customHeight="1" x14ac:dyDescent="0.3">
      <c r="A1167" s="25">
        <f>'Daily Returns'!F1167</f>
        <v>7.7298925954346707E-3</v>
      </c>
      <c r="B1167" s="25">
        <f>'Daily Returns'!B1167</f>
        <v>-1.7847581652686315E-3</v>
      </c>
      <c r="C1167" s="25">
        <f>'Daily Returns'!C1167</f>
        <v>7.3916737468130063E-4</v>
      </c>
      <c r="D1167" s="25">
        <f>'Daily Returns'!D1167</f>
        <v>2.0603191302823024E-3</v>
      </c>
      <c r="E1167" s="25">
        <f>'Daily Returns'!E1167</f>
        <v>8.6361915578270724E-3</v>
      </c>
    </row>
    <row r="1168" spans="1:5" ht="15" customHeight="1" x14ac:dyDescent="0.3">
      <c r="A1168" s="26">
        <f>'Daily Returns'!F1168</f>
        <v>-4.0629872499474548E-3</v>
      </c>
      <c r="B1168" s="26">
        <f>'Daily Returns'!B1168</f>
        <v>-3.3077060611479041E-3</v>
      </c>
      <c r="C1168" s="26">
        <f>'Daily Returns'!C1168</f>
        <v>-4.4869128172038125E-3</v>
      </c>
      <c r="D1168" s="26">
        <f>'Daily Returns'!D1168</f>
        <v>-2.1173279671026744E-2</v>
      </c>
      <c r="E1168" s="26">
        <f>'Daily Returns'!E1168</f>
        <v>-2.3458209200309648E-3</v>
      </c>
    </row>
    <row r="1169" spans="1:5" ht="15" customHeight="1" x14ac:dyDescent="0.3">
      <c r="A1169" s="25">
        <f>'Daily Returns'!F1169</f>
        <v>-1.83992241925094E-2</v>
      </c>
      <c r="B1169" s="25">
        <f>'Daily Returns'!B1169</f>
        <v>-1.4530451161539065E-2</v>
      </c>
      <c r="C1169" s="25">
        <f>'Daily Returns'!C1169</f>
        <v>-4.5638482498070586E-2</v>
      </c>
      <c r="D1169" s="25">
        <f>'Daily Returns'!D1169</f>
        <v>-1.7877094972067293E-3</v>
      </c>
      <c r="E1169" s="25">
        <f>'Daily Returns'!E1169</f>
        <v>6.207528980225226E-3</v>
      </c>
    </row>
    <row r="1170" spans="1:5" ht="15" customHeight="1" x14ac:dyDescent="0.3">
      <c r="A1170" s="26">
        <f>'Daily Returns'!F1170</f>
        <v>-4.3480975602692724E-3</v>
      </c>
      <c r="B1170" s="26">
        <f>'Daily Returns'!B1170</f>
        <v>1.1741148630199254E-2</v>
      </c>
      <c r="C1170" s="26">
        <f>'Daily Returns'!C1170</f>
        <v>1.5977552789369843E-2</v>
      </c>
      <c r="D1170" s="26">
        <f>'Daily Returns'!D1170</f>
        <v>2.0685023505708552E-2</v>
      </c>
      <c r="E1170" s="26">
        <f>'Daily Returns'!E1170</f>
        <v>4.250695207160049E-2</v>
      </c>
    </row>
    <row r="1171" spans="1:5" ht="15" customHeight="1" x14ac:dyDescent="0.3">
      <c r="A1171" s="25">
        <f>'Daily Returns'!F1171</f>
        <v>7.4140488386549288E-3</v>
      </c>
      <c r="B1171" s="25">
        <f>'Daily Returns'!B1171</f>
        <v>1.2054695933789163E-2</v>
      </c>
      <c r="C1171" s="25">
        <f>'Daily Returns'!C1171</f>
        <v>-1.3043669466555392E-2</v>
      </c>
      <c r="D1171" s="25">
        <f>'Daily Returns'!D1171</f>
        <v>1.7546168355485621E-3</v>
      </c>
      <c r="E1171" s="25">
        <f>'Daily Returns'!E1171</f>
        <v>2.0487761140500282E-2</v>
      </c>
    </row>
    <row r="1172" spans="1:5" ht="15" customHeight="1" x14ac:dyDescent="0.3">
      <c r="A1172" s="26">
        <f>'Daily Returns'!F1172</f>
        <v>6.8080313343111213E-3</v>
      </c>
      <c r="B1172" s="26">
        <f>'Daily Returns'!B1172</f>
        <v>8.8888888888883841E-4</v>
      </c>
      <c r="C1172" s="26">
        <f>'Daily Returns'!C1172</f>
        <v>-1.5439525184472088E-2</v>
      </c>
      <c r="D1172" s="26">
        <f>'Daily Returns'!D1172</f>
        <v>1.1779130358628532E-2</v>
      </c>
      <c r="E1172" s="26">
        <f>'Daily Returns'!E1172</f>
        <v>-1.3530729692922655E-2</v>
      </c>
    </row>
    <row r="1173" spans="1:5" ht="15" customHeight="1" x14ac:dyDescent="0.3">
      <c r="A1173" s="25">
        <f>'Daily Returns'!F1173</f>
        <v>-1.7636968771163454E-3</v>
      </c>
      <c r="B1173" s="25">
        <f>'Daily Returns'!B1173</f>
        <v>2.1314387211368484E-3</v>
      </c>
      <c r="C1173" s="25">
        <f>'Daily Returns'!C1173</f>
        <v>1.5898877167257117E-2</v>
      </c>
      <c r="D1173" s="25">
        <f>'Daily Returns'!D1173</f>
        <v>-5.3232926512593688E-3</v>
      </c>
      <c r="E1173" s="25">
        <f>'Daily Returns'!E1173</f>
        <v>1.3404586951681098E-2</v>
      </c>
    </row>
    <row r="1174" spans="1:5" ht="15" customHeight="1" x14ac:dyDescent="0.3">
      <c r="A1174" s="26">
        <f>'Daily Returns'!F1174</f>
        <v>7.9146400194253005E-3</v>
      </c>
      <c r="B1174" s="26">
        <f>'Daily Returns'!B1174</f>
        <v>7.6214108472172932E-3</v>
      </c>
      <c r="C1174" s="26">
        <f>'Daily Returns'!C1174</f>
        <v>1.679496774653421E-2</v>
      </c>
      <c r="D1174" s="26">
        <f>'Daily Returns'!D1174</f>
        <v>-1.3314188748205204E-2</v>
      </c>
      <c r="E1174" s="26">
        <f>'Daily Returns'!E1174</f>
        <v>2.1862365969414634E-2</v>
      </c>
    </row>
    <row r="1175" spans="1:5" ht="15" customHeight="1" x14ac:dyDescent="0.3">
      <c r="A1175" s="25">
        <f>'Daily Returns'!F1175</f>
        <v>-7.4855599051864598E-4</v>
      </c>
      <c r="B1175" s="25">
        <f>'Daily Returns'!B1175</f>
        <v>-8.7950747581399437E-5</v>
      </c>
      <c r="C1175" s="25">
        <f>'Daily Returns'!C1175</f>
        <v>1.2587516758528237E-2</v>
      </c>
      <c r="D1175" s="25">
        <f>'Daily Returns'!D1175</f>
        <v>-6.3941438461878426E-3</v>
      </c>
      <c r="E1175" s="25">
        <f>'Daily Returns'!E1175</f>
        <v>4.4487926548691589E-2</v>
      </c>
    </row>
    <row r="1176" spans="1:5" ht="15" customHeight="1" x14ac:dyDescent="0.3">
      <c r="A1176" s="26">
        <f>'Daily Returns'!F1176</f>
        <v>-1.4309422204158982E-2</v>
      </c>
      <c r="B1176" s="26">
        <f>'Daily Returns'!B1176</f>
        <v>1.2666021637786944E-2</v>
      </c>
      <c r="C1176" s="26">
        <f>'Daily Returns'!C1176</f>
        <v>1.7406918633580692E-2</v>
      </c>
      <c r="D1176" s="26">
        <f>'Daily Returns'!D1176</f>
        <v>-1.6199183383632194E-2</v>
      </c>
      <c r="E1176" s="26">
        <f>'Daily Returns'!E1176</f>
        <v>5.9082674571805105E-3</v>
      </c>
    </row>
    <row r="1177" spans="1:5" ht="15" customHeight="1" x14ac:dyDescent="0.3">
      <c r="A1177" s="25">
        <f>'Daily Returns'!F1177</f>
        <v>2.3202128881225042E-3</v>
      </c>
      <c r="B1177" s="25">
        <f>'Daily Returns'!B1177</f>
        <v>2.3278033527317006E-2</v>
      </c>
      <c r="C1177" s="25">
        <f>'Daily Returns'!C1177</f>
        <v>-1.870391004431441E-2</v>
      </c>
      <c r="D1177" s="25">
        <f>'Daily Returns'!D1177</f>
        <v>-2.1067352370640988E-2</v>
      </c>
      <c r="E1177" s="25">
        <f>'Daily Returns'!E1177</f>
        <v>-5.6279802713709763E-3</v>
      </c>
    </row>
    <row r="1178" spans="1:5" ht="15" customHeight="1" x14ac:dyDescent="0.3">
      <c r="A1178" s="26">
        <f>'Daily Returns'!F1178</f>
        <v>9.8249975868268582E-3</v>
      </c>
      <c r="B1178" s="26">
        <f>'Daily Returns'!B1178</f>
        <v>1.4430014430014575E-3</v>
      </c>
      <c r="C1178" s="26">
        <f>'Daily Returns'!C1178</f>
        <v>-3.4454364219468981E-3</v>
      </c>
      <c r="D1178" s="26">
        <f>'Daily Returns'!D1178</f>
        <v>9.216589861755867E-5</v>
      </c>
      <c r="E1178" s="26">
        <f>'Daily Returns'!E1178</f>
        <v>7.2240059273894599E-3</v>
      </c>
    </row>
    <row r="1179" spans="1:5" ht="15" customHeight="1" x14ac:dyDescent="0.3">
      <c r="A1179" s="25">
        <f>'Daily Returns'!F1179</f>
        <v>1.5214983160471374E-2</v>
      </c>
      <c r="B1179" s="25">
        <f>'Daily Returns'!B1179</f>
        <v>6.3570096626546866E-3</v>
      </c>
      <c r="C1179" s="25">
        <f>'Daily Returns'!C1179</f>
        <v>-9.1065254734826167E-3</v>
      </c>
      <c r="D1179" s="25">
        <f>'Daily Returns'!D1179</f>
        <v>-3.1794304672380321E-3</v>
      </c>
      <c r="E1179" s="25">
        <f>'Daily Returns'!E1179</f>
        <v>-8.5412452236457766E-3</v>
      </c>
    </row>
    <row r="1180" spans="1:5" ht="15" customHeight="1" x14ac:dyDescent="0.3">
      <c r="A1180" s="26">
        <f>'Daily Returns'!F1180</f>
        <v>-6.2828800757465109E-3</v>
      </c>
      <c r="B1180" s="26">
        <f>'Daily Returns'!B1180</f>
        <v>1.2465257306493638E-2</v>
      </c>
      <c r="C1180" s="26">
        <f>'Daily Returns'!C1180</f>
        <v>3.1103659847882995E-2</v>
      </c>
      <c r="D1180" s="26">
        <f>'Daily Returns'!D1180</f>
        <v>-1.4422410206628782E-2</v>
      </c>
      <c r="E1180" s="26">
        <f>'Daily Returns'!E1180</f>
        <v>3.3387605366748513E-3</v>
      </c>
    </row>
    <row r="1181" spans="1:5" ht="15" customHeight="1" x14ac:dyDescent="0.3">
      <c r="A1181" s="25">
        <f>'Daily Returns'!F1181</f>
        <v>1.7522203277039749E-3</v>
      </c>
      <c r="B1181" s="25">
        <f>'Daily Returns'!B1181</f>
        <v>-4.4089510024123363E-3</v>
      </c>
      <c r="C1181" s="25">
        <f>'Daily Returns'!C1181</f>
        <v>1.5833964705581821E-2</v>
      </c>
      <c r="D1181" s="25">
        <f>'Daily Returns'!D1181</f>
        <v>1.1350311899066589E-2</v>
      </c>
      <c r="E1181" s="25">
        <f>'Daily Returns'!E1181</f>
        <v>-1.4748474826941657E-2</v>
      </c>
    </row>
    <row r="1182" spans="1:5" ht="15" customHeight="1" x14ac:dyDescent="0.3">
      <c r="A1182" s="26">
        <f>'Daily Returns'!F1182</f>
        <v>-2.3502549479663456E-3</v>
      </c>
      <c r="B1182" s="26">
        <f>'Daily Returns'!B1182</f>
        <v>-1.5290775401069623E-2</v>
      </c>
      <c r="C1182" s="26">
        <f>'Daily Returns'!C1182</f>
        <v>-3.7082352152452082E-3</v>
      </c>
      <c r="D1182" s="26">
        <f>'Daily Returns'!D1182</f>
        <v>-1.4283726754162149E-2</v>
      </c>
      <c r="E1182" s="26">
        <f>'Daily Returns'!E1182</f>
        <v>9.1733555717710363E-4</v>
      </c>
    </row>
    <row r="1183" spans="1:5" ht="15" customHeight="1" x14ac:dyDescent="0.3">
      <c r="A1183" s="25">
        <f>'Daily Returns'!F1183</f>
        <v>-1.494637389725244E-2</v>
      </c>
      <c r="B1183" s="25">
        <f>'Daily Returns'!B1183</f>
        <v>1.2897751378871534E-2</v>
      </c>
      <c r="C1183" s="25">
        <f>'Daily Returns'!C1183</f>
        <v>1.5439095271540517E-2</v>
      </c>
      <c r="D1183" s="25">
        <f>'Daily Returns'!D1183</f>
        <v>7.1042107739355013E-3</v>
      </c>
      <c r="E1183" s="25">
        <f>'Daily Returns'!E1183</f>
        <v>-2.7057426732487559E-2</v>
      </c>
    </row>
    <row r="1184" spans="1:5" ht="15" customHeight="1" x14ac:dyDescent="0.3">
      <c r="A1184" s="26">
        <f>'Daily Returns'!F1184</f>
        <v>3.9746503881777371E-3</v>
      </c>
      <c r="B1184" s="26">
        <f>'Daily Returns'!B1184</f>
        <v>-2.1445924436625637E-2</v>
      </c>
      <c r="C1184" s="26">
        <f>'Daily Returns'!C1184</f>
        <v>7.2024983018836135E-3</v>
      </c>
      <c r="D1184" s="26">
        <f>'Daily Returns'!D1184</f>
        <v>8.2687097075586757E-3</v>
      </c>
      <c r="E1184" s="26">
        <f>'Daily Returns'!E1184</f>
        <v>1.6441875401412866E-2</v>
      </c>
    </row>
    <row r="1185" spans="1:5" ht="15" customHeight="1" x14ac:dyDescent="0.3">
      <c r="A1185" s="25">
        <f>'Daily Returns'!F1185</f>
        <v>-1.0246814557250015E-2</v>
      </c>
      <c r="B1185" s="25">
        <f>'Daily Returns'!B1185</f>
        <v>2.5083468881088884E-2</v>
      </c>
      <c r="C1185" s="25">
        <f>'Daily Returns'!C1185</f>
        <v>-1.4762545079220774E-3</v>
      </c>
      <c r="D1185" s="25">
        <f>'Daily Returns'!D1185</f>
        <v>2.6595005328267526E-2</v>
      </c>
      <c r="E1185" s="25">
        <f>'Daily Returns'!E1185</f>
        <v>1.5565103837566966E-2</v>
      </c>
    </row>
    <row r="1186" spans="1:5" ht="15" customHeight="1" x14ac:dyDescent="0.3">
      <c r="A1186" s="26">
        <f>'Daily Returns'!F1186</f>
        <v>1.140339621608354E-3</v>
      </c>
      <c r="B1186" s="26">
        <f>'Daily Returns'!B1186</f>
        <v>1.2443627860364199E-2</v>
      </c>
      <c r="C1186" s="26">
        <f>'Daily Returns'!C1186</f>
        <v>8.8294402530227894E-3</v>
      </c>
      <c r="D1186" s="26">
        <f>'Daily Returns'!D1186</f>
        <v>5.8220878277746111E-3</v>
      </c>
      <c r="E1186" s="26">
        <f>'Daily Returns'!E1186</f>
        <v>-3.0736047452143419E-2</v>
      </c>
    </row>
    <row r="1187" spans="1:5" ht="15" customHeight="1" x14ac:dyDescent="0.3">
      <c r="A1187" s="25">
        <f>'Daily Returns'!F1187</f>
        <v>-7.2119655561679518E-3</v>
      </c>
      <c r="B1187" s="25">
        <f>'Daily Returns'!B1187</f>
        <v>2.8870741565618602E-3</v>
      </c>
      <c r="C1187" s="25">
        <f>'Daily Returns'!C1187</f>
        <v>1.5597955651350396E-2</v>
      </c>
      <c r="D1187" s="25">
        <f>'Daily Returns'!D1187</f>
        <v>1.2833168805528067E-2</v>
      </c>
      <c r="E1187" s="25">
        <f>'Daily Returns'!E1187</f>
        <v>1.4614314753396777E-2</v>
      </c>
    </row>
    <row r="1188" spans="1:5" ht="15" customHeight="1" x14ac:dyDescent="0.3">
      <c r="A1188" s="26">
        <f>'Daily Returns'!F1188</f>
        <v>-6.3608935624442624E-3</v>
      </c>
      <c r="B1188" s="26">
        <f>'Daily Returns'!B1188</f>
        <v>9.8700444152002419E-4</v>
      </c>
      <c r="C1188" s="26">
        <f>'Daily Returns'!C1188</f>
        <v>-1.9092483992459474E-3</v>
      </c>
      <c r="D1188" s="26">
        <f>'Daily Returns'!D1188</f>
        <v>1.5505936558567886E-3</v>
      </c>
      <c r="E1188" s="26">
        <f>'Daily Returns'!E1188</f>
        <v>-1.0122738200683309E-2</v>
      </c>
    </row>
    <row r="1189" spans="1:5" ht="15" customHeight="1" x14ac:dyDescent="0.3">
      <c r="A1189" s="25">
        <f>'Daily Returns'!F1189</f>
        <v>-3.4302951199528982E-4</v>
      </c>
      <c r="B1189" s="25">
        <f>'Daily Returns'!B1189</f>
        <v>2.4650780608052588E-2</v>
      </c>
      <c r="C1189" s="25">
        <f>'Daily Returns'!C1189</f>
        <v>-2.1464758330178618E-2</v>
      </c>
      <c r="D1189" s="25">
        <f>'Daily Returns'!D1189</f>
        <v>-2.1763170699340858E-2</v>
      </c>
      <c r="E1189" s="25">
        <f>'Daily Returns'!E1189</f>
        <v>2.7163492266393967E-2</v>
      </c>
    </row>
    <row r="1190" spans="1:5" ht="15" customHeight="1" x14ac:dyDescent="0.3">
      <c r="A1190" s="26">
        <f>'Daily Returns'!F1190</f>
        <v>1.2728767679704989E-3</v>
      </c>
      <c r="B1190" s="26">
        <f>'Daily Returns'!B1190</f>
        <v>-1.2830793905372962E-2</v>
      </c>
      <c r="C1190" s="26">
        <f>'Daily Returns'!C1190</f>
        <v>6.8523030322982731E-3</v>
      </c>
      <c r="D1190" s="26">
        <f>'Daily Returns'!D1190</f>
        <v>1.3881980556183554E-2</v>
      </c>
      <c r="E1190" s="26">
        <f>'Daily Returns'!E1190</f>
        <v>1.9476074917553328E-2</v>
      </c>
    </row>
    <row r="1191" spans="1:5" ht="15" customHeight="1" x14ac:dyDescent="0.3">
      <c r="A1191" s="25">
        <f>'Daily Returns'!F1191</f>
        <v>5.9705428798527971E-3</v>
      </c>
      <c r="B1191" s="25">
        <f>'Daily Returns'!B1191</f>
        <v>-1.5759545085296488E-2</v>
      </c>
      <c r="C1191" s="25">
        <f>'Daily Returns'!C1191</f>
        <v>-4.0629636744885945E-3</v>
      </c>
      <c r="D1191" s="25">
        <f>'Daily Returns'!D1191</f>
        <v>2.6848630809026896E-2</v>
      </c>
      <c r="E1191" s="25">
        <f>'Daily Returns'!E1191</f>
        <v>2.1016438802083419E-2</v>
      </c>
    </row>
    <row r="1192" spans="1:5" ht="15" customHeight="1" x14ac:dyDescent="0.3">
      <c r="A1192" s="26">
        <f>'Daily Returns'!F1192</f>
        <v>-4.2751887036342655E-3</v>
      </c>
      <c r="B1192" s="26">
        <f>'Daily Returns'!B1192</f>
        <v>-7.9234070650379147E-3</v>
      </c>
      <c r="C1192" s="26">
        <f>'Daily Returns'!C1192</f>
        <v>-1.9605589870924044E-2</v>
      </c>
      <c r="D1192" s="26">
        <f>'Daily Returns'!D1192</f>
        <v>-1.563585823488593E-3</v>
      </c>
      <c r="E1192" s="26">
        <f>'Daily Returns'!E1192</f>
        <v>1.163694330975386E-2</v>
      </c>
    </row>
    <row r="1193" spans="1:5" ht="15" customHeight="1" x14ac:dyDescent="0.3">
      <c r="A1193" s="25">
        <f>'Daily Returns'!F1193</f>
        <v>-2.8431647257418898E-3</v>
      </c>
      <c r="B1193" s="25">
        <f>'Daily Returns'!B1193</f>
        <v>-3.327787021630663E-3</v>
      </c>
      <c r="C1193" s="25">
        <f>'Daily Returns'!C1193</f>
        <v>-1.2956404524485415E-2</v>
      </c>
      <c r="D1193" s="25">
        <f>'Daily Returns'!D1193</f>
        <v>3.3365234035148843E-2</v>
      </c>
      <c r="E1193" s="25">
        <f>'Daily Returns'!E1193</f>
        <v>-1.9224329807559712E-2</v>
      </c>
    </row>
    <row r="1194" spans="1:5" ht="15" customHeight="1" x14ac:dyDescent="0.3">
      <c r="A1194" s="26">
        <f>'Daily Returns'!F1194</f>
        <v>4.508171734549273E-3</v>
      </c>
      <c r="B1194" s="26">
        <f>'Daily Returns'!B1194</f>
        <v>-1.3689482470784647E-2</v>
      </c>
      <c r="C1194" s="26">
        <f>'Daily Returns'!C1194</f>
        <v>-3.8043455210934633E-3</v>
      </c>
      <c r="D1194" s="26">
        <f>'Daily Returns'!D1194</f>
        <v>1.4944222268995928E-2</v>
      </c>
      <c r="E1194" s="26">
        <f>'Daily Returns'!E1194</f>
        <v>-3.8780551483140205E-2</v>
      </c>
    </row>
    <row r="1195" spans="1:5" ht="15" customHeight="1" x14ac:dyDescent="0.3">
      <c r="A1195" s="25">
        <f>'Daily Returns'!F1195</f>
        <v>-4.4087632212128358E-3</v>
      </c>
      <c r="B1195" s="25">
        <f>'Daily Returns'!B1195</f>
        <v>2.4542992552471755E-3</v>
      </c>
      <c r="C1195" s="25">
        <f>'Daily Returns'!C1195</f>
        <v>1.0728608771914808E-3</v>
      </c>
      <c r="D1195" s="25">
        <f>'Daily Returns'!D1195</f>
        <v>3.1895479054334291E-2</v>
      </c>
      <c r="E1195" s="25">
        <f>'Daily Returns'!E1195</f>
        <v>3.0295432702352361E-3</v>
      </c>
    </row>
    <row r="1196" spans="1:5" ht="15" customHeight="1" x14ac:dyDescent="0.3">
      <c r="A1196" s="26">
        <f>'Daily Returns'!F1196</f>
        <v>5.9564830668818033E-4</v>
      </c>
      <c r="B1196" s="26">
        <f>'Daily Returns'!B1196</f>
        <v>2.1950189953566139E-3</v>
      </c>
      <c r="C1196" s="26">
        <f>'Daily Returns'!C1196</f>
        <v>1.0504469715656261E-2</v>
      </c>
      <c r="D1196" s="26">
        <f>'Daily Returns'!D1196</f>
        <v>-2.4518670364563899E-3</v>
      </c>
      <c r="E1196" s="26">
        <f>'Daily Returns'!E1196</f>
        <v>-2.357989459870434E-2</v>
      </c>
    </row>
    <row r="1197" spans="1:5" ht="15" customHeight="1" x14ac:dyDescent="0.3">
      <c r="A1197" s="25">
        <f>'Daily Returns'!F1197</f>
        <v>-6.1673254064672405E-3</v>
      </c>
      <c r="B1197" s="25">
        <f>'Daily Returns'!B1197</f>
        <v>-1.0951057198214112E-2</v>
      </c>
      <c r="C1197" s="25">
        <f>'Daily Returns'!C1197</f>
        <v>-3.1522507659673842E-3</v>
      </c>
      <c r="D1197" s="25">
        <f>'Daily Returns'!D1197</f>
        <v>-1.3538560722056626E-2</v>
      </c>
      <c r="E1197" s="25">
        <f>'Daily Returns'!E1197</f>
        <v>4.0746666666667203E-3</v>
      </c>
    </row>
    <row r="1198" spans="1:5" ht="15" customHeight="1" x14ac:dyDescent="0.3">
      <c r="A1198" s="26">
        <f>'Daily Returns'!F1198</f>
        <v>-2.3139046772681159E-4</v>
      </c>
      <c r="B1198" s="26">
        <f>'Daily Returns'!B1198</f>
        <v>2.2570479516225244E-2</v>
      </c>
      <c r="C1198" s="26">
        <f>'Daily Returns'!C1198</f>
        <v>8.5282805382104199E-3</v>
      </c>
      <c r="D1198" s="26">
        <f>'Daily Returns'!D1198</f>
        <v>1.3070827546768776E-3</v>
      </c>
      <c r="E1198" s="26">
        <f>'Daily Returns'!E1198</f>
        <v>-2.7663281349594268E-2</v>
      </c>
    </row>
    <row r="1199" spans="1:5" ht="15" customHeight="1" x14ac:dyDescent="0.3">
      <c r="A1199" s="25">
        <f>'Daily Returns'!F1199</f>
        <v>9.6936778437532022E-3</v>
      </c>
      <c r="B1199" s="25">
        <f>'Daily Returns'!B1199</f>
        <v>-1.8990504747626195E-2</v>
      </c>
      <c r="C1199" s="25">
        <f>'Daily Returns'!C1199</f>
        <v>-5.9904805361710098E-3</v>
      </c>
      <c r="D1199" s="25">
        <f>'Daily Returns'!D1199</f>
        <v>-1.1054907399853063E-2</v>
      </c>
      <c r="E1199" s="25">
        <f>'Daily Returns'!E1199</f>
        <v>1.525216327244126E-2</v>
      </c>
    </row>
    <row r="1200" spans="1:5" ht="15" customHeight="1" x14ac:dyDescent="0.3">
      <c r="A1200" s="26">
        <f>'Daily Returns'!F1200</f>
        <v>9.5588320909911016E-3</v>
      </c>
      <c r="B1200" s="26">
        <f>'Daily Returns'!B1200</f>
        <v>-1.7405331974868373E-2</v>
      </c>
      <c r="C1200" s="26">
        <f>'Daily Returns'!C1200</f>
        <v>1.0221185270038064E-2</v>
      </c>
      <c r="D1200" s="26">
        <f>'Daily Returns'!D1200</f>
        <v>3.5061667285401737E-3</v>
      </c>
      <c r="E1200" s="26">
        <f>'Daily Returns'!E1200</f>
        <v>1.0223408376737979E-2</v>
      </c>
    </row>
    <row r="1201" spans="1:5" ht="15" customHeight="1" x14ac:dyDescent="0.3">
      <c r="A1201" s="25">
        <f>'Daily Returns'!F1201</f>
        <v>9.621653673386155E-3</v>
      </c>
      <c r="B1201" s="25">
        <f>'Daily Returns'!B1201</f>
        <v>5.5301131945044548E-3</v>
      </c>
      <c r="C1201" s="25">
        <f>'Daily Returns'!C1201</f>
        <v>7.7040125065138167E-3</v>
      </c>
      <c r="D1201" s="25">
        <f>'Daily Returns'!D1201</f>
        <v>-3.4117066754357633E-3</v>
      </c>
      <c r="E1201" s="25">
        <f>'Daily Returns'!E1201</f>
        <v>-2.3712636086669354E-2</v>
      </c>
    </row>
    <row r="1202" spans="1:5" ht="15" customHeight="1" x14ac:dyDescent="0.3">
      <c r="A1202" s="26">
        <f>'Daily Returns'!F1202</f>
        <v>1.41065623581151E-2</v>
      </c>
      <c r="B1202" s="26">
        <f>'Daily Returns'!B1202</f>
        <v>-2.4920512159491816E-3</v>
      </c>
      <c r="C1202" s="26">
        <f>'Daily Returns'!C1202</f>
        <v>1.0636141368425858E-2</v>
      </c>
      <c r="D1202" s="26">
        <f>'Daily Returns'!D1202</f>
        <v>3.0109300886781531E-3</v>
      </c>
      <c r="E1202" s="26">
        <f>'Daily Returns'!E1202</f>
        <v>-1.7741794692737421E-2</v>
      </c>
    </row>
    <row r="1203" spans="1:5" ht="15" customHeight="1" x14ac:dyDescent="0.3">
      <c r="A1203" s="25">
        <f>'Daily Returns'!F1203</f>
        <v>2.0590070514696799E-3</v>
      </c>
      <c r="B1203" s="25">
        <f>'Daily Returns'!B1203</f>
        <v>6.1164713990352164E-3</v>
      </c>
      <c r="C1203" s="25">
        <f>'Daily Returns'!C1203</f>
        <v>2.5944149262773587E-2</v>
      </c>
      <c r="D1203" s="25">
        <f>'Daily Returns'!D1203</f>
        <v>-1.0280450694958466E-3</v>
      </c>
      <c r="E1203" s="25">
        <f>'Daily Returns'!E1203</f>
        <v>8.4868143342738296E-3</v>
      </c>
    </row>
    <row r="1204" spans="1:5" ht="15" customHeight="1" x14ac:dyDescent="0.3">
      <c r="A1204" s="26">
        <f>'Daily Returns'!F1204</f>
        <v>1.16034683000837E-2</v>
      </c>
      <c r="B1204" s="26">
        <f>'Daily Returns'!B1204</f>
        <v>-8.305505608356991E-3</v>
      </c>
      <c r="C1204" s="26">
        <f>'Daily Returns'!C1204</f>
        <v>-4.3928947620416455E-3</v>
      </c>
      <c r="D1204" s="26">
        <f>'Daily Returns'!D1204</f>
        <v>-1.4942576050714178E-2</v>
      </c>
      <c r="E1204" s="26">
        <f>'Daily Returns'!E1204</f>
        <v>1.7205295970744394E-2</v>
      </c>
    </row>
    <row r="1205" spans="1:5" ht="15" customHeight="1" x14ac:dyDescent="0.3">
      <c r="A1205" s="25">
        <f>'Daily Returns'!F1205</f>
        <v>-3.2971709305966374E-3</v>
      </c>
      <c r="B1205" s="25">
        <f>'Daily Returns'!B1205</f>
        <v>-1.398722155068201E-2</v>
      </c>
      <c r="C1205" s="25">
        <f>'Daily Returns'!C1205</f>
        <v>-2.7507604265602219E-2</v>
      </c>
      <c r="D1205" s="25">
        <f>'Daily Returns'!D1205</f>
        <v>-7.9398244880902868E-3</v>
      </c>
      <c r="E1205" s="25">
        <f>'Daily Returns'!E1205</f>
        <v>4.8079005500930617E-3</v>
      </c>
    </row>
    <row r="1206" spans="1:5" ht="15" customHeight="1" x14ac:dyDescent="0.3">
      <c r="A1206" s="26">
        <f>'Daily Returns'!F1206</f>
        <v>1.1778306291054412E-2</v>
      </c>
      <c r="B1206" s="26">
        <f>'Daily Returns'!B1206</f>
        <v>-8.6690017513135643E-3</v>
      </c>
      <c r="C1206" s="26">
        <f>'Daily Returns'!C1206</f>
        <v>-7.7884508400395301E-4</v>
      </c>
      <c r="D1206" s="26">
        <f>'Daily Returns'!D1206</f>
        <v>2.0387531592249382E-2</v>
      </c>
      <c r="E1206" s="26">
        <f>'Daily Returns'!E1206</f>
        <v>-1.2630399172342351E-2</v>
      </c>
    </row>
    <row r="1207" spans="1:5" ht="15" customHeight="1" x14ac:dyDescent="0.3">
      <c r="A1207" s="25">
        <f>'Daily Returns'!F1207</f>
        <v>8.91957752303639E-3</v>
      </c>
      <c r="B1207" s="25">
        <f>'Daily Returns'!B1207</f>
        <v>-9.098136207048732E-3</v>
      </c>
      <c r="C1207" s="25">
        <f>'Daily Returns'!C1207</f>
        <v>1.4871452255462327E-2</v>
      </c>
      <c r="D1207" s="25">
        <f>'Daily Returns'!D1207</f>
        <v>-6.1922060766184638E-4</v>
      </c>
      <c r="E1207" s="25">
        <f>'Daily Returns'!E1207</f>
        <v>3.5363457760314437E-3</v>
      </c>
    </row>
    <row r="1208" spans="1:5" ht="15" customHeight="1" x14ac:dyDescent="0.3">
      <c r="A1208" s="26">
        <f>'Daily Returns'!F1208</f>
        <v>1.9220609005624858E-2</v>
      </c>
      <c r="B1208" s="26">
        <f>'Daily Returns'!B1208</f>
        <v>7.577108218933805E-3</v>
      </c>
      <c r="C1208" s="26">
        <f>'Daily Returns'!C1208</f>
        <v>1.0362315306967243E-3</v>
      </c>
      <c r="D1208" s="26">
        <f>'Daily Returns'!D1208</f>
        <v>-2.0694782931967411E-2</v>
      </c>
      <c r="E1208" s="26">
        <f>'Daily Returns'!E1208</f>
        <v>-3.8066649264769858E-3</v>
      </c>
    </row>
    <row r="1209" spans="1:5" ht="15" customHeight="1" x14ac:dyDescent="0.3">
      <c r="A1209" s="25">
        <f>'Daily Returns'!F1209</f>
        <v>9.8080251069305215E-3</v>
      </c>
      <c r="B1209" s="25">
        <f>'Daily Returns'!B1209</f>
        <v>-6.3699902680704138E-3</v>
      </c>
      <c r="C1209" s="25">
        <f>'Daily Returns'!C1209</f>
        <v>6.2068937521058236E-3</v>
      </c>
      <c r="D1209" s="25">
        <f>'Daily Returns'!D1209</f>
        <v>-3.1381812046566669E-2</v>
      </c>
      <c r="E1209" s="25">
        <f>'Daily Returns'!E1209</f>
        <v>-9.629451710810805E-3</v>
      </c>
    </row>
    <row r="1210" spans="1:5" ht="15" customHeight="1" x14ac:dyDescent="0.3">
      <c r="A1210" s="26">
        <f>'Daily Returns'!F1210</f>
        <v>8.0460406313815624E-3</v>
      </c>
      <c r="B1210" s="26">
        <f>'Daily Returns'!B1210</f>
        <v>1.0862790490606348E-2</v>
      </c>
      <c r="C1210" s="26">
        <f>'Daily Returns'!C1210</f>
        <v>-2.9790049542498302E-2</v>
      </c>
      <c r="D1210" s="26">
        <f>'Daily Returns'!D1210</f>
        <v>-4.6594669918132436E-3</v>
      </c>
      <c r="E1210" s="26">
        <f>'Daily Returns'!E1210</f>
        <v>-2.6148690360702033E-2</v>
      </c>
    </row>
    <row r="1211" spans="1:5" ht="15" customHeight="1" x14ac:dyDescent="0.3">
      <c r="A1211" s="25">
        <f>'Daily Returns'!F1211</f>
        <v>3.9444649716896818E-3</v>
      </c>
      <c r="B1211" s="25">
        <f>'Daily Returns'!B1211</f>
        <v>8.4559147361930216E-3</v>
      </c>
      <c r="C1211" s="25">
        <f>'Daily Returns'!C1211</f>
        <v>-1.4117363317310203E-2</v>
      </c>
      <c r="D1211" s="25">
        <f>'Daily Returns'!D1211</f>
        <v>4.7687798048737951E-3</v>
      </c>
      <c r="E1211" s="25">
        <f>'Daily Returns'!E1211</f>
        <v>1.2678288431061859E-3</v>
      </c>
    </row>
    <row r="1212" spans="1:5" ht="15" customHeight="1" x14ac:dyDescent="0.3">
      <c r="A1212" s="26">
        <f>'Daily Returns'!F1212</f>
        <v>-5.3462246939985237E-3</v>
      </c>
      <c r="B1212" s="26">
        <f>'Daily Returns'!B1212</f>
        <v>1.4761114507817381E-2</v>
      </c>
      <c r="C1212" s="26">
        <f>'Daily Returns'!C1212</f>
        <v>1.0097473944383779E-2</v>
      </c>
      <c r="D1212" s="26">
        <f>'Daily Returns'!D1212</f>
        <v>-1.8200818601410811E-2</v>
      </c>
      <c r="E1212" s="26">
        <f>'Daily Returns'!E1212</f>
        <v>-1.4991181657848315E-2</v>
      </c>
    </row>
    <row r="1213" spans="1:5" ht="15" customHeight="1" x14ac:dyDescent="0.3">
      <c r="A1213" s="25">
        <f>'Daily Returns'!F1213</f>
        <v>-6.9811231438950457E-3</v>
      </c>
      <c r="B1213" s="25">
        <f>'Daily Returns'!B1213</f>
        <v>1.2824926837665646E-2</v>
      </c>
      <c r="C1213" s="25">
        <f>'Daily Returns'!C1213</f>
        <v>1.4314168437843271E-2</v>
      </c>
      <c r="D1213" s="25">
        <f>'Daily Returns'!D1213</f>
        <v>-2.776299450062086E-2</v>
      </c>
      <c r="E1213" s="25">
        <f>'Daily Returns'!E1213</f>
        <v>-1.9511971168193715E-3</v>
      </c>
    </row>
    <row r="1214" spans="1:5" ht="15" customHeight="1" x14ac:dyDescent="0.3">
      <c r="A1214" s="26">
        <f>'Daily Returns'!F1214</f>
        <v>9.9740936687174424E-3</v>
      </c>
      <c r="B1214" s="26">
        <f>'Daily Returns'!B1214</f>
        <v>1.1217812526557264E-2</v>
      </c>
      <c r="C1214" s="26">
        <f>'Daily Returns'!C1214</f>
        <v>-1.2642490459468709E-2</v>
      </c>
      <c r="D1214" s="26">
        <f>'Daily Returns'!D1214</f>
        <v>9.2601040051090277E-3</v>
      </c>
      <c r="E1214" s="26">
        <f>'Daily Returns'!E1214</f>
        <v>-3.7582225493352904E-2</v>
      </c>
    </row>
    <row r="1215" spans="1:5" ht="15" customHeight="1" x14ac:dyDescent="0.3">
      <c r="A1215" s="25">
        <f>'Daily Returns'!F1215</f>
        <v>-1.4172179615681624E-2</v>
      </c>
      <c r="B1215" s="25">
        <f>'Daily Returns'!B1215</f>
        <v>1.0925287839314323E-2</v>
      </c>
      <c r="C1215" s="25">
        <f>'Daily Returns'!C1215</f>
        <v>7.0672114743161344E-3</v>
      </c>
      <c r="D1215" s="25">
        <f>'Daily Returns'!D1215</f>
        <v>5.06666666666667E-2</v>
      </c>
      <c r="E1215" s="25">
        <f>'Daily Returns'!E1215</f>
        <v>1.627473472899341E-2</v>
      </c>
    </row>
    <row r="1216" spans="1:5" ht="15" customHeight="1" x14ac:dyDescent="0.3">
      <c r="A1216" s="26">
        <f>'Daily Returns'!F1216</f>
        <v>1.8092623477445901E-2</v>
      </c>
      <c r="B1216" s="26">
        <f>'Daily Returns'!B1216</f>
        <v>-6.8168592567961371E-3</v>
      </c>
      <c r="C1216" s="26">
        <f>'Daily Returns'!C1216</f>
        <v>-1.194443869418507E-2</v>
      </c>
      <c r="D1216" s="26">
        <f>'Daily Returns'!D1216</f>
        <v>1.415297255441793E-2</v>
      </c>
      <c r="E1216" s="26">
        <f>'Daily Returns'!E1216</f>
        <v>-1.0135214579659029E-2</v>
      </c>
    </row>
    <row r="1217" spans="1:5" ht="15" customHeight="1" x14ac:dyDescent="0.3">
      <c r="A1217" s="25">
        <f>'Daily Returns'!F1217</f>
        <v>2.6963554638471283E-3</v>
      </c>
      <c r="B1217" s="25">
        <f>'Daily Returns'!B1217</f>
        <v>-3.3481208671633524E-3</v>
      </c>
      <c r="C1217" s="25">
        <f>'Daily Returns'!C1217</f>
        <v>-1.9731824848103978E-2</v>
      </c>
      <c r="D1217" s="25">
        <f>'Daily Returns'!D1217</f>
        <v>-1.5312831389183514E-2</v>
      </c>
      <c r="E1217" s="25">
        <f>'Daily Returns'!E1217</f>
        <v>1.9717774504679625E-3</v>
      </c>
    </row>
    <row r="1218" spans="1:5" ht="15" customHeight="1" x14ac:dyDescent="0.3">
      <c r="A1218" s="26">
        <f>'Daily Returns'!F1218</f>
        <v>7.3267350254962744E-3</v>
      </c>
      <c r="B1218" s="26">
        <f>'Daily Returns'!B1218</f>
        <v>-2.5027294868564625E-2</v>
      </c>
      <c r="C1218" s="26">
        <f>'Daily Returns'!C1218</f>
        <v>1.8466194467836609E-3</v>
      </c>
      <c r="D1218" s="26">
        <f>'Daily Returns'!D1218</f>
        <v>-1.4646334108726416E-3</v>
      </c>
      <c r="E1218" s="26">
        <f>'Daily Returns'!E1218</f>
        <v>2.8830879389240643E-2</v>
      </c>
    </row>
    <row r="1219" spans="1:5" ht="15" customHeight="1" x14ac:dyDescent="0.3">
      <c r="A1219" s="25">
        <f>'Daily Returns'!F1219</f>
        <v>1.1354819820918745E-2</v>
      </c>
      <c r="B1219" s="25">
        <f>'Daily Returns'!B1219</f>
        <v>4.3931432509259271E-3</v>
      </c>
      <c r="C1219" s="25">
        <f>'Daily Returns'!C1219</f>
        <v>4.4245710896732519E-3</v>
      </c>
      <c r="D1219" s="25">
        <f>'Daily Returns'!D1219</f>
        <v>-1.4667817083692984E-3</v>
      </c>
      <c r="E1219" s="25">
        <f>'Daily Returns'!E1219</f>
        <v>2.9843523148894956E-2</v>
      </c>
    </row>
    <row r="1220" spans="1:5" ht="15" customHeight="1" x14ac:dyDescent="0.3">
      <c r="A1220" s="26">
        <f>'Daily Returns'!F1220</f>
        <v>3.1996539002165435E-3</v>
      </c>
      <c r="B1220" s="26">
        <f>'Daily Returns'!B1220</f>
        <v>-9.0051457975986043E-3</v>
      </c>
      <c r="C1220" s="26">
        <f>'Daily Returns'!C1220</f>
        <v>7.586763518966963E-3</v>
      </c>
      <c r="D1220" s="26">
        <f>'Daily Returns'!D1220</f>
        <v>-1.961462023675806E-2</v>
      </c>
      <c r="E1220" s="26">
        <f>'Daily Returns'!E1220</f>
        <v>1.2978875760830674E-2</v>
      </c>
    </row>
    <row r="1221" spans="1:5" ht="15" customHeight="1" x14ac:dyDescent="0.3">
      <c r="A1221" s="25">
        <f>'Daily Returns'!F1221</f>
        <v>-5.7352364753029375E-4</v>
      </c>
      <c r="B1221" s="25">
        <f>'Daily Returns'!B1221</f>
        <v>5.8848983124189253E-3</v>
      </c>
      <c r="C1221" s="25">
        <f>'Daily Returns'!C1221</f>
        <v>1.3469873016408293E-2</v>
      </c>
      <c r="D1221" s="25">
        <f>'Daily Returns'!D1221</f>
        <v>-2.1725718314824515E-2</v>
      </c>
      <c r="E1221" s="25">
        <f>'Daily Returns'!E1221</f>
        <v>-1.8821242378722236E-2</v>
      </c>
    </row>
    <row r="1222" spans="1:5" ht="15" customHeight="1" x14ac:dyDescent="0.3">
      <c r="A1222" s="26">
        <f>'Daily Returns'!F1222</f>
        <v>-2.4010986212695956E-2</v>
      </c>
      <c r="B1222" s="26">
        <f>'Daily Returns'!B1222</f>
        <v>7.5711950443086585E-3</v>
      </c>
      <c r="C1222" s="26">
        <f>'Daily Returns'!C1222</f>
        <v>3.0179998419242061E-2</v>
      </c>
      <c r="D1222" s="26">
        <f>'Daily Returns'!D1222</f>
        <v>-1.8469300418937635E-3</v>
      </c>
      <c r="E1222" s="26">
        <f>'Daily Returns'!E1222</f>
        <v>-1.1932636887608734E-3</v>
      </c>
    </row>
    <row r="1223" spans="1:5" ht="15" customHeight="1" x14ac:dyDescent="0.3">
      <c r="A1223" s="25">
        <f>'Daily Returns'!F1223</f>
        <v>4.3919055647855133E-3</v>
      </c>
      <c r="B1223" s="25">
        <f>'Daily Returns'!B1223</f>
        <v>-1.8358807958329823E-2</v>
      </c>
      <c r="C1223" s="25">
        <f>'Daily Returns'!C1223</f>
        <v>1.7327152467635193E-2</v>
      </c>
      <c r="D1223" s="25">
        <f>'Daily Returns'!D1223</f>
        <v>1.286217167614403E-2</v>
      </c>
      <c r="E1223" s="25">
        <f>'Daily Returns'!E1223</f>
        <v>6.1537767959786716E-3</v>
      </c>
    </row>
    <row r="1224" spans="1:5" ht="15" customHeight="1" x14ac:dyDescent="0.3">
      <c r="A1224" s="26">
        <f>'Daily Returns'!F1224</f>
        <v>6.7427304202582212E-3</v>
      </c>
      <c r="B1224" s="26">
        <f>'Daily Returns'!B1224</f>
        <v>-1.3743910925539305E-2</v>
      </c>
      <c r="C1224" s="26">
        <f>'Daily Returns'!C1224</f>
        <v>-5.7673148445840615E-3</v>
      </c>
      <c r="D1224" s="26">
        <f>'Daily Returns'!D1224</f>
        <v>4.3666176536113254E-3</v>
      </c>
      <c r="E1224" s="26">
        <f>'Daily Returns'!E1224</f>
        <v>5.5784568509723298E-3</v>
      </c>
    </row>
    <row r="1225" spans="1:5" ht="15" customHeight="1" x14ac:dyDescent="0.3">
      <c r="A1225" s="25">
        <f>'Daily Returns'!F1225</f>
        <v>-1.6276122353530108E-2</v>
      </c>
      <c r="B1225" s="25">
        <f>'Daily Returns'!B1225</f>
        <v>-4.5863467983771038E-3</v>
      </c>
      <c r="C1225" s="25">
        <f>'Daily Returns'!C1225</f>
        <v>1.7166765142683765E-2</v>
      </c>
      <c r="D1225" s="25">
        <f>'Daily Returns'!D1225</f>
        <v>-1.0381083359212118E-2</v>
      </c>
      <c r="E1225" s="25">
        <f>'Daily Returns'!E1225</f>
        <v>3.1190820986966186E-3</v>
      </c>
    </row>
    <row r="1226" spans="1:5" ht="15" customHeight="1" x14ac:dyDescent="0.3">
      <c r="A1226" s="26">
        <f>'Daily Returns'!F1226</f>
        <v>2.533342806347432E-3</v>
      </c>
      <c r="B1226" s="26">
        <f>'Daily Returns'!B1226</f>
        <v>-6.8226120857699454E-3</v>
      </c>
      <c r="C1226" s="26">
        <f>'Daily Returns'!C1226</f>
        <v>-2.5288087164029253E-2</v>
      </c>
      <c r="D1226" s="26">
        <f>'Daily Returns'!D1226</f>
        <v>8.4278477607925562E-3</v>
      </c>
      <c r="E1226" s="26">
        <f>'Daily Returns'!E1226</f>
        <v>1.5991116046640729E-2</v>
      </c>
    </row>
    <row r="1227" spans="1:5" ht="15" customHeight="1" x14ac:dyDescent="0.3">
      <c r="A1227" s="25">
        <f>'Daily Returns'!F1227</f>
        <v>-8.1786699463760177E-4</v>
      </c>
      <c r="B1227" s="25">
        <f>'Daily Returns'!B1227</f>
        <v>2.6764207333392553E-3</v>
      </c>
      <c r="C1227" s="25">
        <f>'Daily Returns'!C1227</f>
        <v>2.3717388590689123E-3</v>
      </c>
      <c r="D1227" s="25">
        <f>'Daily Returns'!D1227</f>
        <v>8.6241386974883205E-3</v>
      </c>
      <c r="E1227" s="25">
        <f>'Daily Returns'!E1227</f>
        <v>1.2919444748059953E-2</v>
      </c>
    </row>
    <row r="1228" spans="1:5" ht="15" customHeight="1" x14ac:dyDescent="0.3">
      <c r="A1228" s="26">
        <f>'Daily Returns'!F1228</f>
        <v>1.2154544629823634E-2</v>
      </c>
      <c r="B1228" s="26">
        <f>'Daily Returns'!B1228</f>
        <v>-1.5748732093602599E-2</v>
      </c>
      <c r="C1228" s="26">
        <f>'Daily Returns'!C1228</f>
        <v>1.9178082191780733E-2</v>
      </c>
      <c r="D1228" s="26">
        <f>'Daily Returns'!D1228</f>
        <v>-1.5117457798933309E-2</v>
      </c>
      <c r="E1228" s="26">
        <f>'Daily Returns'!E1228</f>
        <v>2.3502244475138091E-2</v>
      </c>
    </row>
    <row r="1229" spans="1:5" ht="15" customHeight="1" x14ac:dyDescent="0.3">
      <c r="A1229" s="25">
        <f>'Daily Returns'!F1229</f>
        <v>-1.898037327225461E-2</v>
      </c>
      <c r="B1229" s="25">
        <f>'Daily Returns'!B1229</f>
        <v>9.9439522690290567E-4</v>
      </c>
      <c r="C1229" s="25">
        <f>'Daily Returns'!C1229</f>
        <v>1.2573707943114847E-2</v>
      </c>
      <c r="D1229" s="25">
        <f>'Daily Returns'!D1229</f>
        <v>-1.8750559384229828E-2</v>
      </c>
      <c r="E1229" s="25">
        <f>'Daily Returns'!E1229</f>
        <v>1.6025303110174006E-2</v>
      </c>
    </row>
    <row r="1230" spans="1:5" ht="15" customHeight="1" x14ac:dyDescent="0.3">
      <c r="A1230" s="26">
        <f>'Daily Returns'!F1230</f>
        <v>-5.9426129514865891E-3</v>
      </c>
      <c r="B1230" s="26">
        <f>'Daily Returns'!B1230</f>
        <v>-2.3119299196243132E-2</v>
      </c>
      <c r="C1230" s="26">
        <f>'Daily Returns'!C1230</f>
        <v>1.5204714785086434E-2</v>
      </c>
      <c r="D1230" s="26">
        <f>'Daily Returns'!D1230</f>
        <v>1.0534956902449046E-2</v>
      </c>
      <c r="E1230" s="26">
        <f>'Daily Returns'!E1230</f>
        <v>-1.2659541351042903E-2</v>
      </c>
    </row>
    <row r="1231" spans="1:5" ht="15" customHeight="1" x14ac:dyDescent="0.3">
      <c r="A1231" s="25">
        <f>'Daily Returns'!F1231</f>
        <v>-1.8772679912334826E-3</v>
      </c>
      <c r="B1231" s="25">
        <f>'Daily Returns'!B1231</f>
        <v>-2.9490616621983892E-2</v>
      </c>
      <c r="C1231" s="25">
        <f>'Daily Returns'!C1231</f>
        <v>3.4282975460122642E-2</v>
      </c>
      <c r="D1231" s="25">
        <f>'Daily Returns'!D1231</f>
        <v>1.832295333513843E-2</v>
      </c>
      <c r="E1231" s="25">
        <f>'Daily Returns'!E1231</f>
        <v>-5.5491329479768498E-3</v>
      </c>
    </row>
    <row r="1232" spans="1:5" ht="15" customHeight="1" x14ac:dyDescent="0.3">
      <c r="A1232" s="26">
        <f>'Daily Returns'!F1232</f>
        <v>-9.4425012802700371E-3</v>
      </c>
      <c r="B1232" s="26">
        <f>'Daily Returns'!B1232</f>
        <v>1.0192417603352955E-2</v>
      </c>
      <c r="C1232" s="26">
        <f>'Daily Returns'!C1232</f>
        <v>-1.2467515134888524E-2</v>
      </c>
      <c r="D1232" s="26">
        <f>'Daily Returns'!D1232</f>
        <v>6.7807126396029127E-3</v>
      </c>
      <c r="E1232" s="26">
        <f>'Daily Returns'!E1232</f>
        <v>2.3250406882123321E-4</v>
      </c>
    </row>
    <row r="1233" spans="1:5" ht="15" customHeight="1" x14ac:dyDescent="0.3">
      <c r="A1233" s="25">
        <f>'Daily Returns'!F1233</f>
        <v>2.4731839338119053E-3</v>
      </c>
      <c r="B1233" s="25">
        <f>'Daily Returns'!B1233</f>
        <v>-1.7727487034417684E-2</v>
      </c>
      <c r="C1233" s="25">
        <f>'Daily Returns'!C1233</f>
        <v>1.4610816208545607E-2</v>
      </c>
      <c r="D1233" s="25">
        <f>'Daily Returns'!D1233</f>
        <v>1.8928555707179696E-2</v>
      </c>
      <c r="E1233" s="25">
        <f>'Daily Returns'!E1233</f>
        <v>8.2836735556399959E-3</v>
      </c>
    </row>
    <row r="1234" spans="1:5" ht="15" customHeight="1" x14ac:dyDescent="0.3">
      <c r="A1234" s="26">
        <f>'Daily Returns'!F1234</f>
        <v>-2.2978261181114127E-2</v>
      </c>
      <c r="B1234" s="26">
        <f>'Daily Returns'!B1234</f>
        <v>-7.4877603916674775E-3</v>
      </c>
      <c r="C1234" s="26">
        <f>'Daily Returns'!C1234</f>
        <v>-1.0508010508009365E-3</v>
      </c>
      <c r="D1234" s="26">
        <f>'Daily Returns'!D1234</f>
        <v>2.3501965697498586E-2</v>
      </c>
      <c r="E1234" s="26">
        <f>'Daily Returns'!E1234</f>
        <v>-8.8234061281803663E-3</v>
      </c>
    </row>
    <row r="1235" spans="1:5" ht="15" customHeight="1" x14ac:dyDescent="0.3">
      <c r="A1235" s="25">
        <f>'Daily Returns'!F1235</f>
        <v>-2.5354590002646796E-2</v>
      </c>
      <c r="B1235" s="25">
        <f>'Daily Returns'!B1235</f>
        <v>-1.9344230583228553E-2</v>
      </c>
      <c r="C1235" s="25">
        <f>'Daily Returns'!C1235</f>
        <v>2.0256605898083625E-2</v>
      </c>
      <c r="D1235" s="25">
        <f>'Daily Returns'!D1235</f>
        <v>-2.3637668312861401E-2</v>
      </c>
      <c r="E1235" s="25">
        <f>'Daily Returns'!E1235</f>
        <v>2.7488211786098459E-4</v>
      </c>
    </row>
    <row r="1236" spans="1:5" ht="15" customHeight="1" x14ac:dyDescent="0.3">
      <c r="A1236" s="26">
        <f>'Daily Returns'!F1236</f>
        <v>5.6879711803551839E-5</v>
      </c>
      <c r="B1236" s="26">
        <f>'Daily Returns'!B1236</f>
        <v>-1.9134036887266965E-2</v>
      </c>
      <c r="C1236" s="26">
        <f>'Daily Returns'!C1236</f>
        <v>2.6719427855728421E-3</v>
      </c>
      <c r="D1236" s="26">
        <f>'Daily Returns'!D1236</f>
        <v>7.9114608101681031E-3</v>
      </c>
      <c r="E1236" s="26">
        <f>'Daily Returns'!E1236</f>
        <v>-5.792077114953725E-3</v>
      </c>
    </row>
    <row r="1237" spans="1:5" ht="15" customHeight="1" x14ac:dyDescent="0.3">
      <c r="A1237" s="25">
        <f>'Daily Returns'!F1237</f>
        <v>6.5682371656128119E-3</v>
      </c>
      <c r="B1237" s="25">
        <f>'Daily Returns'!B1237</f>
        <v>-5.2287581699346003E-3</v>
      </c>
      <c r="C1237" s="25">
        <f>'Daily Returns'!C1237</f>
        <v>1.4388593400943636E-2</v>
      </c>
      <c r="D1237" s="25">
        <f>'Daily Returns'!D1237</f>
        <v>2.114609247662352E-2</v>
      </c>
      <c r="E1237" s="25">
        <f>'Daily Returns'!E1237</f>
        <v>-9.6104779724442545E-3</v>
      </c>
    </row>
    <row r="1238" spans="1:5" ht="15" customHeight="1" x14ac:dyDescent="0.3">
      <c r="A1238" s="26">
        <f>'Daily Returns'!F1238</f>
        <v>-9.0259029695642212E-3</v>
      </c>
      <c r="B1238" s="26">
        <f>'Daily Returns'!B1238</f>
        <v>-5.357323359951492E-3</v>
      </c>
      <c r="C1238" s="26">
        <f>'Daily Returns'!C1238</f>
        <v>2.7876429960915855E-2</v>
      </c>
      <c r="D1238" s="26">
        <f>'Daily Returns'!D1238</f>
        <v>1.8229932372831534E-2</v>
      </c>
      <c r="E1238" s="26">
        <f>'Daily Returns'!E1238</f>
        <v>8.2653499355946018E-3</v>
      </c>
    </row>
    <row r="1239" spans="1:5" ht="15" customHeight="1" x14ac:dyDescent="0.3">
      <c r="A1239" s="25">
        <f>'Daily Returns'!F1239</f>
        <v>4.5374158760965472E-3</v>
      </c>
      <c r="B1239" s="25">
        <f>'Daily Returns'!B1239</f>
        <v>1.3922764227642177E-2</v>
      </c>
      <c r="C1239" s="25">
        <f>'Daily Returns'!C1239</f>
        <v>1.1723239864571654E-2</v>
      </c>
      <c r="D1239" s="25">
        <f>'Daily Returns'!D1239</f>
        <v>2.2853842663256435E-2</v>
      </c>
      <c r="E1239" s="25">
        <f>'Daily Returns'!E1239</f>
        <v>1.7672735015437053E-2</v>
      </c>
    </row>
    <row r="1240" spans="1:5" ht="15" customHeight="1" x14ac:dyDescent="0.3">
      <c r="A1240" s="26">
        <f>'Daily Returns'!F1240</f>
        <v>3.8037459675478134E-3</v>
      </c>
      <c r="B1240" s="26">
        <f>'Daily Returns'!B1240</f>
        <v>6.514984464267873E-3</v>
      </c>
      <c r="C1240" s="26">
        <f>'Daily Returns'!C1240</f>
        <v>-3.1027866731195078E-3</v>
      </c>
      <c r="D1240" s="26">
        <f>'Daily Returns'!D1240</f>
        <v>-8.8324258923169908E-3</v>
      </c>
      <c r="E1240" s="26">
        <f>'Daily Returns'!E1240</f>
        <v>3.3978449628622259E-2</v>
      </c>
    </row>
    <row r="1241" spans="1:5" ht="15" customHeight="1" x14ac:dyDescent="0.3">
      <c r="A1241" s="25">
        <f>'Daily Returns'!F1241</f>
        <v>6.8923954600181659E-3</v>
      </c>
      <c r="B1241" s="25">
        <f>'Daily Returns'!B1241</f>
        <v>-3.286197968532148E-3</v>
      </c>
      <c r="C1241" s="25">
        <f>'Daily Returns'!C1241</f>
        <v>-5.8909198580118487E-3</v>
      </c>
      <c r="D1241" s="25">
        <f>'Daily Returns'!D1241</f>
        <v>1.1108398437500075E-2</v>
      </c>
      <c r="E1241" s="25">
        <f>'Daily Returns'!E1241</f>
        <v>1.9789959327384265E-2</v>
      </c>
    </row>
    <row r="1242" spans="1:5" ht="15" customHeight="1" x14ac:dyDescent="0.3">
      <c r="A1242" s="26">
        <f>'Daily Returns'!F1242</f>
        <v>1.2307183990870943E-3</v>
      </c>
      <c r="B1242" s="26">
        <f>'Daily Returns'!B1242</f>
        <v>1.0790288740133862E-2</v>
      </c>
      <c r="C1242" s="26">
        <f>'Daily Returns'!C1242</f>
        <v>-1.1647317965200082E-2</v>
      </c>
      <c r="D1242" s="26">
        <f>'Daily Returns'!D1242</f>
        <v>1.263632339329545E-2</v>
      </c>
      <c r="E1242" s="26">
        <f>'Daily Returns'!E1242</f>
        <v>-6.9250153778994961E-3</v>
      </c>
    </row>
    <row r="1243" spans="1:5" ht="15" customHeight="1" x14ac:dyDescent="0.3">
      <c r="A1243" s="25">
        <f>'Daily Returns'!F1243</f>
        <v>-1.9007944657811734E-2</v>
      </c>
      <c r="B1243" s="25">
        <f>'Daily Returns'!B1243</f>
        <v>1.5814964910546549E-2</v>
      </c>
      <c r="C1243" s="25">
        <f>'Daily Returns'!C1243</f>
        <v>1.8905082120592984E-2</v>
      </c>
      <c r="D1243" s="25">
        <f>'Daily Returns'!D1243</f>
        <v>-9.0211818940507168E-3</v>
      </c>
      <c r="E1243" s="25">
        <f>'Daily Returns'!E1243</f>
        <v>2.4496483375959062E-2</v>
      </c>
    </row>
    <row r="1244" spans="1:5" ht="15" customHeight="1" x14ac:dyDescent="0.3">
      <c r="A1244" s="26">
        <f>'Daily Returns'!F1244</f>
        <v>3.5708485270518215E-4</v>
      </c>
      <c r="B1244" s="26">
        <f>'Daily Returns'!B1244</f>
        <v>6.0328889753819654E-3</v>
      </c>
      <c r="C1244" s="26">
        <f>'Daily Returns'!C1244</f>
        <v>2.3744015847686116E-2</v>
      </c>
      <c r="D1244" s="26">
        <f>'Daily Returns'!D1244</f>
        <v>3.408726339428915E-3</v>
      </c>
      <c r="E1244" s="26">
        <f>'Daily Returns'!E1244</f>
        <v>-2.6563170417755595E-2</v>
      </c>
    </row>
    <row r="1245" spans="1:5" ht="15" customHeight="1" x14ac:dyDescent="0.3">
      <c r="A1245" s="25">
        <f>'Daily Returns'!F1245</f>
        <v>1.8034688251654689E-3</v>
      </c>
      <c r="B1245" s="25">
        <f>'Daily Returns'!B1245</f>
        <v>-5.3196634103878241E-3</v>
      </c>
      <c r="C1245" s="25">
        <f>'Daily Returns'!C1245</f>
        <v>-3.7154989384288566E-3</v>
      </c>
      <c r="D1245" s="25">
        <f>'Daily Returns'!D1245</f>
        <v>-2.0582710523160568E-2</v>
      </c>
      <c r="E1245" s="25">
        <f>'Daily Returns'!E1245</f>
        <v>8.334669017470684E-3</v>
      </c>
    </row>
    <row r="1246" spans="1:5" ht="15" customHeight="1" x14ac:dyDescent="0.3">
      <c r="A1246" s="26">
        <f>'Daily Returns'!F1246</f>
        <v>1.7373287357995787E-2</v>
      </c>
      <c r="B1246" s="26">
        <f>'Daily Returns'!B1246</f>
        <v>1.4391287436794922E-2</v>
      </c>
      <c r="C1246" s="26">
        <f>'Daily Returns'!C1246</f>
        <v>-3.1318492342345267E-2</v>
      </c>
      <c r="D1246" s="26">
        <f>'Daily Returns'!D1246</f>
        <v>-1.297641393944343E-2</v>
      </c>
      <c r="E1246" s="26">
        <f>'Daily Returns'!E1246</f>
        <v>-1.009378477189633E-2</v>
      </c>
    </row>
    <row r="1247" spans="1:5" ht="15" customHeight="1" x14ac:dyDescent="0.3">
      <c r="A1247" s="25">
        <f>'Daily Returns'!F1247</f>
        <v>-1.6628839629729341E-2</v>
      </c>
      <c r="B1247" s="25">
        <f>'Daily Returns'!B1247</f>
        <v>2.4827453987730095E-2</v>
      </c>
      <c r="C1247" s="25">
        <f>'Daily Returns'!C1247</f>
        <v>-1.0578603304116684E-2</v>
      </c>
      <c r="D1247" s="25">
        <f>'Daily Returns'!D1247</f>
        <v>5.5812799735405752E-3</v>
      </c>
      <c r="E1247" s="25">
        <f>'Daily Returns'!E1247</f>
        <v>-9.935768767563205E-3</v>
      </c>
    </row>
    <row r="1248" spans="1:5" ht="15" customHeight="1" x14ac:dyDescent="0.3">
      <c r="A1248" s="26">
        <f>'Daily Returns'!F1248</f>
        <v>2.634330530860348E-2</v>
      </c>
      <c r="B1248" s="26">
        <f>'Daily Returns'!B1248</f>
        <v>9.5407351978300456E-3</v>
      </c>
      <c r="C1248" s="26">
        <f>'Daily Returns'!C1248</f>
        <v>8.2500993881910196E-3</v>
      </c>
      <c r="D1248" s="26">
        <f>'Daily Returns'!D1248</f>
        <v>1.6938699995888686E-2</v>
      </c>
      <c r="E1248" s="26">
        <f>'Daily Returns'!E1248</f>
        <v>3.7911809427268094E-2</v>
      </c>
    </row>
    <row r="1249" spans="1:5" ht="15" customHeight="1" x14ac:dyDescent="0.3">
      <c r="A1249" s="25">
        <f>'Daily Returns'!F1249</f>
        <v>-5.9759422919423836E-4</v>
      </c>
      <c r="B1249" s="25">
        <f>'Daily Returns'!B1249</f>
        <v>2.4830908922449667E-2</v>
      </c>
      <c r="C1249" s="25">
        <f>'Daily Returns'!C1249</f>
        <v>-1.6103481003824388E-2</v>
      </c>
      <c r="D1249" s="25">
        <f>'Daily Returns'!D1249</f>
        <v>3.6385688295938309E-4</v>
      </c>
      <c r="E1249" s="25">
        <f>'Daily Returns'!E1249</f>
        <v>-7.4616661783377149E-3</v>
      </c>
    </row>
    <row r="1250" spans="1:5" ht="15" customHeight="1" x14ac:dyDescent="0.3">
      <c r="A1250" s="26">
        <f>'Daily Returns'!F1250</f>
        <v>-1.1709163629315029E-2</v>
      </c>
      <c r="B1250" s="26">
        <f>'Daily Returns'!B1250</f>
        <v>1.319952987975765E-2</v>
      </c>
      <c r="C1250" s="26">
        <f>'Daily Returns'!C1250</f>
        <v>-3.3950540662271392E-2</v>
      </c>
      <c r="D1250" s="26">
        <f>'Daily Returns'!D1250</f>
        <v>2.4571613320400955E-2</v>
      </c>
      <c r="E1250" s="26">
        <f>'Daily Returns'!E1250</f>
        <v>5.1364808218369584E-3</v>
      </c>
    </row>
    <row r="1251" spans="1:5" ht="15" customHeight="1" x14ac:dyDescent="0.3">
      <c r="A1251" s="25">
        <f>'Daily Returns'!F1251</f>
        <v>-2.8533446518559614E-3</v>
      </c>
      <c r="B1251" s="25">
        <f>'Daily Returns'!B1251</f>
        <v>1.2046042651914059E-2</v>
      </c>
      <c r="C1251" s="25">
        <f>'Daily Returns'!C1251</f>
        <v>-7.243131323514302E-3</v>
      </c>
      <c r="D1251" s="25">
        <f>'Daily Returns'!D1251</f>
        <v>2.3863994951088603E-2</v>
      </c>
      <c r="E1251" s="25">
        <f>'Daily Returns'!E1251</f>
        <v>1.1630183655088579E-2</v>
      </c>
    </row>
    <row r="1252" spans="1:5" ht="15" customHeight="1" x14ac:dyDescent="0.3">
      <c r="A1252" s="26">
        <f>'Daily Returns'!F1252</f>
        <v>1.3037594988505699E-2</v>
      </c>
      <c r="B1252" s="26">
        <f>'Daily Returns'!B1252</f>
        <v>-1.4812202433433317E-2</v>
      </c>
      <c r="C1252" s="26">
        <f>'Daily Returns'!C1252</f>
        <v>-3.5389001675153305E-2</v>
      </c>
      <c r="D1252" s="26">
        <f>'Daily Returns'!D1252</f>
        <v>-1.5101899294987817E-2</v>
      </c>
      <c r="E1252" s="26">
        <f>'Daily Returns'!E1252</f>
        <v>0</v>
      </c>
    </row>
    <row r="1253" spans="1:5" ht="15" customHeight="1" x14ac:dyDescent="0.3">
      <c r="A1253" s="25">
        <f>'Daily Returns'!F1253</f>
        <v>9.4264431884521517E-4</v>
      </c>
      <c r="B1253" s="25">
        <f>'Daily Returns'!B1253</f>
        <v>-1.5124395919097887E-2</v>
      </c>
      <c r="C1253" s="25">
        <f>'Daily Returns'!C1253</f>
        <v>6.3330688165365093E-3</v>
      </c>
      <c r="D1253" s="25">
        <f>'Daily Returns'!D1253</f>
        <v>-1.1734793663211866E-3</v>
      </c>
      <c r="E1253" s="25">
        <f>'Daily Returns'!E1253</f>
        <v>-2.5257412711929928E-2</v>
      </c>
    </row>
    <row r="1254" spans="1:5" ht="15" customHeight="1" x14ac:dyDescent="0.3">
      <c r="A1254" s="26">
        <f>'Daily Returns'!F1254</f>
        <v>-8.178777006764169E-3</v>
      </c>
      <c r="B1254" s="26">
        <f>'Daily Returns'!B1254</f>
        <v>-3.6347114947743794E-4</v>
      </c>
      <c r="C1254" s="26">
        <f>'Daily Returns'!C1254</f>
        <v>-6.4798765737796296E-3</v>
      </c>
      <c r="D1254" s="26">
        <f>'Daily Returns'!D1254</f>
        <v>-7.5582533777168864E-3</v>
      </c>
      <c r="E1254" s="26">
        <f>'Daily Returns'!E1254</f>
        <v>6.6914202887040182E-3</v>
      </c>
    </row>
    <row r="1255" spans="1:5" ht="15" customHeight="1" x14ac:dyDescent="0.3">
      <c r="A1255" s="25">
        <f>'Daily Returns'!F1255</f>
        <v>8.1591268758526795E-3</v>
      </c>
      <c r="B1255" s="25">
        <f>'Daily Returns'!B1255</f>
        <v>-2.2816107626579447E-2</v>
      </c>
      <c r="C1255" s="25">
        <f>'Daily Returns'!C1255</f>
        <v>1.6602506096531982E-3</v>
      </c>
      <c r="D1255" s="25">
        <f>'Daily Returns'!D1255</f>
        <v>1.3377002604372247E-2</v>
      </c>
      <c r="E1255" s="25">
        <f>'Daily Returns'!E1255</f>
        <v>-5.9960552268244977E-3</v>
      </c>
    </row>
    <row r="1256" spans="1:5" ht="15" customHeight="1" x14ac:dyDescent="0.3">
      <c r="A1256" s="26">
        <f>'Daily Returns'!F1256</f>
        <v>1.1457296093710889E-2</v>
      </c>
      <c r="B1256" s="26">
        <f>'Daily Returns'!B1256</f>
        <v>-7.9069767441859937E-3</v>
      </c>
      <c r="C1256" s="26">
        <f>'Daily Returns'!C1256</f>
        <v>2.3465282482956162E-2</v>
      </c>
      <c r="D1256" s="26">
        <f>'Daily Returns'!D1256</f>
        <v>1.1720727386005183E-2</v>
      </c>
      <c r="E1256" s="26">
        <f>'Daily Returns'!E1256</f>
        <v>-1.5278990396062819E-3</v>
      </c>
    </row>
    <row r="1257" spans="1:5" ht="15" customHeight="1" x14ac:dyDescent="0.3">
      <c r="A1257" s="25">
        <f>'Daily Returns'!F1257</f>
        <v>4.219159995427451E-4</v>
      </c>
      <c r="B1257" s="25">
        <f>'Daily Returns'!B1257</f>
        <v>1.2376933895921174E-2</v>
      </c>
      <c r="C1257" s="25">
        <f>'Daily Returns'!C1257</f>
        <v>-1.5417011074665256E-2</v>
      </c>
      <c r="D1257" s="25">
        <f>'Daily Returns'!D1257</f>
        <v>-1.2123778000153865E-2</v>
      </c>
      <c r="E1257" s="25">
        <f>'Daily Returns'!E1257</f>
        <v>3.9746417854054751E-5</v>
      </c>
    </row>
    <row r="1258" spans="1:5" ht="15" customHeight="1" x14ac:dyDescent="0.3">
      <c r="A1258" s="26">
        <f>'Daily Returns'!F1258</f>
        <v>1.97035765570126E-2</v>
      </c>
      <c r="B1258" s="26">
        <f>'Daily Returns'!B1258</f>
        <v>-8.891358710752929E-3</v>
      </c>
      <c r="C1258" s="26">
        <f>'Daily Returns'!C1258</f>
        <v>-3.7292256263176747E-2</v>
      </c>
      <c r="D1258" s="26">
        <f>'Daily Returns'!D1258</f>
        <v>1.4960844664354911E-2</v>
      </c>
      <c r="E1258" s="26">
        <f>'Daily Returns'!E1258</f>
        <v>9.101567933864671E-3</v>
      </c>
    </row>
    <row r="1259" spans="1:5" ht="15" customHeight="1" x14ac:dyDescent="0.3">
      <c r="A1259" s="25">
        <f>'Daily Returns'!F1259</f>
        <v>2.4302071385734831E-2</v>
      </c>
      <c r="B1259" s="25">
        <f>'Daily Returns'!B1259</f>
        <v>7.6628352490420819E-3</v>
      </c>
      <c r="C1259" s="25">
        <f>'Daily Returns'!C1259</f>
        <v>9.4701453667227659E-5</v>
      </c>
      <c r="D1259" s="25">
        <f>'Daily Returns'!D1259</f>
        <v>-2.0421480941230637E-2</v>
      </c>
      <c r="E1259" s="25">
        <f>'Daily Returns'!E1259</f>
        <v>8.23174934520177E-3</v>
      </c>
    </row>
    <row r="1260" spans="1:5" ht="15" customHeight="1" x14ac:dyDescent="0.3">
      <c r="A1260" s="26">
        <f>'Daily Returns'!F1260</f>
        <v>-2.7091524262632078E-2</v>
      </c>
      <c r="B1260" s="26">
        <f>'Daily Returns'!B1260</f>
        <v>-1.8362236854307743E-2</v>
      </c>
      <c r="C1260" s="26">
        <f>'Daily Returns'!C1260</f>
        <v>8.8695295361646467E-3</v>
      </c>
      <c r="D1260" s="26">
        <f>'Daily Returns'!D1260</f>
        <v>1.8966260433402465E-2</v>
      </c>
      <c r="E1260" s="26">
        <f>'Daily Returns'!E1260</f>
        <v>-2.8224310018165215E-2</v>
      </c>
    </row>
    <row r="1261" spans="1:5" ht="15" customHeight="1" x14ac:dyDescent="0.3">
      <c r="A1261" s="25">
        <f>'Daily Returns'!F1261</f>
        <v>7.0664964474847656E-4</v>
      </c>
      <c r="B1261" s="25">
        <f>'Daily Returns'!B1261</f>
        <v>-6.5186584789796668E-3</v>
      </c>
      <c r="C1261" s="25">
        <f>'Daily Returns'!C1261</f>
        <v>-2.4622604614782963E-2</v>
      </c>
      <c r="D1261" s="25">
        <f>'Daily Returns'!D1261</f>
        <v>-3.803407299157785E-2</v>
      </c>
      <c r="E1261" s="25">
        <f>'Daily Returns'!E1261</f>
        <v>4.6430294259527305E-3</v>
      </c>
    </row>
    <row r="1262" spans="1:5" ht="15" customHeight="1" x14ac:dyDescent="0.3">
      <c r="A1262" s="26">
        <f>'Daily Returns'!F1262</f>
        <v>2.1373681832843893E-2</v>
      </c>
      <c r="B1262" s="26">
        <f>'Daily Returns'!B1262</f>
        <v>1.4454165081780242E-2</v>
      </c>
      <c r="C1262" s="26">
        <f>'Daily Returns'!C1262</f>
        <v>-5.9020705361581211E-3</v>
      </c>
      <c r="D1262" s="26">
        <f>'Daily Returns'!D1262</f>
        <v>-2.3986567522187351E-3</v>
      </c>
      <c r="E1262" s="26">
        <f>'Daily Returns'!E1262</f>
        <v>3.3811495908608998E-2</v>
      </c>
    </row>
    <row r="1263" spans="1:5" ht="15" customHeight="1" x14ac:dyDescent="0.3">
      <c r="A1263" s="25">
        <f>'Daily Returns'!F1263</f>
        <v>6.011405601773075E-3</v>
      </c>
      <c r="B1263" s="25">
        <f>'Daily Returns'!B1263</f>
        <v>3.1871016122983612E-3</v>
      </c>
      <c r="C1263" s="25">
        <f>'Daily Returns'!C1263</f>
        <v>-5.5297420260394126E-3</v>
      </c>
      <c r="D1263" s="25">
        <f>'Daily Returns'!D1263</f>
        <v>-1.0779834896209015E-2</v>
      </c>
      <c r="E1263" s="25">
        <f>'Daily Returns'!E1263</f>
        <v>-3.5569833375263669E-2</v>
      </c>
    </row>
    <row r="1264" spans="1:5" ht="15" customHeight="1" x14ac:dyDescent="0.3">
      <c r="A1264" s="26">
        <f>'Daily Returns'!F1264</f>
        <v>1.7186378188785215E-2</v>
      </c>
      <c r="B1264" s="26">
        <f>'Daily Returns'!B1264</f>
        <v>4.3917024855167153E-3</v>
      </c>
      <c r="C1264" s="26">
        <f>'Daily Returns'!C1264</f>
        <v>1.0869521132700777E-3</v>
      </c>
      <c r="D1264" s="26">
        <f>'Daily Returns'!D1264</f>
        <v>1.1059347782053953E-2</v>
      </c>
      <c r="E1264" s="26">
        <f>'Daily Returns'!E1264</f>
        <v>-1.703621952443064E-2</v>
      </c>
    </row>
    <row r="1265" spans="1:5" ht="15" customHeight="1" x14ac:dyDescent="0.3">
      <c r="A1265" s="25">
        <f>'Daily Returns'!F1265</f>
        <v>6.839651699987799E-3</v>
      </c>
      <c r="B1265" s="25">
        <f>'Daily Returns'!B1265</f>
        <v>2.3909200855893643E-2</v>
      </c>
      <c r="C1265" s="25">
        <f>'Daily Returns'!C1265</f>
        <v>-1.0262165304725105E-2</v>
      </c>
      <c r="D1265" s="25">
        <f>'Daily Returns'!D1265</f>
        <v>4.367337126372205E-3</v>
      </c>
      <c r="E1265" s="25">
        <f>'Daily Returns'!E1265</f>
        <v>-1.2554607438860152E-2</v>
      </c>
    </row>
    <row r="1266" spans="1:5" ht="15" customHeight="1" x14ac:dyDescent="0.3">
      <c r="A1266" s="26">
        <f>'Daily Returns'!F1266</f>
        <v>-1.6030397589691707E-2</v>
      </c>
      <c r="B1266" s="26">
        <f>'Daily Returns'!B1266</f>
        <v>1.8262765764128573E-2</v>
      </c>
      <c r="C1266" s="26">
        <f>'Daily Returns'!C1266</f>
        <v>4.7573435504469908E-2</v>
      </c>
      <c r="D1266" s="26">
        <f>'Daily Returns'!D1266</f>
        <v>-3.4108588981529436E-2</v>
      </c>
      <c r="E1266" s="26">
        <f>'Daily Returns'!E1266</f>
        <v>-3.7067664509726921E-2</v>
      </c>
    </row>
    <row r="1267" spans="1:5" ht="15" customHeight="1" x14ac:dyDescent="0.3">
      <c r="A1267" s="25">
        <f>'Daily Returns'!F1267</f>
        <v>-6.8116028908671153E-3</v>
      </c>
      <c r="B1267" s="25">
        <f>'Daily Returns'!B1267</f>
        <v>-1.1778352815204722E-2</v>
      </c>
      <c r="C1267" s="25">
        <f>'Daily Returns'!C1267</f>
        <v>-4.0325416735046814E-3</v>
      </c>
      <c r="D1267" s="25">
        <f>'Daily Returns'!D1267</f>
        <v>-2.0816124235916042E-2</v>
      </c>
      <c r="E1267" s="25">
        <f>'Daily Returns'!E1267</f>
        <v>-3.4114818154493513E-2</v>
      </c>
    </row>
    <row r="1268" spans="1:5" ht="15" customHeight="1" x14ac:dyDescent="0.3">
      <c r="A1268" s="26">
        <f>'Daily Returns'!F1268</f>
        <v>2.520718691272259E-4</v>
      </c>
      <c r="B1268" s="26">
        <f>'Daily Returns'!B1268</f>
        <v>1.8600451467268644E-2</v>
      </c>
      <c r="C1268" s="26">
        <f>'Daily Returns'!C1268</f>
        <v>3.8840893575951955E-3</v>
      </c>
      <c r="D1268" s="26">
        <f>'Daily Returns'!D1268</f>
        <v>-8.8155896743715347E-3</v>
      </c>
      <c r="E1268" s="26">
        <f>'Daily Returns'!E1268</f>
        <v>-1.7648758585431992E-2</v>
      </c>
    </row>
    <row r="1269" spans="1:5" ht="15" customHeight="1" x14ac:dyDescent="0.3">
      <c r="A1269" s="25">
        <f>'Daily Returns'!F1269</f>
        <v>1.5506899853479318E-2</v>
      </c>
      <c r="B1269" s="25">
        <f>'Daily Returns'!B1269</f>
        <v>-8.2439500044322912E-3</v>
      </c>
      <c r="C1269" s="25">
        <f>'Daily Returns'!C1269</f>
        <v>-7.9530710187748609E-3</v>
      </c>
      <c r="D1269" s="25">
        <f>'Daily Returns'!D1269</f>
        <v>1.9022086046214727E-2</v>
      </c>
      <c r="E1269" s="25">
        <f>'Daily Returns'!E1269</f>
        <v>2.219708111777351E-2</v>
      </c>
    </row>
    <row r="1270" spans="1:5" ht="15" customHeight="1" x14ac:dyDescent="0.3">
      <c r="A1270" s="26">
        <f>'Daily Returns'!F1270</f>
        <v>-3.5250021351441503E-4</v>
      </c>
      <c r="B1270" s="26">
        <f>'Daily Returns'!B1270</f>
        <v>8.9381480157357129E-5</v>
      </c>
      <c r="C1270" s="26">
        <f>'Daily Returns'!C1270</f>
        <v>-4.6024873838347601E-2</v>
      </c>
      <c r="D1270" s="26">
        <f>'Daily Returns'!D1270</f>
        <v>2.6100392549903949E-2</v>
      </c>
      <c r="E1270" s="26">
        <f>'Daily Returns'!E1270</f>
        <v>-6.4636089959270761E-3</v>
      </c>
    </row>
    <row r="1271" spans="1:5" ht="15" customHeight="1" x14ac:dyDescent="0.3">
      <c r="A1271" s="25">
        <f>'Daily Returns'!F1271</f>
        <v>-5.0761809999463657E-3</v>
      </c>
      <c r="B1271" s="25">
        <f>'Daily Returns'!B1271</f>
        <v>5.3624095093397328E-4</v>
      </c>
      <c r="C1271" s="25">
        <f>'Daily Returns'!C1271</f>
        <v>2.4950652053617916E-2</v>
      </c>
      <c r="D1271" s="25">
        <f>'Daily Returns'!D1271</f>
        <v>1.1110658906841356E-2</v>
      </c>
      <c r="E1271" s="25">
        <f>'Daily Returns'!E1271</f>
        <v>-1.7155333749220188E-2</v>
      </c>
    </row>
    <row r="1272" spans="1:5" ht="15" customHeight="1" x14ac:dyDescent="0.3">
      <c r="A1272" s="26">
        <f>'Daily Returns'!F1272</f>
        <v>-5.7649535380997598E-3</v>
      </c>
      <c r="B1272" s="26">
        <f>'Daily Returns'!B1272</f>
        <v>1.518535060294777E-2</v>
      </c>
      <c r="C1272" s="26">
        <f>'Daily Returns'!C1272</f>
        <v>-5.5084609186140131E-2</v>
      </c>
      <c r="D1272" s="26">
        <f>'Daily Returns'!D1272</f>
        <v>2.2822411849943713E-2</v>
      </c>
      <c r="E1272" s="26">
        <f>'Daily Returns'!E1272</f>
        <v>-2.6975563313233844E-3</v>
      </c>
    </row>
    <row r="1273" spans="1:5" ht="15" customHeight="1" x14ac:dyDescent="0.3">
      <c r="A1273" s="25">
        <f>'Daily Returns'!F1273</f>
        <v>2.4947399019255995E-3</v>
      </c>
      <c r="B1273" s="25">
        <f>'Daily Returns'!B1273</f>
        <v>-1.5398152221733392E-2</v>
      </c>
      <c r="C1273" s="25">
        <f>'Daily Returns'!C1273</f>
        <v>2.4525856187747296E-2</v>
      </c>
      <c r="D1273" s="25">
        <f>'Daily Returns'!D1273</f>
        <v>-1.1451733501239719E-2</v>
      </c>
      <c r="E1273" s="25">
        <f>'Daily Returns'!E1273</f>
        <v>9.7056483691329437E-3</v>
      </c>
    </row>
    <row r="1274" spans="1:5" ht="15" customHeight="1" x14ac:dyDescent="0.3">
      <c r="A1274" s="26">
        <f>'Daily Returns'!F1274</f>
        <v>2.7002610651980139E-3</v>
      </c>
      <c r="B1274" s="26">
        <f>'Daily Returns'!B1274</f>
        <v>6.613047363717559E-3</v>
      </c>
      <c r="C1274" s="26">
        <f>'Daily Returns'!C1274</f>
        <v>-2.2711003828866389E-2</v>
      </c>
      <c r="D1274" s="26">
        <f>'Daily Returns'!D1274</f>
        <v>6.9267515923567245E-3</v>
      </c>
      <c r="E1274" s="26">
        <f>'Daily Returns'!E1274</f>
        <v>9.6573769753724812E-3</v>
      </c>
    </row>
    <row r="1275" spans="1:5" ht="15" customHeight="1" x14ac:dyDescent="0.3">
      <c r="A1275" s="25">
        <f>'Daily Returns'!F1275</f>
        <v>2.639652337088742E-2</v>
      </c>
      <c r="B1275" s="25">
        <f>'Daily Returns'!B1275</f>
        <v>7.5461647727272227E-3</v>
      </c>
      <c r="C1275" s="25">
        <f>'Daily Returns'!C1275</f>
        <v>-2.3375052699267054E-2</v>
      </c>
      <c r="D1275" s="25">
        <f>'Daily Returns'!D1275</f>
        <v>2.4116391239029557E-3</v>
      </c>
      <c r="E1275" s="25">
        <f>'Daily Returns'!E1275</f>
        <v>1.2708746739202987E-3</v>
      </c>
    </row>
    <row r="1276" spans="1:5" ht="15" customHeight="1" x14ac:dyDescent="0.3">
      <c r="A1276" s="26">
        <f>'Daily Returns'!F1276</f>
        <v>-1.2156157161717898E-3</v>
      </c>
      <c r="B1276" s="26">
        <f>'Daily Returns'!B1276</f>
        <v>1.1630980703145718E-2</v>
      </c>
      <c r="C1276" s="26">
        <f>'Daily Returns'!C1276</f>
        <v>-1.3255775419257342E-3</v>
      </c>
      <c r="D1276" s="26">
        <f>'Daily Returns'!D1276</f>
        <v>-1.6604220074935942E-2</v>
      </c>
      <c r="E1276" s="26">
        <f>'Daily Returns'!E1276</f>
        <v>5.0414180101541028E-2</v>
      </c>
    </row>
    <row r="1277" spans="1:5" ht="15" customHeight="1" x14ac:dyDescent="0.3">
      <c r="A1277" s="25">
        <f>'Daily Returns'!F1277</f>
        <v>-1.3687725425528681E-2</v>
      </c>
      <c r="B1277" s="25">
        <f>'Daily Returns'!B1277</f>
        <v>-2.6130128037627136E-3</v>
      </c>
      <c r="C1277" s="25">
        <f>'Daily Returns'!C1277</f>
        <v>3.9326725756450992E-2</v>
      </c>
      <c r="D1277" s="25">
        <f>'Daily Returns'!D1277</f>
        <v>-5.1335525788080575E-3</v>
      </c>
      <c r="E1277" s="25">
        <f>'Daily Returns'!E1277</f>
        <v>5.46934622233525E-3</v>
      </c>
    </row>
    <row r="1278" spans="1:5" ht="15" customHeight="1" x14ac:dyDescent="0.3">
      <c r="A1278" s="26">
        <f>'Daily Returns'!F1278</f>
        <v>7.369041088697262E-3</v>
      </c>
      <c r="B1278" s="26">
        <f>'Daily Returns'!B1278</f>
        <v>1.4234564666841283E-2</v>
      </c>
      <c r="C1278" s="26">
        <f>'Daily Returns'!C1278</f>
        <v>6.2343249158744842E-3</v>
      </c>
      <c r="D1278" s="26">
        <f>'Daily Returns'!D1278</f>
        <v>-5.2003547528823354E-3</v>
      </c>
      <c r="E1278" s="26">
        <f>'Daily Returns'!E1278</f>
        <v>8.6654016445288085E-3</v>
      </c>
    </row>
    <row r="1279" spans="1:5" ht="15" customHeight="1" x14ac:dyDescent="0.3">
      <c r="A1279" s="25">
        <f>'Daily Returns'!F1279</f>
        <v>3.4419017919973195E-3</v>
      </c>
      <c r="B1279" s="25">
        <f>'Daily Returns'!B1279</f>
        <v>-9.5574306871017683E-3</v>
      </c>
      <c r="C1279" s="25">
        <f>'Daily Returns'!C1279</f>
        <v>-2.7805495134037746E-3</v>
      </c>
      <c r="D1279" s="25">
        <f>'Daily Returns'!D1279</f>
        <v>7.5779065526602749E-3</v>
      </c>
      <c r="E1279" s="25">
        <f>'Daily Returns'!E1279</f>
        <v>-9.5524759097845979E-3</v>
      </c>
    </row>
    <row r="1280" spans="1:5" ht="15" customHeight="1" x14ac:dyDescent="0.3">
      <c r="A1280" s="26">
        <f>'Daily Returns'!F1280</f>
        <v>2.3401976885119914E-3</v>
      </c>
      <c r="B1280" s="26">
        <f>'Daily Returns'!B1280</f>
        <v>1.6169694862209854E-2</v>
      </c>
      <c r="C1280" s="26">
        <f>'Daily Returns'!C1280</f>
        <v>-1.2945092210755509E-2</v>
      </c>
      <c r="D1280" s="26">
        <f>'Daily Returns'!D1280</f>
        <v>8.2046332046332871E-3</v>
      </c>
      <c r="E1280" s="26">
        <f>'Daily Returns'!E1280</f>
        <v>-1.5807023467837144E-2</v>
      </c>
    </row>
    <row r="1281" spans="1:5" ht="15" customHeight="1" x14ac:dyDescent="0.3">
      <c r="A1281" s="25">
        <f>'Daily Returns'!F1281</f>
        <v>-7.7436100925071544E-3</v>
      </c>
      <c r="B1281" s="25">
        <f>'Daily Returns'!B1281</f>
        <v>5.2185815724185083E-3</v>
      </c>
      <c r="C1281" s="25">
        <f>'Daily Returns'!C1281</f>
        <v>1.2075686176371949E-2</v>
      </c>
      <c r="D1281" s="25">
        <f>'Daily Returns'!D1281</f>
        <v>-8.257539492580155E-3</v>
      </c>
      <c r="E1281" s="25">
        <f>'Daily Returns'!E1281</f>
        <v>-2.152889460705483E-2</v>
      </c>
    </row>
    <row r="1282" spans="1:5" ht="15" customHeight="1" x14ac:dyDescent="0.3">
      <c r="A1282" s="26">
        <f>'Daily Returns'!F1282</f>
        <v>5.69330019036137E-3</v>
      </c>
      <c r="B1282" s="26">
        <f>'Daily Returns'!B1282</f>
        <v>-1.9063829787233998E-2</v>
      </c>
      <c r="C1282" s="26">
        <f>'Daily Returns'!C1282</f>
        <v>-5.9343698922928022E-3</v>
      </c>
      <c r="D1282" s="26">
        <f>'Daily Returns'!D1282</f>
        <v>-7.9642814046097018E-3</v>
      </c>
      <c r="E1282" s="26">
        <f>'Daily Returns'!E1282</f>
        <v>-2.390918454559406E-2</v>
      </c>
    </row>
    <row r="1283" spans="1:5" ht="15" customHeight="1" x14ac:dyDescent="0.3">
      <c r="A1283" s="25">
        <f>'Daily Returns'!F1283</f>
        <v>-5.1488600354503231E-3</v>
      </c>
      <c r="B1283" s="25">
        <f>'Daily Returns'!B1283</f>
        <v>5.9864653826132022E-3</v>
      </c>
      <c r="C1283" s="25">
        <f>'Daily Returns'!C1283</f>
        <v>1.3183301432582603E-2</v>
      </c>
      <c r="D1283" s="25">
        <f>'Daily Returns'!D1283</f>
        <v>-2.9558447877387147E-2</v>
      </c>
      <c r="E1283" s="25">
        <f>'Daily Returns'!E1283</f>
        <v>1.0889088459811458E-2</v>
      </c>
    </row>
    <row r="1284" spans="1:5" ht="15" customHeight="1" x14ac:dyDescent="0.3">
      <c r="A1284" s="26">
        <f>'Daily Returns'!F1284</f>
        <v>-5.7559220463888382E-3</v>
      </c>
      <c r="B1284" s="26">
        <f>'Daily Returns'!B1284</f>
        <v>2.7598102630443568E-3</v>
      </c>
      <c r="C1284" s="26">
        <f>'Daily Returns'!C1284</f>
        <v>-3.4033646664253216E-2</v>
      </c>
      <c r="D1284" s="26">
        <f>'Daily Returns'!D1284</f>
        <v>8.3563131946185337E-3</v>
      </c>
      <c r="E1284" s="26">
        <f>'Daily Returns'!E1284</f>
        <v>3.5313714602997781E-3</v>
      </c>
    </row>
    <row r="1285" spans="1:5" ht="15" customHeight="1" x14ac:dyDescent="0.3">
      <c r="A1285" s="25">
        <f>'Daily Returns'!F1285</f>
        <v>-6.3183086460105627E-3</v>
      </c>
      <c r="B1285" s="25">
        <f>'Daily Returns'!B1285</f>
        <v>-4.5583555517330447E-3</v>
      </c>
      <c r="C1285" s="25">
        <f>'Daily Returns'!C1285</f>
        <v>9.9163443065020465E-3</v>
      </c>
      <c r="D1285" s="25">
        <f>'Daily Returns'!D1285</f>
        <v>-1.2016242645230466E-3</v>
      </c>
      <c r="E1285" s="25">
        <f>'Daily Returns'!E1285</f>
        <v>-1.1442103399433337E-2</v>
      </c>
    </row>
    <row r="1286" spans="1:5" ht="15" customHeight="1" x14ac:dyDescent="0.3">
      <c r="A1286" s="26">
        <f>'Daily Returns'!F1286</f>
        <v>1.1456281896533381E-2</v>
      </c>
      <c r="B1286" s="26">
        <f>'Daily Returns'!B1286</f>
        <v>-9.9360635908069088E-3</v>
      </c>
      <c r="C1286" s="26">
        <f>'Daily Returns'!C1286</f>
        <v>6.2019074917677415E-3</v>
      </c>
      <c r="D1286" s="26">
        <f>'Daily Returns'!D1286</f>
        <v>-8.2970338104170217E-5</v>
      </c>
      <c r="E1286" s="26">
        <f>'Daily Returns'!E1286</f>
        <v>-6.134282579980767E-3</v>
      </c>
    </row>
    <row r="1287" spans="1:5" ht="15" customHeight="1" x14ac:dyDescent="0.3">
      <c r="A1287" s="25">
        <f>'Daily Returns'!F1287</f>
        <v>-1.5905384011070205E-2</v>
      </c>
      <c r="B1287" s="25">
        <f>'Daily Returns'!B1287</f>
        <v>-2.9671000959944445E-3</v>
      </c>
      <c r="C1287" s="25">
        <f>'Daily Returns'!C1287</f>
        <v>-2.3395704923314338E-2</v>
      </c>
      <c r="D1287" s="25">
        <f>'Daily Returns'!D1287</f>
        <v>9.0030286686304094E-3</v>
      </c>
      <c r="E1287" s="25">
        <f>'Daily Returns'!E1287</f>
        <v>2.0476201202892293E-2</v>
      </c>
    </row>
    <row r="1288" spans="1:5" ht="15" customHeight="1" x14ac:dyDescent="0.3">
      <c r="A1288" s="26">
        <f>'Daily Returns'!F1288</f>
        <v>-6.5201741441664181E-4</v>
      </c>
      <c r="B1288" s="26">
        <f>'Daily Returns'!B1288</f>
        <v>-1.9693654266958426E-2</v>
      </c>
      <c r="C1288" s="26">
        <f>'Daily Returns'!C1288</f>
        <v>-1.7618793379604977E-2</v>
      </c>
      <c r="D1288" s="26">
        <f>'Daily Returns'!D1288</f>
        <v>-7.4013157894736144E-3</v>
      </c>
      <c r="E1288" s="26">
        <f>'Daily Returns'!E1288</f>
        <v>-3.4435565758686201E-3</v>
      </c>
    </row>
    <row r="1289" spans="1:5" ht="15" customHeight="1" x14ac:dyDescent="0.3">
      <c r="A1289" s="25">
        <f>'Daily Returns'!F1289</f>
        <v>-2.6474823877947725E-3</v>
      </c>
      <c r="B1289" s="25">
        <f>'Daily Returns'!B1289</f>
        <v>2.3749999999999969E-2</v>
      </c>
      <c r="C1289" s="25">
        <f>'Daily Returns'!C1289</f>
        <v>-2.0060091905266721E-3</v>
      </c>
      <c r="D1289" s="25">
        <f>'Daily Returns'!D1289</f>
        <v>-1.4788732394366169E-2</v>
      </c>
      <c r="E1289" s="25">
        <f>'Daily Returns'!E1289</f>
        <v>1.1296681876579271E-3</v>
      </c>
    </row>
    <row r="1290" spans="1:5" ht="15" customHeight="1" x14ac:dyDescent="0.3">
      <c r="A1290" s="26">
        <f>'Daily Returns'!F1290</f>
        <v>8.8207880386447623E-3</v>
      </c>
      <c r="B1290" s="26">
        <f>'Daily Returns'!B1290</f>
        <v>-1.5349729635443843E-2</v>
      </c>
      <c r="C1290" s="26">
        <f>'Daily Returns'!C1290</f>
        <v>-7.9870365615010517E-3</v>
      </c>
      <c r="D1290" s="26">
        <f>'Daily Returns'!D1290</f>
        <v>-9.0821174788715681E-3</v>
      </c>
      <c r="E1290" s="26">
        <f>'Daily Returns'!E1290</f>
        <v>5.9517224594552685E-3</v>
      </c>
    </row>
    <row r="1291" spans="1:5" ht="15" customHeight="1" x14ac:dyDescent="0.3">
      <c r="A1291" s="25">
        <f>'Daily Returns'!F1291</f>
        <v>-1.6547890748456063E-3</v>
      </c>
      <c r="B1291" s="25">
        <f>'Daily Returns'!B1291</f>
        <v>-8.8573959255978732E-3</v>
      </c>
      <c r="C1291" s="25">
        <f>'Daily Returns'!C1291</f>
        <v>5.7127045192849222E-3</v>
      </c>
      <c r="D1291" s="25">
        <f>'Daily Returns'!D1291</f>
        <v>-5.0070013153985593E-3</v>
      </c>
      <c r="E1291" s="25">
        <f>'Daily Returns'!E1291</f>
        <v>9.8535169137376529E-3</v>
      </c>
    </row>
    <row r="1292" spans="1:5" ht="15" customHeight="1" x14ac:dyDescent="0.3">
      <c r="A1292" s="26">
        <f>'Daily Returns'!F1292</f>
        <v>1.0707551378040366E-2</v>
      </c>
      <c r="B1292" s="26">
        <f>'Daily Returns'!B1292</f>
        <v>1.6264521894548644E-2</v>
      </c>
      <c r="C1292" s="26">
        <f>'Daily Returns'!C1292</f>
        <v>-2.4709108821258482E-2</v>
      </c>
      <c r="D1292" s="26">
        <f>'Daily Returns'!D1292</f>
        <v>3.7954710222183733E-3</v>
      </c>
      <c r="E1292" s="26">
        <f>'Daily Returns'!E1292</f>
        <v>-1.3808424445702782E-2</v>
      </c>
    </row>
    <row r="1293" spans="1:5" ht="15" customHeight="1" x14ac:dyDescent="0.3">
      <c r="A1293" s="25">
        <f>'Daily Returns'!F1293</f>
        <v>-8.3080990285782225E-3</v>
      </c>
      <c r="B1293" s="25">
        <f>'Daily Returns'!B1293</f>
        <v>8.3538515652480019E-3</v>
      </c>
      <c r="C1293" s="25">
        <f>'Daily Returns'!C1293</f>
        <v>-1.5006324678988218E-2</v>
      </c>
      <c r="D1293" s="25">
        <f>'Daily Returns'!D1293</f>
        <v>-9.1341660293992929E-3</v>
      </c>
      <c r="E1293" s="25">
        <f>'Daily Returns'!E1293</f>
        <v>-4.6068904593639604E-2</v>
      </c>
    </row>
    <row r="1294" spans="1:5" ht="15" customHeight="1" x14ac:dyDescent="0.3">
      <c r="A1294" s="26">
        <f>'Daily Returns'!F1294</f>
        <v>5.2583661729496472E-3</v>
      </c>
      <c r="B1294" s="26">
        <f>'Daily Returns'!B1294</f>
        <v>1.0290398534926245E-2</v>
      </c>
      <c r="C1294" s="26">
        <f>'Daily Returns'!C1294</f>
        <v>3.7879487795413808E-2</v>
      </c>
      <c r="D1294" s="26">
        <f>'Daily Returns'!D1294</f>
        <v>-6.5600480212665664E-3</v>
      </c>
      <c r="E1294" s="26">
        <f>'Daily Returns'!E1294</f>
        <v>-3.6393943603278162E-2</v>
      </c>
    </row>
    <row r="1295" spans="1:5" ht="15" customHeight="1" x14ac:dyDescent="0.3">
      <c r="A1295" s="25">
        <f>'Daily Returns'!F1295</f>
        <v>3.4884422064246599E-3</v>
      </c>
      <c r="B1295" s="25">
        <f>'Daily Returns'!B1295</f>
        <v>2.1406991799741079E-2</v>
      </c>
      <c r="C1295" s="25">
        <f>'Daily Returns'!C1295</f>
        <v>-1.4260535170645915E-2</v>
      </c>
      <c r="D1295" s="25">
        <f>'Daily Returns'!D1295</f>
        <v>-2.054380664652564E-2</v>
      </c>
      <c r="E1295" s="25">
        <f>'Daily Returns'!E1295</f>
        <v>7.1596751717840591E-3</v>
      </c>
    </row>
    <row r="1296" spans="1:5" ht="15" customHeight="1" x14ac:dyDescent="0.3">
      <c r="A1296" s="26">
        <f>'Daily Returns'!F1296</f>
        <v>1.3217344365821278E-3</v>
      </c>
      <c r="B1296" s="26">
        <f>'Daily Returns'!B1296</f>
        <v>-4.0564522944308628E-3</v>
      </c>
      <c r="C1296" s="26">
        <f>'Daily Returns'!C1296</f>
        <v>-6.9218682271347748E-3</v>
      </c>
      <c r="D1296" s="26">
        <f>'Daily Returns'!D1296</f>
        <v>-5.9927734202872354E-3</v>
      </c>
      <c r="E1296" s="26">
        <f>'Daily Returns'!E1296</f>
        <v>-1.0424618320610698E-2</v>
      </c>
    </row>
    <row r="1297" spans="1:5" ht="15" customHeight="1" x14ac:dyDescent="0.3">
      <c r="A1297" s="25">
        <f>'Daily Returns'!F1297</f>
        <v>1.8099469930708875E-2</v>
      </c>
      <c r="B1297" s="25">
        <f>'Daily Returns'!B1297</f>
        <v>-1.417055579125997E-2</v>
      </c>
      <c r="C1297" s="25">
        <f>'Daily Returns'!C1297</f>
        <v>-2.5279736654253886E-3</v>
      </c>
      <c r="D1297" s="25">
        <f>'Daily Returns'!D1297</f>
        <v>-2.7130064722049846E-2</v>
      </c>
      <c r="E1297" s="25">
        <f>'Daily Returns'!E1297</f>
        <v>-6.002458838560396E-3</v>
      </c>
    </row>
    <row r="1298" spans="1:5" ht="15" customHeight="1" x14ac:dyDescent="0.3">
      <c r="A1298" s="26">
        <f>'Daily Returns'!F1298</f>
        <v>6.3856860372991002E-3</v>
      </c>
      <c r="B1298" s="26">
        <f>'Daily Returns'!B1298</f>
        <v>1.2050266827336818E-2</v>
      </c>
      <c r="C1298" s="26">
        <f>'Daily Returns'!C1298</f>
        <v>-4.3166517004507186E-3</v>
      </c>
      <c r="D1298" s="26">
        <f>'Daily Returns'!D1298</f>
        <v>-1.0024605850724583E-2</v>
      </c>
      <c r="E1298" s="26">
        <f>'Daily Returns'!E1298</f>
        <v>-3.1963913275452178E-2</v>
      </c>
    </row>
    <row r="1299" spans="1:5" ht="15" customHeight="1" x14ac:dyDescent="0.3">
      <c r="A1299" s="25">
        <f>'Daily Returns'!F1299</f>
        <v>3.3899268077793813E-3</v>
      </c>
      <c r="B1299" s="25">
        <f>'Daily Returns'!B1299</f>
        <v>1.1311447525089287E-2</v>
      </c>
      <c r="C1299" s="25">
        <f>'Daily Returns'!C1299</f>
        <v>2.1882839824937154E-2</v>
      </c>
      <c r="D1299" s="25">
        <f>'Daily Returns'!D1299</f>
        <v>8.9293933535855557E-3</v>
      </c>
      <c r="E1299" s="25">
        <f>'Daily Returns'!E1299</f>
        <v>-1.4655777131977209E-2</v>
      </c>
    </row>
    <row r="1300" spans="1:5" ht="15" customHeight="1" x14ac:dyDescent="0.3">
      <c r="A1300" s="26">
        <f>'Daily Returns'!F1300</f>
        <v>1.28093847965953E-2</v>
      </c>
      <c r="B1300" s="26">
        <f>'Daily Returns'!B1300</f>
        <v>-4.2048608191068877E-3</v>
      </c>
      <c r="C1300" s="26">
        <f>'Daily Returns'!C1300</f>
        <v>-9.4975270589921067E-3</v>
      </c>
      <c r="D1300" s="26">
        <f>'Daily Returns'!D1300</f>
        <v>3.102189781021929E-3</v>
      </c>
      <c r="E1300" s="26">
        <f>'Daily Returns'!E1300</f>
        <v>2.7205003686659205E-3</v>
      </c>
    </row>
    <row r="1301" spans="1:5" ht="15" customHeight="1" x14ac:dyDescent="0.3">
      <c r="A1301" s="25">
        <f>'Daily Returns'!F1301</f>
        <v>4.742647699394721E-3</v>
      </c>
      <c r="B1301" s="25">
        <f>'Daily Returns'!B1301</f>
        <v>-1.7228274638966236E-2</v>
      </c>
      <c r="C1301" s="25">
        <f>'Daily Returns'!C1301</f>
        <v>1.5676448239678627E-2</v>
      </c>
      <c r="D1301" s="25">
        <f>'Daily Returns'!D1301</f>
        <v>-2.0920502092050572E-3</v>
      </c>
      <c r="E1301" s="25">
        <f>'Daily Returns'!E1301</f>
        <v>1.2424565140220323E-3</v>
      </c>
    </row>
    <row r="1302" spans="1:5" ht="15" customHeight="1" x14ac:dyDescent="0.3">
      <c r="A1302" s="26">
        <f>'Daily Returns'!F1302</f>
        <v>-2.4851403243889144E-3</v>
      </c>
      <c r="B1302" s="26">
        <f>'Daily Returns'!B1302</f>
        <v>1.7530291312193795E-2</v>
      </c>
      <c r="C1302" s="26">
        <f>'Daily Returns'!C1302</f>
        <v>-1.449488337296592E-2</v>
      </c>
      <c r="D1302" s="26">
        <f>'Daily Returns'!D1302</f>
        <v>-3.1446540880503042E-3</v>
      </c>
      <c r="E1302" s="26">
        <f>'Daily Returns'!E1302</f>
        <v>-1.9930610074201646E-2</v>
      </c>
    </row>
    <row r="1303" spans="1:5" ht="15" customHeight="1" x14ac:dyDescent="0.3">
      <c r="A1303" s="25">
        <f>'Daily Returns'!F1303</f>
        <v>1.1344814740522079E-2</v>
      </c>
      <c r="B1303" s="25">
        <f>'Daily Returns'!B1303</f>
        <v>8.2763280128367867E-3</v>
      </c>
      <c r="C1303" s="25">
        <f>'Daily Returns'!C1303</f>
        <v>1.4233621168783635E-2</v>
      </c>
      <c r="D1303" s="25">
        <f>'Daily Returns'!D1303</f>
        <v>1.4584190554564979E-2</v>
      </c>
      <c r="E1303" s="25">
        <f>'Daily Returns'!E1303</f>
        <v>-2.1343669250645972E-2</v>
      </c>
    </row>
    <row r="1304" spans="1:5" ht="15" customHeight="1" x14ac:dyDescent="0.3">
      <c r="A1304" s="26">
        <f>'Daily Returns'!F1304</f>
        <v>2.5678063670974517E-2</v>
      </c>
      <c r="B1304" s="26">
        <f>'Daily Returns'!B1304</f>
        <v>-1.8678281263087394E-2</v>
      </c>
      <c r="C1304" s="26">
        <f>'Daily Returns'!C1304</f>
        <v>-3.1810101712133401E-3</v>
      </c>
      <c r="D1304" s="26">
        <f>'Daily Returns'!D1304</f>
        <v>-1.8159697188175925E-2</v>
      </c>
      <c r="E1304" s="26">
        <f>'Daily Returns'!E1304</f>
        <v>3.6911865659819451E-2</v>
      </c>
    </row>
    <row r="1305" spans="1:5" ht="15" customHeight="1" x14ac:dyDescent="0.3">
      <c r="A1305" s="25">
        <f>'Daily Returns'!F1305</f>
        <v>-5.966622055433031E-3</v>
      </c>
      <c r="B1305" s="25">
        <f>'Daily Returns'!B1305</f>
        <v>1.1095937179924865E-2</v>
      </c>
      <c r="C1305" s="25">
        <f>'Daily Returns'!C1305</f>
        <v>-2.4894633575127307E-3</v>
      </c>
      <c r="D1305" s="25">
        <f>'Daily Returns'!D1305</f>
        <v>7.3890495204002654E-3</v>
      </c>
      <c r="E1305" s="25">
        <f>'Daily Returns'!E1305</f>
        <v>-4.2523935628437969E-3</v>
      </c>
    </row>
    <row r="1306" spans="1:5" ht="15" customHeight="1" x14ac:dyDescent="0.3">
      <c r="A1306" s="26">
        <f>'Daily Returns'!F1306</f>
        <v>7.6602485421423741E-3</v>
      </c>
      <c r="B1306" s="26">
        <f>'Daily Returns'!B1306</f>
        <v>-1.9669086611514421E-2</v>
      </c>
      <c r="C1306" s="26">
        <f>'Daily Returns'!C1306</f>
        <v>-9.6780263995067299E-4</v>
      </c>
      <c r="D1306" s="26">
        <f>'Daily Returns'!D1306</f>
        <v>-1.0888382687927045E-2</v>
      </c>
      <c r="E1306" s="26">
        <f>'Daily Returns'!E1306</f>
        <v>-1.5854750031965338E-3</v>
      </c>
    </row>
    <row r="1307" spans="1:5" ht="15" customHeight="1" x14ac:dyDescent="0.3">
      <c r="A1307" s="25">
        <f>'Daily Returns'!F1307</f>
        <v>1.9000441455970657E-3</v>
      </c>
      <c r="B1307" s="25">
        <f>'Daily Returns'!B1307</f>
        <v>-6.3721691208128385E-3</v>
      </c>
      <c r="C1307" s="25">
        <f>'Daily Returns'!C1307</f>
        <v>1.0301834327488118E-2</v>
      </c>
      <c r="D1307" s="25">
        <f>'Daily Returns'!D1307</f>
        <v>4.7441389157568637E-3</v>
      </c>
      <c r="E1307" s="25">
        <f>'Daily Returns'!E1307</f>
        <v>-2.4870015111543631E-2</v>
      </c>
    </row>
    <row r="1308" spans="1:5" ht="15" customHeight="1" x14ac:dyDescent="0.3">
      <c r="A1308" s="26">
        <f>'Daily Returns'!F1308</f>
        <v>1.432515683624299E-3</v>
      </c>
      <c r="B1308" s="26">
        <f>'Daily Returns'!B1308</f>
        <v>-1.5252621544327976E-2</v>
      </c>
      <c r="C1308" s="26">
        <f>'Daily Returns'!C1308</f>
        <v>-2.0455725871965234E-2</v>
      </c>
      <c r="D1308" s="26">
        <f>'Daily Returns'!D1308</f>
        <v>-1.9712111488034219E-3</v>
      </c>
      <c r="E1308" s="26">
        <f>'Daily Returns'!E1308</f>
        <v>-1.4288716116831409E-2</v>
      </c>
    </row>
    <row r="1309" spans="1:5" ht="15" customHeight="1" x14ac:dyDescent="0.3">
      <c r="A1309" s="25">
        <f>'Daily Returns'!F1309</f>
        <v>-2.1025622136570162E-2</v>
      </c>
      <c r="B1309" s="25">
        <f>'Daily Returns'!B1309</f>
        <v>-8.5364780427703863E-3</v>
      </c>
      <c r="C1309" s="25">
        <f>'Daily Returns'!C1309</f>
        <v>-1.6523232680289511E-2</v>
      </c>
      <c r="D1309" s="25">
        <f>'Daily Returns'!D1309</f>
        <v>-8.1760139635294708E-3</v>
      </c>
      <c r="E1309" s="25">
        <f>'Daily Returns'!E1309</f>
        <v>-4.769771903645182E-3</v>
      </c>
    </row>
    <row r="1310" spans="1:5" ht="15" customHeight="1" x14ac:dyDescent="0.3">
      <c r="A1310" s="26">
        <f>'Daily Returns'!F1310</f>
        <v>-6.8540729752117049E-3</v>
      </c>
      <c r="B1310" s="26">
        <f>'Daily Returns'!B1310</f>
        <v>-1.1184093733356923E-2</v>
      </c>
      <c r="C1310" s="26">
        <f>'Daily Returns'!C1310</f>
        <v>3.6527765617727963E-2</v>
      </c>
      <c r="D1310" s="26">
        <f>'Daily Returns'!D1310</f>
        <v>5.3258000277868088E-3</v>
      </c>
      <c r="E1310" s="26">
        <f>'Daily Returns'!E1310</f>
        <v>-2.1258935982221741E-2</v>
      </c>
    </row>
    <row r="1311" spans="1:5" ht="15" customHeight="1" x14ac:dyDescent="0.3">
      <c r="A1311" s="25">
        <f>'Daily Returns'!F1311</f>
        <v>-8.7497966774407222E-3</v>
      </c>
      <c r="B1311" s="25">
        <f>'Daily Returns'!B1311</f>
        <v>-8.1687612208259496E-3</v>
      </c>
      <c r="C1311" s="25">
        <f>'Daily Returns'!C1311</f>
        <v>9.5314306037165702E-3</v>
      </c>
      <c r="D1311" s="25">
        <f>'Daily Returns'!D1311</f>
        <v>-9.7659848903630195E-3</v>
      </c>
      <c r="E1311" s="25">
        <f>'Daily Returns'!E1311</f>
        <v>2.1884831076460437E-3</v>
      </c>
    </row>
    <row r="1312" spans="1:5" ht="15" customHeight="1" x14ac:dyDescent="0.3">
      <c r="A1312" s="26">
        <f>'Daily Returns'!F1312</f>
        <v>1.6627858379604715E-2</v>
      </c>
      <c r="B1312" s="26">
        <f>'Daily Returns'!B1312</f>
        <v>1.0317675807765414E-2</v>
      </c>
      <c r="C1312" s="26">
        <f>'Daily Returns'!C1312</f>
        <v>-5.768790403551269E-3</v>
      </c>
      <c r="D1312" s="26">
        <f>'Daily Returns'!D1312</f>
        <v>-1.8701153703014561E-2</v>
      </c>
      <c r="E1312" s="26">
        <f>'Daily Returns'!E1312</f>
        <v>-2.1373003957963807E-2</v>
      </c>
    </row>
    <row r="1313" spans="1:5" ht="15" customHeight="1" x14ac:dyDescent="0.3">
      <c r="A1313" s="25">
        <f>'Daily Returns'!F1313</f>
        <v>-1.2329437113249719E-2</v>
      </c>
      <c r="B1313" s="25">
        <f>'Daily Returns'!B1313</f>
        <v>4.3895010301890991E-3</v>
      </c>
      <c r="C1313" s="25">
        <f>'Daily Returns'!C1313</f>
        <v>1.1918998644662499E-2</v>
      </c>
      <c r="D1313" s="25">
        <f>'Daily Returns'!D1313</f>
        <v>-7.2532473689200776E-3</v>
      </c>
      <c r="E1313" s="25">
        <f>'Daily Returns'!E1313</f>
        <v>-1.3611514002008244E-2</v>
      </c>
    </row>
    <row r="1314" spans="1:5" ht="15" customHeight="1" x14ac:dyDescent="0.3">
      <c r="A1314" s="26">
        <f>'Daily Returns'!F1314</f>
        <v>1.5423861243006116E-2</v>
      </c>
      <c r="B1314" s="26">
        <f>'Daily Returns'!B1314</f>
        <v>9.0082054941133683E-3</v>
      </c>
      <c r="C1314" s="26">
        <f>'Daily Returns'!C1314</f>
        <v>-4.6396603418464335E-4</v>
      </c>
      <c r="D1314" s="26">
        <f>'Daily Returns'!D1314</f>
        <v>-1.9340050618404006E-2</v>
      </c>
      <c r="E1314" s="26">
        <f>'Daily Returns'!E1314</f>
        <v>-1.4591109602985998E-2</v>
      </c>
    </row>
    <row r="1315" spans="1:5" ht="15" customHeight="1" x14ac:dyDescent="0.3">
      <c r="A1315" s="25">
        <f>'Daily Returns'!F1315</f>
        <v>-1.0393566924392261E-2</v>
      </c>
      <c r="B1315" s="25">
        <f>'Daily Returns'!B1315</f>
        <v>1.5468929550075136E-2</v>
      </c>
      <c r="C1315" s="25">
        <f>'Daily Returns'!C1315</f>
        <v>-3.9118230505475991E-2</v>
      </c>
      <c r="D1315" s="25">
        <f>'Daily Returns'!D1315</f>
        <v>2.678223607323641E-3</v>
      </c>
      <c r="E1315" s="25">
        <f>'Daily Returns'!E1315</f>
        <v>-3.0905647382920221E-2</v>
      </c>
    </row>
    <row r="1316" spans="1:5" ht="15" customHeight="1" x14ac:dyDescent="0.3">
      <c r="A1316" s="26">
        <f>'Daily Returns'!F1316</f>
        <v>-1.614079218216428E-3</v>
      </c>
      <c r="B1316" s="26">
        <f>'Daily Returns'!B1316</f>
        <v>-4.787604456824488E-3</v>
      </c>
      <c r="C1316" s="26">
        <f>'Daily Returns'!C1316</f>
        <v>3.4407955301558276E-3</v>
      </c>
      <c r="D1316" s="26">
        <f>'Daily Returns'!D1316</f>
        <v>-9.1787674226603191E-3</v>
      </c>
      <c r="E1316" s="26">
        <f>'Daily Returns'!E1316</f>
        <v>-2.9344704036007134E-2</v>
      </c>
    </row>
    <row r="1317" spans="1:5" ht="15" customHeight="1" x14ac:dyDescent="0.3">
      <c r="A1317" s="25">
        <f>'Daily Returns'!F1317</f>
        <v>-4.2096194958499153E-3</v>
      </c>
      <c r="B1317" s="25">
        <f>'Daily Returns'!B1317</f>
        <v>1.3994577101372921E-3</v>
      </c>
      <c r="C1317" s="25">
        <f>'Daily Returns'!C1317</f>
        <v>-1.5532675389793274E-3</v>
      </c>
      <c r="D1317" s="25">
        <f>'Daily Returns'!D1317</f>
        <v>-1.9507891383197813E-2</v>
      </c>
      <c r="E1317" s="25">
        <f>'Daily Returns'!E1317</f>
        <v>2.7455765710798575E-3</v>
      </c>
    </row>
    <row r="1318" spans="1:5" ht="15" customHeight="1" x14ac:dyDescent="0.3">
      <c r="A1318" s="26">
        <f>'Daily Returns'!F1318</f>
        <v>-5.9491269559045924E-3</v>
      </c>
      <c r="B1318" s="26">
        <f>'Daily Returns'!B1318</f>
        <v>7.7736046816315888E-3</v>
      </c>
      <c r="C1318" s="26">
        <f>'Daily Returns'!C1318</f>
        <v>6.7549433903901996E-3</v>
      </c>
      <c r="D1318" s="26">
        <f>'Daily Returns'!D1318</f>
        <v>6.1487702459509007E-3</v>
      </c>
      <c r="E1318" s="26">
        <f>'Daily Returns'!E1318</f>
        <v>-1.9014298752662001E-2</v>
      </c>
    </row>
    <row r="1319" spans="1:5" ht="15" customHeight="1" x14ac:dyDescent="0.3">
      <c r="A1319" s="25">
        <f>'Daily Returns'!F1319</f>
        <v>-1.7317295996189325E-2</v>
      </c>
      <c r="B1319" s="25">
        <f>'Daily Returns'!B1319</f>
        <v>2.3920956838273576E-2</v>
      </c>
      <c r="C1319" s="25">
        <f>'Daily Returns'!C1319</f>
        <v>-1.3071334333375432E-2</v>
      </c>
      <c r="D1319" s="25">
        <f>'Daily Returns'!D1319</f>
        <v>6.7074079594574166E-3</v>
      </c>
      <c r="E1319" s="25">
        <f>'Daily Returns'!E1319</f>
        <v>-3.0082183284229199E-3</v>
      </c>
    </row>
    <row r="1320" spans="1:5" ht="15" customHeight="1" x14ac:dyDescent="0.3">
      <c r="A1320" s="26">
        <f>'Daily Returns'!F1320</f>
        <v>1.6127911787329547E-2</v>
      </c>
      <c r="B1320" s="26">
        <f>'Daily Returns'!B1320</f>
        <v>1.278144574233964E-2</v>
      </c>
      <c r="C1320" s="26">
        <f>'Daily Returns'!C1320</f>
        <v>-3.2916573197028145E-3</v>
      </c>
      <c r="D1320" s="26">
        <f>'Daily Returns'!D1320</f>
        <v>-2.5170269469943288E-3</v>
      </c>
      <c r="E1320" s="26">
        <f>'Daily Returns'!E1320</f>
        <v>-2.2707477914645333E-3</v>
      </c>
    </row>
    <row r="1321" spans="1:5" ht="15" customHeight="1" x14ac:dyDescent="0.3">
      <c r="A1321" s="25">
        <f>'Daily Returns'!F1321</f>
        <v>1.3103275350965955E-2</v>
      </c>
      <c r="B1321" s="25">
        <f>'Daily Returns'!B1321</f>
        <v>1.9473464270789789E-2</v>
      </c>
      <c r="C1321" s="25">
        <f>'Daily Returns'!C1321</f>
        <v>2.0738406702432613E-2</v>
      </c>
      <c r="D1321" s="25">
        <f>'Daily Returns'!D1321</f>
        <v>-4.205630597199657E-3</v>
      </c>
      <c r="E1321" s="25">
        <f>'Daily Returns'!E1321</f>
        <v>6.7342166796571321E-3</v>
      </c>
    </row>
    <row r="1322" spans="1:5" ht="15" customHeight="1" x14ac:dyDescent="0.3">
      <c r="A1322" s="26">
        <f>'Daily Returns'!F1322</f>
        <v>1.4013517578959994E-2</v>
      </c>
      <c r="B1322" s="26">
        <f>'Daily Returns'!B1322</f>
        <v>1.4428594851614945E-2</v>
      </c>
      <c r="C1322" s="26">
        <f>'Daily Returns'!C1322</f>
        <v>-2.0654555927048222E-3</v>
      </c>
      <c r="D1322" s="26">
        <f>'Daily Returns'!D1322</f>
        <v>1.4806717678624756E-2</v>
      </c>
      <c r="E1322" s="26">
        <f>'Daily Returns'!E1322</f>
        <v>1.5824842835464856E-2</v>
      </c>
    </row>
    <row r="1323" spans="1:5" ht="15" customHeight="1" x14ac:dyDescent="0.3">
      <c r="A1323" s="25">
        <f>'Daily Returns'!F1323</f>
        <v>1.1320147933751391E-2</v>
      </c>
      <c r="B1323" s="25">
        <f>'Daily Returns'!B1323</f>
        <v>1.5031517698399867E-2</v>
      </c>
      <c r="C1323" s="25">
        <f>'Daily Returns'!C1323</f>
        <v>-6.9712492334331544E-3</v>
      </c>
      <c r="D1323" s="25">
        <f>'Daily Returns'!D1323</f>
        <v>-3.8679984332159246E-3</v>
      </c>
      <c r="E1323" s="25">
        <f>'Daily Returns'!E1323</f>
        <v>-1.1767575147856707E-2</v>
      </c>
    </row>
    <row r="1324" spans="1:5" ht="15" customHeight="1" x14ac:dyDescent="0.3">
      <c r="A1324" s="26">
        <f>'Daily Returns'!F1324</f>
        <v>1.0698062305400206E-2</v>
      </c>
      <c r="B1324" s="26">
        <f>'Daily Returns'!B1324</f>
        <v>-2.4442675159235615E-2</v>
      </c>
      <c r="C1324" s="26">
        <f>'Daily Returns'!C1324</f>
        <v>7.0338113358339484E-3</v>
      </c>
      <c r="D1324" s="26">
        <f>'Daily Returns'!D1324</f>
        <v>4.4236913246498196E-3</v>
      </c>
      <c r="E1324" s="26">
        <f>'Daily Returns'!E1324</f>
        <v>-2.1285784797630904E-2</v>
      </c>
    </row>
    <row r="1325" spans="1:5" ht="15" customHeight="1" x14ac:dyDescent="0.3">
      <c r="A1325" s="25">
        <f>'Daily Returns'!F1325</f>
        <v>1.4432033859219205E-2</v>
      </c>
      <c r="B1325" s="25">
        <f>'Daily Returns'!B1325</f>
        <v>1.2486737941728566E-2</v>
      </c>
      <c r="C1325" s="25">
        <f>'Daily Returns'!C1325</f>
        <v>-6.3579097357183353E-3</v>
      </c>
      <c r="D1325" s="25">
        <f>'Daily Returns'!D1325</f>
        <v>-1.7470026914607258E-2</v>
      </c>
      <c r="E1325" s="25">
        <f>'Daily Returns'!E1325</f>
        <v>4.1606253545987308E-3</v>
      </c>
    </row>
    <row r="1326" spans="1:5" ht="15" customHeight="1" x14ac:dyDescent="0.3">
      <c r="A1326" s="26">
        <f>'Daily Returns'!F1326</f>
        <v>-8.307446888042096E-3</v>
      </c>
      <c r="B1326" s="26">
        <f>'Daily Returns'!B1326</f>
        <v>3.3048524907302642E-3</v>
      </c>
      <c r="C1326" s="26">
        <f>'Daily Returns'!C1326</f>
        <v>1.9431750627379486E-2</v>
      </c>
      <c r="D1326" s="26">
        <f>'Daily Returns'!D1326</f>
        <v>9.2140651459308408E-3</v>
      </c>
      <c r="E1326" s="26">
        <f>'Daily Returns'!E1326</f>
        <v>1.6636323686358249E-2</v>
      </c>
    </row>
    <row r="1327" spans="1:5" ht="15" customHeight="1" x14ac:dyDescent="0.3">
      <c r="A1327" s="25">
        <f>'Daily Returns'!F1327</f>
        <v>6.8315403153800039E-3</v>
      </c>
      <c r="B1327" s="25">
        <f>'Daily Returns'!B1327</f>
        <v>1.0444283763155415E-3</v>
      </c>
      <c r="C1327" s="25">
        <f>'Daily Returns'!C1327</f>
        <v>-2.483941186682838E-3</v>
      </c>
      <c r="D1327" s="25">
        <f>'Daily Returns'!D1327</f>
        <v>-1.8753392883580687E-3</v>
      </c>
      <c r="E1327" s="25">
        <f>'Daily Returns'!E1327</f>
        <v>-6.0516240582931318E-3</v>
      </c>
    </row>
    <row r="1328" spans="1:5" ht="15" customHeight="1" x14ac:dyDescent="0.3">
      <c r="A1328" s="26">
        <f>'Daily Returns'!F1328</f>
        <v>1.684060116301082E-2</v>
      </c>
      <c r="B1328" s="26">
        <f>'Daily Returns'!B1328</f>
        <v>-6.9823434991973547E-3</v>
      </c>
      <c r="C1328" s="26">
        <f>'Daily Returns'!C1328</f>
        <v>7.0062699422095516E-3</v>
      </c>
      <c r="D1328" s="26">
        <f>'Daily Returns'!D1328</f>
        <v>8.553770086526526E-3</v>
      </c>
      <c r="E1328" s="26">
        <f>'Daily Returns'!E1328</f>
        <v>-7.7659045725646117E-4</v>
      </c>
    </row>
    <row r="1329" spans="1:5" ht="15" customHeight="1" x14ac:dyDescent="0.3">
      <c r="A1329" s="25">
        <f>'Daily Returns'!F1329</f>
        <v>4.3495389209746013E-3</v>
      </c>
      <c r="B1329" s="25">
        <f>'Daily Returns'!B1329</f>
        <v>-5.5766588539561766E-3</v>
      </c>
      <c r="C1329" s="25">
        <f>'Daily Returns'!C1329</f>
        <v>-1.1823358666991775E-2</v>
      </c>
      <c r="D1329" s="25">
        <f>'Daily Returns'!D1329</f>
        <v>-3.9219531326599817E-3</v>
      </c>
      <c r="E1329" s="25">
        <f>'Daily Returns'!E1329</f>
        <v>-3.2020393571051994E-3</v>
      </c>
    </row>
    <row r="1330" spans="1:5" ht="15" customHeight="1" x14ac:dyDescent="0.3">
      <c r="A1330" s="26">
        <f>'Daily Returns'!F1330</f>
        <v>-1.6612864007471122E-3</v>
      </c>
      <c r="B1330" s="26">
        <f>'Daily Returns'!B1330</f>
        <v>6.0955786736020803E-3</v>
      </c>
      <c r="C1330" s="26">
        <f>'Daily Returns'!C1330</f>
        <v>-2.14138043921843E-2</v>
      </c>
      <c r="D1330" s="26">
        <f>'Daily Returns'!D1330</f>
        <v>-1.1418446697509563E-2</v>
      </c>
      <c r="E1330" s="26">
        <f>'Daily Returns'!E1330</f>
        <v>-2.4326347305388372E-3</v>
      </c>
    </row>
    <row r="1331" spans="1:5" ht="15" customHeight="1" x14ac:dyDescent="0.3">
      <c r="A1331" s="25">
        <f>'Daily Returns'!F1331</f>
        <v>-9.5922872853763629E-3</v>
      </c>
      <c r="B1331" s="25">
        <f>'Daily Returns'!B1331</f>
        <v>1.1955731480733417E-2</v>
      </c>
      <c r="C1331" s="25">
        <f>'Daily Returns'!C1331</f>
        <v>1.3280662841640249E-2</v>
      </c>
      <c r="D1331" s="25">
        <f>'Daily Returns'!D1331</f>
        <v>-1.8570148362043303E-2</v>
      </c>
      <c r="E1331" s="25">
        <f>'Daily Returns'!E1331</f>
        <v>1.24742074657663E-2</v>
      </c>
    </row>
    <row r="1332" spans="1:5" ht="15" customHeight="1" x14ac:dyDescent="0.3">
      <c r="A1332" s="26">
        <f>'Daily Returns'!F1332</f>
        <v>-2.6408982894974339E-3</v>
      </c>
      <c r="B1332" s="26">
        <f>'Daily Returns'!B1332</f>
        <v>-2.0435858545541648E-2</v>
      </c>
      <c r="C1332" s="26">
        <f>'Daily Returns'!C1332</f>
        <v>5.2145990683371175E-3</v>
      </c>
      <c r="D1332" s="26">
        <f>'Daily Returns'!D1332</f>
        <v>-2.8407649774260758E-3</v>
      </c>
      <c r="E1332" s="26">
        <f>'Daily Returns'!E1332</f>
        <v>-7.1638104060523389E-3</v>
      </c>
    </row>
    <row r="1333" spans="1:5" ht="15" customHeight="1" x14ac:dyDescent="0.3">
      <c r="A1333" s="25">
        <f>'Daily Returns'!F1333</f>
        <v>-4.931010776980993E-3</v>
      </c>
      <c r="B1333" s="25">
        <f>'Daily Returns'!B1333</f>
        <v>3.3412109852498642E-3</v>
      </c>
      <c r="C1333" s="25">
        <f>'Daily Returns'!C1333</f>
        <v>1.1841827024740828E-2</v>
      </c>
      <c r="D1333" s="25">
        <f>'Daily Returns'!D1333</f>
        <v>-6.8169100066134379E-3</v>
      </c>
      <c r="E1333" s="25">
        <f>'Daily Returns'!E1333</f>
        <v>1.188069542499938E-2</v>
      </c>
    </row>
    <row r="1334" spans="1:5" ht="15" customHeight="1" x14ac:dyDescent="0.3">
      <c r="A1334" s="26">
        <f>'Daily Returns'!F1334</f>
        <v>-3.3513672537783888E-2</v>
      </c>
      <c r="B1334" s="26">
        <f>'Daily Returns'!B1334</f>
        <v>-7.472384665367135E-3</v>
      </c>
      <c r="C1334" s="26">
        <f>'Daily Returns'!C1334</f>
        <v>1.3588563551879946E-2</v>
      </c>
      <c r="D1334" s="26">
        <f>'Daily Returns'!D1334</f>
        <v>-2.0027659683450272E-2</v>
      </c>
      <c r="E1334" s="26">
        <f>'Daily Returns'!E1334</f>
        <v>8.3294913170431206E-3</v>
      </c>
    </row>
    <row r="1335" spans="1:5" ht="15" customHeight="1" x14ac:dyDescent="0.3">
      <c r="A1335" s="25">
        <f>'Daily Returns'!F1335</f>
        <v>5.7371850902148795E-3</v>
      </c>
      <c r="B1335" s="25">
        <f>'Daily Returns'!B1335</f>
        <v>-1.2847790507365035E-2</v>
      </c>
      <c r="C1335" s="25">
        <f>'Daily Returns'!C1335</f>
        <v>-2.5321231317256887E-2</v>
      </c>
      <c r="D1335" s="25">
        <f>'Daily Returns'!D1335</f>
        <v>2.0071085093037861E-2</v>
      </c>
      <c r="E1335" s="25">
        <f>'Daily Returns'!E1335</f>
        <v>4.1090044504054193E-2</v>
      </c>
    </row>
    <row r="1336" spans="1:5" ht="15" customHeight="1" x14ac:dyDescent="0.3">
      <c r="A1336" s="26">
        <f>'Daily Returns'!F1336</f>
        <v>1.7651598613957625E-2</v>
      </c>
      <c r="B1336" s="26">
        <f>'Daily Returns'!B1336</f>
        <v>5.8028682748901836E-3</v>
      </c>
      <c r="C1336" s="26">
        <f>'Daily Returns'!C1336</f>
        <v>2.7095270030020758E-3</v>
      </c>
      <c r="D1336" s="26">
        <f>'Daily Returns'!D1336</f>
        <v>1.6550522648083571E-2</v>
      </c>
      <c r="E1336" s="26">
        <f>'Daily Returns'!E1336</f>
        <v>-1.3146337178661384E-2</v>
      </c>
    </row>
    <row r="1337" spans="1:5" ht="15" customHeight="1" x14ac:dyDescent="0.3">
      <c r="A1337" s="25">
        <f>'Daily Returns'!F1337</f>
        <v>7.4763697485689465E-3</v>
      </c>
      <c r="B1337" s="25">
        <f>'Daily Returns'!B1337</f>
        <v>-4.2858320283523949E-3</v>
      </c>
      <c r="C1337" s="25">
        <f>'Daily Returns'!C1337</f>
        <v>-3.4783038050821113E-2</v>
      </c>
      <c r="D1337" s="25">
        <f>'Daily Returns'!D1337</f>
        <v>-3.1654821311557904E-2</v>
      </c>
      <c r="E1337" s="25">
        <f>'Daily Returns'!E1337</f>
        <v>2.2222222222222247E-2</v>
      </c>
    </row>
    <row r="1338" spans="1:5" ht="15" customHeight="1" x14ac:dyDescent="0.3">
      <c r="A1338" s="26">
        <f>'Daily Returns'!F1338</f>
        <v>2.3679172827218648E-3</v>
      </c>
      <c r="B1338" s="26">
        <f>'Daily Returns'!B1338</f>
        <v>-8.774108103633823E-3</v>
      </c>
      <c r="C1338" s="26">
        <f>'Daily Returns'!C1338</f>
        <v>9.7520369061348065E-3</v>
      </c>
      <c r="D1338" s="26">
        <f>'Daily Returns'!D1338</f>
        <v>-3.3262193534954007E-2</v>
      </c>
      <c r="E1338" s="26">
        <f>'Daily Returns'!E1338</f>
        <v>1.5644047135310809E-2</v>
      </c>
    </row>
    <row r="1339" spans="1:5" ht="15" customHeight="1" x14ac:dyDescent="0.3">
      <c r="A1339" s="25">
        <f>'Daily Returns'!F1339</f>
        <v>-7.8621555273724174E-3</v>
      </c>
      <c r="B1339" s="25">
        <f>'Daily Returns'!B1339</f>
        <v>-1.0354906054279706E-2</v>
      </c>
      <c r="C1339" s="25">
        <f>'Daily Returns'!C1339</f>
        <v>-1.8551183858443482E-2</v>
      </c>
      <c r="D1339" s="25">
        <f>'Daily Returns'!D1339</f>
        <v>-2.3530045229377582E-2</v>
      </c>
      <c r="E1339" s="25">
        <f>'Daily Returns'!E1339</f>
        <v>-2.2633098048181109E-2</v>
      </c>
    </row>
    <row r="1340" spans="1:5" ht="15" customHeight="1" x14ac:dyDescent="0.3">
      <c r="A1340" s="26">
        <f>'Daily Returns'!F1340</f>
        <v>-2.3418145320492859E-3</v>
      </c>
      <c r="B1340" s="26">
        <f>'Daily Returns'!B1340</f>
        <v>4.2190532444519452E-3</v>
      </c>
      <c r="C1340" s="26">
        <f>'Daily Returns'!C1340</f>
        <v>8.8361856584436137E-3</v>
      </c>
      <c r="D1340" s="26">
        <f>'Daily Returns'!D1340</f>
        <v>2.8673835125448592E-3</v>
      </c>
      <c r="E1340" s="26">
        <f>'Daily Returns'!E1340</f>
        <v>1.1169264056606513E-2</v>
      </c>
    </row>
    <row r="1341" spans="1:5" ht="15" customHeight="1" x14ac:dyDescent="0.3">
      <c r="A1341" s="25">
        <f>'Daily Returns'!F1341</f>
        <v>1.6273533365201039E-2</v>
      </c>
      <c r="B1341" s="25">
        <f>'Daily Returns'!B1341</f>
        <v>1.6805310478107738E-4</v>
      </c>
      <c r="C1341" s="25">
        <f>'Daily Returns'!C1341</f>
        <v>1.3400997283518748E-2</v>
      </c>
      <c r="D1341" s="25">
        <f>'Daily Returns'!D1341</f>
        <v>4.2557871006763122E-2</v>
      </c>
      <c r="E1341" s="25">
        <f>'Daily Returns'!E1341</f>
        <v>1.2029031605123978E-2</v>
      </c>
    </row>
    <row r="1342" spans="1:5" ht="15" customHeight="1" x14ac:dyDescent="0.3">
      <c r="A1342" s="26">
        <f>'Daily Returns'!F1342</f>
        <v>-1.5149607860408138E-2</v>
      </c>
      <c r="B1342" s="26">
        <f>'Daily Returns'!B1342</f>
        <v>-1.4786188355876712E-2</v>
      </c>
      <c r="C1342" s="26">
        <f>'Daily Returns'!C1342</f>
        <v>-8.9183668785717263E-3</v>
      </c>
      <c r="D1342" s="26">
        <f>'Daily Returns'!D1342</f>
        <v>-1.8195242866937487E-2</v>
      </c>
      <c r="E1342" s="26">
        <f>'Daily Returns'!E1342</f>
        <v>-1.1028886539615456E-2</v>
      </c>
    </row>
    <row r="1343" spans="1:5" ht="15" customHeight="1" x14ac:dyDescent="0.3">
      <c r="A1343" s="25">
        <f>'Daily Returns'!F1343</f>
        <v>2.6043650615479835E-2</v>
      </c>
      <c r="B1343" s="25">
        <f>'Daily Returns'!B1343</f>
        <v>-1.1341349023620691E-2</v>
      </c>
      <c r="C1343" s="25">
        <f>'Daily Returns'!C1343</f>
        <v>1.8525208177031104E-4</v>
      </c>
      <c r="D1343" s="25">
        <f>'Daily Returns'!D1343</f>
        <v>-4.6196819939835904E-3</v>
      </c>
      <c r="E1343" s="25">
        <f>'Daily Returns'!E1343</f>
        <v>-4.6023170485077883E-2</v>
      </c>
    </row>
    <row r="1344" spans="1:5" ht="15" customHeight="1" x14ac:dyDescent="0.3">
      <c r="A1344" s="26">
        <f>'Daily Returns'!F1344</f>
        <v>-1.667446572894412E-2</v>
      </c>
      <c r="B1344" s="26">
        <f>'Daily Returns'!B1344</f>
        <v>-2.2425392444366992E-3</v>
      </c>
      <c r="C1344" s="26">
        <f>'Daily Returns'!C1344</f>
        <v>2.2156675711467719E-2</v>
      </c>
      <c r="D1344" s="26">
        <f>'Daily Returns'!D1344</f>
        <v>2.1424716675661083E-2</v>
      </c>
      <c r="E1344" s="26">
        <f>'Daily Returns'!E1344</f>
        <v>1.4566929133858274E-2</v>
      </c>
    </row>
    <row r="1345" spans="1:5" ht="15" customHeight="1" x14ac:dyDescent="0.3">
      <c r="A1345" s="25">
        <f>'Daily Returns'!F1345</f>
        <v>1.0127317307057314E-2</v>
      </c>
      <c r="B1345" s="25">
        <f>'Daily Returns'!B1345</f>
        <v>5.9647302904564112E-3</v>
      </c>
      <c r="C1345" s="25">
        <f>'Daily Returns'!C1345</f>
        <v>-2.857569978300948E-2</v>
      </c>
      <c r="D1345" s="25">
        <f>'Daily Returns'!D1345</f>
        <v>-7.4496750673640642E-3</v>
      </c>
      <c r="E1345" s="25">
        <f>'Daily Returns'!E1345</f>
        <v>-2.4029133458702761E-2</v>
      </c>
    </row>
    <row r="1346" spans="1:5" ht="15" customHeight="1" x14ac:dyDescent="0.3">
      <c r="A1346" s="26">
        <f>'Daily Returns'!F1346</f>
        <v>-7.2298689389737516E-3</v>
      </c>
      <c r="B1346" s="26">
        <f>'Daily Returns'!B1346</f>
        <v>-1.4264844891295099E-2</v>
      </c>
      <c r="C1346" s="26">
        <f>'Daily Returns'!C1346</f>
        <v>1.1947453588200069E-2</v>
      </c>
      <c r="D1346" s="26">
        <f>'Daily Returns'!D1346</f>
        <v>1.7992121792824417E-2</v>
      </c>
      <c r="E1346" s="26">
        <f>'Daily Returns'!E1346</f>
        <v>-2.7832150721799859E-3</v>
      </c>
    </row>
    <row r="1347" spans="1:5" ht="15" customHeight="1" x14ac:dyDescent="0.3">
      <c r="A1347" s="25">
        <f>'Daily Returns'!F1347</f>
        <v>-4.7255236430962565E-3</v>
      </c>
      <c r="B1347" s="25">
        <f>'Daily Returns'!B1347</f>
        <v>7.0612849795135763E-3</v>
      </c>
      <c r="C1347" s="25">
        <f>'Daily Returns'!C1347</f>
        <v>2.6820152902519842E-3</v>
      </c>
      <c r="D1347" s="25">
        <f>'Daily Returns'!D1347</f>
        <v>1.5111901275883634E-2</v>
      </c>
      <c r="E1347" s="25">
        <f>'Daily Returns'!E1347</f>
        <v>-3.3062413740223978E-2</v>
      </c>
    </row>
    <row r="1348" spans="1:5" ht="15" customHeight="1" x14ac:dyDescent="0.3">
      <c r="A1348" s="26">
        <f>'Daily Returns'!F1348</f>
        <v>-2.4051729376513942E-2</v>
      </c>
      <c r="B1348" s="26">
        <f>'Daily Returns'!B1348</f>
        <v>-1.108033240997231E-2</v>
      </c>
      <c r="C1348" s="26">
        <f>'Daily Returns'!C1348</f>
        <v>1.7317529402572945E-2</v>
      </c>
      <c r="D1348" s="26">
        <f>'Daily Returns'!D1348</f>
        <v>-5.1511873486791871E-5</v>
      </c>
      <c r="E1348" s="26">
        <f>'Daily Returns'!E1348</f>
        <v>1.1704253497002562E-2</v>
      </c>
    </row>
    <row r="1349" spans="1:5" ht="15" customHeight="1" x14ac:dyDescent="0.3">
      <c r="A1349" s="25">
        <f>'Daily Returns'!F1349</f>
        <v>1.112040789934703E-2</v>
      </c>
      <c r="B1349" s="25">
        <f>'Daily Returns'!B1349</f>
        <v>3.8165266106442573E-2</v>
      </c>
      <c r="C1349" s="25">
        <f>'Daily Returns'!C1349</f>
        <v>-2.8538384737362862E-2</v>
      </c>
      <c r="D1349" s="25">
        <f>'Daily Returns'!D1349</f>
        <v>1.4269524005769533E-2</v>
      </c>
      <c r="E1349" s="25">
        <f>'Daily Returns'!E1349</f>
        <v>-3.4236267870579255E-2</v>
      </c>
    </row>
    <row r="1350" spans="1:5" ht="15" customHeight="1" x14ac:dyDescent="0.3">
      <c r="A1350" s="26">
        <f>'Daily Returns'!F1350</f>
        <v>5.2339652424480054E-3</v>
      </c>
      <c r="B1350" s="26">
        <f>'Daily Returns'!B1350</f>
        <v>-1.2731871838111222E-2</v>
      </c>
      <c r="C1350" s="26">
        <f>'Daily Returns'!C1350</f>
        <v>6.5571025977280537E-4</v>
      </c>
      <c r="D1350" s="26">
        <f>'Daily Returns'!D1350</f>
        <v>1.513535476662105E-2</v>
      </c>
      <c r="E1350" s="26">
        <f>'Daily Returns'!E1350</f>
        <v>-1.0615504479937796E-2</v>
      </c>
    </row>
    <row r="1351" spans="1:5" ht="15" customHeight="1" x14ac:dyDescent="0.3">
      <c r="A1351" s="25">
        <f>'Daily Returns'!F1351</f>
        <v>1.2552079821774186E-2</v>
      </c>
      <c r="B1351" s="25">
        <f>'Daily Returns'!B1351</f>
        <v>-1.0675548723204373E-2</v>
      </c>
      <c r="C1351" s="25">
        <f>'Daily Returns'!C1351</f>
        <v>2.0072034390612319E-2</v>
      </c>
      <c r="D1351" s="25">
        <f>'Daily Returns'!D1351</f>
        <v>-2.1714114174213255E-2</v>
      </c>
      <c r="E1351" s="25">
        <f>'Daily Returns'!E1351</f>
        <v>-1.0204416445188033E-2</v>
      </c>
    </row>
    <row r="1352" spans="1:5" ht="15" customHeight="1" x14ac:dyDescent="0.3">
      <c r="A1352" s="26">
        <f>'Daily Returns'!F1352</f>
        <v>-5.2570833694307378E-3</v>
      </c>
      <c r="B1352" s="26">
        <f>'Daily Returns'!B1352</f>
        <v>3.0214088397789562E-3</v>
      </c>
      <c r="C1352" s="26">
        <f>'Daily Returns'!C1352</f>
        <v>2.4570147703354004E-2</v>
      </c>
      <c r="D1352" s="26">
        <f>'Daily Returns'!D1352</f>
        <v>-2.3525801667263744E-3</v>
      </c>
      <c r="E1352" s="26">
        <f>'Daily Returns'!E1352</f>
        <v>3.6464894251792343E-4</v>
      </c>
    </row>
    <row r="1353" spans="1:5" ht="15" customHeight="1" x14ac:dyDescent="0.3">
      <c r="A1353" s="25">
        <f>'Daily Returns'!F1353</f>
        <v>1.5544560762287586E-2</v>
      </c>
      <c r="B1353" s="25">
        <f>'Daily Returns'!B1353</f>
        <v>-1.222136156295724E-2</v>
      </c>
      <c r="C1353" s="25">
        <f>'Daily Returns'!C1353</f>
        <v>-1.2975405425836015E-2</v>
      </c>
      <c r="D1353" s="25">
        <f>'Daily Returns'!D1353</f>
        <v>-9.4837750551083934E-3</v>
      </c>
      <c r="E1353" s="25">
        <f>'Daily Returns'!E1353</f>
        <v>-2.7570666401564085E-2</v>
      </c>
    </row>
    <row r="1354" spans="1:5" ht="15" customHeight="1" x14ac:dyDescent="0.3">
      <c r="A1354" s="26">
        <f>'Daily Returns'!F1354</f>
        <v>2.4579336666215048E-3</v>
      </c>
      <c r="B1354" s="26">
        <f>'Daily Returns'!B1354</f>
        <v>1.1849786529580896E-2</v>
      </c>
      <c r="C1354" s="26">
        <f>'Daily Returns'!C1354</f>
        <v>-4.3339385229468489E-3</v>
      </c>
      <c r="D1354" s="26">
        <f>'Daily Returns'!D1354</f>
        <v>8.7982610495801418E-4</v>
      </c>
      <c r="E1354" s="26">
        <f>'Daily Returns'!E1354</f>
        <v>9.1668086556483137E-3</v>
      </c>
    </row>
    <row r="1355" spans="1:5" ht="15" customHeight="1" x14ac:dyDescent="0.3">
      <c r="A1355" s="25">
        <f>'Daily Returns'!F1355</f>
        <v>-1.6008450170981224E-3</v>
      </c>
      <c r="B1355" s="25">
        <f>'Daily Returns'!B1355</f>
        <v>2.5230345302678092E-2</v>
      </c>
      <c r="C1355" s="25">
        <f>'Daily Returns'!C1355</f>
        <v>3.3075875424760259E-2</v>
      </c>
      <c r="D1355" s="25">
        <f>'Daily Returns'!D1355</f>
        <v>-1.8718651429753225E-2</v>
      </c>
      <c r="E1355" s="25">
        <f>'Daily Returns'!E1355</f>
        <v>9.623826568514968E-3</v>
      </c>
    </row>
    <row r="1356" spans="1:5" ht="15" customHeight="1" x14ac:dyDescent="0.3">
      <c r="A1356" s="26">
        <f>'Daily Returns'!F1356</f>
        <v>-5.2698200255640445E-3</v>
      </c>
      <c r="B1356" s="26">
        <f>'Daily Returns'!B1356</f>
        <v>-5.0394758945070429E-3</v>
      </c>
      <c r="C1356" s="26">
        <f>'Daily Returns'!C1356</f>
        <v>-2.4448464196709034E-2</v>
      </c>
      <c r="D1356" s="26">
        <f>'Daily Returns'!D1356</f>
        <v>-1.5334352110449473E-2</v>
      </c>
      <c r="E1356" s="26">
        <f>'Daily Returns'!E1356</f>
        <v>-6.38817351750903E-3</v>
      </c>
    </row>
    <row r="1357" spans="1:5" ht="15" customHeight="1" x14ac:dyDescent="0.3">
      <c r="A1357" s="25">
        <f>'Daily Returns'!F1357</f>
        <v>1.4417991842761144E-2</v>
      </c>
      <c r="B1357" s="25">
        <f>'Daily Returns'!B1357</f>
        <v>2.7013337835556932E-3</v>
      </c>
      <c r="C1357" s="25">
        <f>'Daily Returns'!C1357</f>
        <v>-2.11013087300963E-4</v>
      </c>
      <c r="D1357" s="25">
        <f>'Daily Returns'!D1357</f>
        <v>1.2843840308251133E-3</v>
      </c>
      <c r="E1357" s="25">
        <f>'Daily Returns'!E1357</f>
        <v>-4.9145011444728008E-3</v>
      </c>
    </row>
    <row r="1358" spans="1:5" ht="15" customHeight="1" x14ac:dyDescent="0.3">
      <c r="A1358" s="26">
        <f>'Daily Returns'!F1358</f>
        <v>4.4848745356216614E-3</v>
      </c>
      <c r="B1358" s="26">
        <f>'Daily Returns'!B1358</f>
        <v>-6.8193298535107107E-3</v>
      </c>
      <c r="C1358" s="26">
        <f>'Daily Returns'!C1358</f>
        <v>3.7226972266130027E-3</v>
      </c>
      <c r="D1358" s="26">
        <f>'Daily Returns'!D1358</f>
        <v>2.6723677177985765E-4</v>
      </c>
      <c r="E1358" s="26">
        <f>'Daily Returns'!E1358</f>
        <v>-5.1552668966917015E-2</v>
      </c>
    </row>
    <row r="1359" spans="1:5" ht="15" customHeight="1" x14ac:dyDescent="0.3">
      <c r="A1359" s="25">
        <f>'Daily Returns'!F1359</f>
        <v>5.1599996367058497E-3</v>
      </c>
      <c r="B1359" s="25">
        <f>'Daily Returns'!B1359</f>
        <v>2.5430194117149389E-4</v>
      </c>
      <c r="C1359" s="25">
        <f>'Daily Returns'!C1359</f>
        <v>3.6820465557429716E-3</v>
      </c>
      <c r="D1359" s="25">
        <f>'Daily Returns'!D1359</f>
        <v>2.2228159230563701E-2</v>
      </c>
      <c r="E1359" s="25">
        <f>'Daily Returns'!E1359</f>
        <v>3.0815322062914569E-2</v>
      </c>
    </row>
    <row r="1360" spans="1:5" ht="15" customHeight="1" x14ac:dyDescent="0.3">
      <c r="A1360" s="26">
        <f>'Daily Returns'!F1360</f>
        <v>-1.6413923989705533E-2</v>
      </c>
      <c r="B1360" s="26">
        <f>'Daily Returns'!B1360</f>
        <v>2.0169491525423692E-2</v>
      </c>
      <c r="C1360" s="26">
        <f>'Daily Returns'!C1360</f>
        <v>-1.588214317553718E-2</v>
      </c>
      <c r="D1360" s="26">
        <f>'Daily Returns'!D1360</f>
        <v>3.7112539856777376E-3</v>
      </c>
      <c r="E1360" s="26">
        <f>'Daily Returns'!E1360</f>
        <v>-3.8059649851220189E-3</v>
      </c>
    </row>
    <row r="1361" spans="1:5" ht="15" customHeight="1" x14ac:dyDescent="0.3">
      <c r="A1361" s="25">
        <f>'Daily Returns'!F1361</f>
        <v>-3.0845495162060973E-4</v>
      </c>
      <c r="B1361" s="25">
        <f>'Daily Returns'!B1361</f>
        <v>1.2709752450573195E-2</v>
      </c>
      <c r="C1361" s="25">
        <f>'Daily Returns'!C1361</f>
        <v>1.7606000625065062E-2</v>
      </c>
      <c r="D1361" s="25">
        <f>'Daily Returns'!D1361</f>
        <v>2.296635767107591E-2</v>
      </c>
      <c r="E1361" s="25">
        <f>'Daily Returns'!E1361</f>
        <v>1.2711864406779549E-2</v>
      </c>
    </row>
    <row r="1362" spans="1:5" ht="15" customHeight="1" x14ac:dyDescent="0.3">
      <c r="A1362" s="26">
        <f>'Daily Returns'!F1362</f>
        <v>-1.1037470638256866E-2</v>
      </c>
      <c r="B1362" s="26">
        <f>'Daily Returns'!B1362</f>
        <v>-1.2222131080305102E-2</v>
      </c>
      <c r="C1362" s="26">
        <f>'Daily Returns'!C1362</f>
        <v>1.6264288003418424E-2</v>
      </c>
      <c r="D1362" s="26">
        <f>'Daily Returns'!D1362</f>
        <v>2.1025301634169911E-2</v>
      </c>
      <c r="E1362" s="26">
        <f>'Daily Returns'!E1362</f>
        <v>3.9440290829276152E-3</v>
      </c>
    </row>
    <row r="1363" spans="1:5" ht="15" customHeight="1" x14ac:dyDescent="0.3">
      <c r="A1363" s="25">
        <f>'Daily Returns'!F1363</f>
        <v>-8.7842500696000466E-3</v>
      </c>
      <c r="B1363" s="25">
        <f>'Daily Returns'!B1363</f>
        <v>2.1757183192160807E-2</v>
      </c>
      <c r="C1363" s="25">
        <f>'Daily Returns'!C1363</f>
        <v>3.2629928433150254E-2</v>
      </c>
      <c r="D1363" s="25">
        <f>'Daily Returns'!D1363</f>
        <v>1.8348623853211041E-2</v>
      </c>
      <c r="E1363" s="25">
        <f>'Daily Returns'!E1363</f>
        <v>1.5030915861032272E-3</v>
      </c>
    </row>
    <row r="1364" spans="1:5" ht="15" customHeight="1" x14ac:dyDescent="0.3">
      <c r="A1364" s="26">
        <f>'Daily Returns'!F1364</f>
        <v>-2.0656533216323329E-2</v>
      </c>
      <c r="B1364" s="26">
        <f>'Daily Returns'!B1364</f>
        <v>1.6417425227568238E-2</v>
      </c>
      <c r="C1364" s="26">
        <f>'Daily Returns'!C1364</f>
        <v>-1.3390281972108052E-2</v>
      </c>
      <c r="D1364" s="26">
        <f>'Daily Returns'!D1364</f>
        <v>-5.5278104191147766E-2</v>
      </c>
      <c r="E1364" s="26">
        <f>'Daily Returns'!E1364</f>
        <v>1.3507521233413989E-2</v>
      </c>
    </row>
    <row r="1365" spans="1:5" ht="15" customHeight="1" x14ac:dyDescent="0.3">
      <c r="A1365" s="25">
        <f>'Daily Returns'!F1365</f>
        <v>7.0696433314685943E-3</v>
      </c>
      <c r="B1365" s="25">
        <f>'Daily Returns'!B1365</f>
        <v>7.1165840396609668E-3</v>
      </c>
      <c r="C1365" s="25">
        <f>'Daily Returns'!C1365</f>
        <v>-7.9016039654187069E-3</v>
      </c>
      <c r="D1365" s="25">
        <f>'Daily Returns'!D1365</f>
        <v>-1.1816532780513093E-2</v>
      </c>
      <c r="E1365" s="25">
        <f>'Daily Returns'!E1365</f>
        <v>-1.1611079325547701E-2</v>
      </c>
    </row>
    <row r="1366" spans="1:5" ht="15" customHeight="1" x14ac:dyDescent="0.3">
      <c r="A1366" s="26">
        <f>'Daily Returns'!F1366</f>
        <v>-8.5616172317359233E-4</v>
      </c>
      <c r="B1366" s="26">
        <f>'Daily Returns'!B1366</f>
        <v>-8.8130210400952716E-3</v>
      </c>
      <c r="C1366" s="26">
        <f>'Daily Returns'!C1366</f>
        <v>1.9937341023429849E-2</v>
      </c>
      <c r="D1366" s="26">
        <f>'Daily Returns'!D1366</f>
        <v>7.7096554256044416E-3</v>
      </c>
      <c r="E1366" s="26">
        <f>'Daily Returns'!E1366</f>
        <v>1.9749387087986962E-2</v>
      </c>
    </row>
    <row r="1367" spans="1:5" ht="15" customHeight="1" x14ac:dyDescent="0.3">
      <c r="A1367" s="25">
        <f>'Daily Returns'!F1367</f>
        <v>4.0814123772361005E-4</v>
      </c>
      <c r="B1367" s="25">
        <f>'Daily Returns'!B1367</f>
        <v>1.2015379685997394E-3</v>
      </c>
      <c r="C1367" s="25">
        <f>'Daily Returns'!C1367</f>
        <v>3.2616176807973879E-2</v>
      </c>
      <c r="D1367" s="25">
        <f>'Daily Returns'!D1367</f>
        <v>-2.045383574476933E-2</v>
      </c>
      <c r="E1367" s="25">
        <f>'Daily Returns'!E1367</f>
        <v>3.0252437558434625E-2</v>
      </c>
    </row>
    <row r="1368" spans="1:5" ht="15" customHeight="1" x14ac:dyDescent="0.3">
      <c r="A1368" s="26">
        <f>'Daily Returns'!F1368</f>
        <v>-1.0807398624406507E-2</v>
      </c>
      <c r="B1368" s="26">
        <f>'Daily Returns'!B1368</f>
        <v>-1.0720857668613403E-2</v>
      </c>
      <c r="C1368" s="26">
        <f>'Daily Returns'!C1368</f>
        <v>4.1966500857843896E-4</v>
      </c>
      <c r="D1368" s="26">
        <f>'Daily Returns'!D1368</f>
        <v>-7.9166888050582283E-3</v>
      </c>
      <c r="E1368" s="26">
        <f>'Daily Returns'!E1368</f>
        <v>4.245802813249505E-3</v>
      </c>
    </row>
    <row r="1369" spans="1:5" ht="15" customHeight="1" x14ac:dyDescent="0.3">
      <c r="A1369" s="25">
        <f>'Daily Returns'!F1369</f>
        <v>2.4631306827256594E-3</v>
      </c>
      <c r="B1369" s="25">
        <f>'Daily Returns'!B1369</f>
        <v>6.7933683784875791E-3</v>
      </c>
      <c r="C1369" s="25">
        <f>'Daily Returns'!C1369</f>
        <v>-2.6357889888259715E-2</v>
      </c>
      <c r="D1369" s="25">
        <f>'Daily Returns'!D1369</f>
        <v>1.0925449871465253E-2</v>
      </c>
      <c r="E1369" s="25">
        <f>'Daily Returns'!E1369</f>
        <v>-2.4850734226239748E-3</v>
      </c>
    </row>
    <row r="1370" spans="1:5" ht="15" customHeight="1" x14ac:dyDescent="0.3">
      <c r="A1370" s="26">
        <f>'Daily Returns'!F1370</f>
        <v>-1.092481605104465E-2</v>
      </c>
      <c r="B1370" s="26">
        <f>'Daily Returns'!B1370</f>
        <v>-4.0967145955497705E-3</v>
      </c>
      <c r="C1370" s="26">
        <f>'Daily Returns'!C1370</f>
        <v>-3.2144426046700771E-3</v>
      </c>
      <c r="D1370" s="26">
        <f>'Daily Returns'!D1370</f>
        <v>1.1655011655011594E-3</v>
      </c>
      <c r="E1370" s="26">
        <f>'Daily Returns'!E1370</f>
        <v>1.8959492687977267E-2</v>
      </c>
    </row>
    <row r="1371" spans="1:5" ht="15" customHeight="1" x14ac:dyDescent="0.3">
      <c r="A1371" s="25">
        <f>'Daily Returns'!F1371</f>
        <v>-6.1657982592573126E-4</v>
      </c>
      <c r="B1371" s="25">
        <f>'Daily Returns'!B1371</f>
        <v>-3.0650104855621852E-2</v>
      </c>
      <c r="C1371" s="25">
        <f>'Daily Returns'!C1371</f>
        <v>1.7611438112067373E-2</v>
      </c>
      <c r="D1371" s="25">
        <f>'Daily Returns'!D1371</f>
        <v>-5.0799026351993843E-3</v>
      </c>
      <c r="E1371" s="25">
        <f>'Daily Returns'!E1371</f>
        <v>8.287292817679601E-3</v>
      </c>
    </row>
    <row r="1372" spans="1:5" ht="15" customHeight="1" x14ac:dyDescent="0.3">
      <c r="A1372" s="26">
        <f>'Daily Returns'!F1372</f>
        <v>7.5236686429169409E-3</v>
      </c>
      <c r="B1372" s="26">
        <f>'Daily Returns'!B1372</f>
        <v>1.3146946247295708E-2</v>
      </c>
      <c r="C1372" s="26">
        <f>'Daily Returns'!C1372</f>
        <v>1.255522843020088E-2</v>
      </c>
      <c r="D1372" s="26">
        <f>'Daily Returns'!D1372</f>
        <v>2.7656632273162368E-2</v>
      </c>
      <c r="E1372" s="26">
        <f>'Daily Returns'!E1372</f>
        <v>-6.61313179026932E-3</v>
      </c>
    </row>
    <row r="1373" spans="1:5" ht="15" customHeight="1" x14ac:dyDescent="0.3">
      <c r="A1373" s="25">
        <f>'Daily Returns'!F1373</f>
        <v>4.615701681276731E-3</v>
      </c>
      <c r="B1373" s="25">
        <f>'Daily Returns'!B1373</f>
        <v>3.0387647831799469E-3</v>
      </c>
      <c r="C1373" s="25">
        <f>'Daily Returns'!C1373</f>
        <v>2.0225865089613923E-2</v>
      </c>
      <c r="D1373" s="25">
        <f>'Daily Returns'!D1373</f>
        <v>-6.2622916882310734E-3</v>
      </c>
      <c r="E1373" s="25">
        <f>'Daily Returns'!E1373</f>
        <v>-5.9914407988587298E-3</v>
      </c>
    </row>
    <row r="1374" spans="1:5" ht="15" customHeight="1" x14ac:dyDescent="0.3">
      <c r="A1374" s="26">
        <f>'Daily Returns'!F1374</f>
        <v>7.0678581473902439E-3</v>
      </c>
      <c r="B1374" s="26">
        <f>'Daily Returns'!B1374</f>
        <v>1.5229673298943744E-2</v>
      </c>
      <c r="C1374" s="26">
        <f>'Daily Returns'!C1374</f>
        <v>3.4546422006514352E-2</v>
      </c>
      <c r="D1374" s="26">
        <f>'Daily Returns'!D1374</f>
        <v>1.7915733555543972E-2</v>
      </c>
      <c r="E1374" s="26">
        <f>'Daily Returns'!E1374</f>
        <v>2.8702640642938424E-3</v>
      </c>
    </row>
    <row r="1375" spans="1:5" ht="15" customHeight="1" x14ac:dyDescent="0.3">
      <c r="A1375" s="25">
        <f>'Daily Returns'!F1375</f>
        <v>-7.301575913401543E-3</v>
      </c>
      <c r="B1375" s="25">
        <f>'Daily Returns'!B1375</f>
        <v>-1.5323816436809236E-3</v>
      </c>
      <c r="C1375" s="25">
        <f>'Daily Returns'!C1375</f>
        <v>-7.013661053140172E-3</v>
      </c>
      <c r="D1375" s="25">
        <f>'Daily Returns'!D1375</f>
        <v>-3.5814786390377681E-4</v>
      </c>
      <c r="E1375" s="25">
        <f>'Daily Returns'!E1375</f>
        <v>1.4850855434713529E-2</v>
      </c>
    </row>
    <row r="1376" spans="1:5" ht="15" customHeight="1" x14ac:dyDescent="0.3">
      <c r="A1376" s="26">
        <f>'Daily Returns'!F1376</f>
        <v>-2.1659859089231372E-2</v>
      </c>
      <c r="B1376" s="26">
        <f>'Daily Returns'!B1376</f>
        <v>2.9079159935379599E-3</v>
      </c>
      <c r="C1376" s="26">
        <f>'Daily Returns'!C1376</f>
        <v>-1.5358535877131662E-2</v>
      </c>
      <c r="D1376" s="26">
        <f>'Daily Returns'!D1376</f>
        <v>1.9449278329409124E-3</v>
      </c>
      <c r="E1376" s="26">
        <f>'Daily Returns'!E1376</f>
        <v>-9.0245354557703609E-3</v>
      </c>
    </row>
    <row r="1377" spans="1:5" ht="15" customHeight="1" x14ac:dyDescent="0.3">
      <c r="A1377" s="25">
        <f>'Daily Returns'!F1377</f>
        <v>3.5152037793010379E-3</v>
      </c>
      <c r="B1377" s="25">
        <f>'Daily Returns'!B1377</f>
        <v>1.5786082474226869E-2</v>
      </c>
      <c r="C1377" s="25">
        <f>'Daily Returns'!C1377</f>
        <v>-2.0615475355480462E-2</v>
      </c>
      <c r="D1377" s="25">
        <f>'Daily Returns'!D1377</f>
        <v>-5.2615447486718493E-3</v>
      </c>
      <c r="E1377" s="25">
        <f>'Daily Returns'!E1377</f>
        <v>1.5399209486166023E-2</v>
      </c>
    </row>
    <row r="1378" spans="1:5" ht="15" customHeight="1" x14ac:dyDescent="0.3">
      <c r="A1378" s="26">
        <f>'Daily Returns'!F1378</f>
        <v>-1.1738711004687043E-2</v>
      </c>
      <c r="B1378" s="26">
        <f>'Daily Returns'!B1378</f>
        <v>5.6295591500158081E-3</v>
      </c>
      <c r="C1378" s="26">
        <f>'Daily Returns'!C1378</f>
        <v>-1.5706699761958564E-3</v>
      </c>
      <c r="D1378" s="26">
        <f>'Daily Returns'!D1378</f>
        <v>-1.2838288912853695E-2</v>
      </c>
      <c r="E1378" s="26">
        <f>'Daily Returns'!E1378</f>
        <v>3.7556053811659197E-2</v>
      </c>
    </row>
    <row r="1379" spans="1:5" ht="15" customHeight="1" x14ac:dyDescent="0.3">
      <c r="A1379" s="25">
        <f>'Daily Returns'!F1379</f>
        <v>-3.2727654155175635E-3</v>
      </c>
      <c r="B1379" s="25">
        <f>'Daily Returns'!B1379</f>
        <v>4.336513443191652E-3</v>
      </c>
      <c r="C1379" s="25">
        <f>'Daily Returns'!C1379</f>
        <v>1.8567952756868206E-2</v>
      </c>
      <c r="D1379" s="25">
        <f>'Daily Returns'!D1379</f>
        <v>-3.0692399729490894E-3</v>
      </c>
      <c r="E1379" s="25">
        <f>'Daily Returns'!E1379</f>
        <v>1.1675370670508393E-2</v>
      </c>
    </row>
    <row r="1380" spans="1:5" ht="15" customHeight="1" x14ac:dyDescent="0.3">
      <c r="A1380" s="26">
        <f>'Daily Returns'!F1380</f>
        <v>-1.2995446017472054E-2</v>
      </c>
      <c r="B1380" s="26">
        <f>'Daily Returns'!B1380</f>
        <v>4.4905008635578579E-2</v>
      </c>
      <c r="C1380" s="26">
        <f>'Daily Returns'!C1380</f>
        <v>3.1061318395518699E-2</v>
      </c>
      <c r="D1380" s="26">
        <f>'Daily Returns'!D1380</f>
        <v>-2.1133375078271673E-2</v>
      </c>
      <c r="E1380" s="26">
        <f>'Daily Returns'!E1380</f>
        <v>-7.1201827513575546E-4</v>
      </c>
    </row>
    <row r="1381" spans="1:5" ht="15" customHeight="1" x14ac:dyDescent="0.3">
      <c r="A1381" s="25">
        <f>'Daily Returns'!F1381</f>
        <v>-2.27751493393828E-3</v>
      </c>
      <c r="B1381" s="25">
        <f>'Daily Returns'!B1381</f>
        <v>-2.0285499624341234E-3</v>
      </c>
      <c r="C1381" s="25">
        <f>'Daily Returns'!C1381</f>
        <v>4.4549998447735318E-3</v>
      </c>
      <c r="D1381" s="25">
        <f>'Daily Returns'!D1381</f>
        <v>1.0021856175702304E-2</v>
      </c>
      <c r="E1381" s="25">
        <f>'Daily Returns'!E1381</f>
        <v>1.1251966867559365E-2</v>
      </c>
    </row>
    <row r="1382" spans="1:5" ht="15" customHeight="1" x14ac:dyDescent="0.3">
      <c r="A1382" s="26">
        <f>'Daily Returns'!F1382</f>
        <v>7.9109944876845032E-3</v>
      </c>
      <c r="B1382" s="26">
        <f>'Daily Returns'!B1382</f>
        <v>2.6349469246404749E-3</v>
      </c>
      <c r="C1382" s="26">
        <f>'Daily Returns'!C1382</f>
        <v>8.5382249764330933E-4</v>
      </c>
      <c r="D1382" s="26">
        <f>'Daily Returns'!D1382</f>
        <v>2.1639309653243076E-3</v>
      </c>
      <c r="E1382" s="26">
        <f>'Daily Returns'!E1382</f>
        <v>-7.8973636310257691E-3</v>
      </c>
    </row>
    <row r="1383" spans="1:5" ht="15" customHeight="1" x14ac:dyDescent="0.3">
      <c r="A1383" s="25">
        <f>'Daily Returns'!F1383</f>
        <v>-3.3696323195816741E-3</v>
      </c>
      <c r="B1383" s="25">
        <f>'Daily Returns'!B1383</f>
        <v>2.4327977173749665E-2</v>
      </c>
      <c r="C1383" s="25">
        <f>'Daily Returns'!C1383</f>
        <v>-1.7486499110235198E-3</v>
      </c>
      <c r="D1383" s="25">
        <f>'Daily Returns'!D1383</f>
        <v>-6.530440278070408E-3</v>
      </c>
      <c r="E1383" s="25">
        <f>'Daily Returns'!E1383</f>
        <v>-2.0684757198236349E-2</v>
      </c>
    </row>
    <row r="1384" spans="1:5" ht="15" customHeight="1" x14ac:dyDescent="0.3">
      <c r="A1384" s="26">
        <f>'Daily Returns'!F1384</f>
        <v>-1.3523522340918944E-2</v>
      </c>
      <c r="B1384" s="26">
        <f>'Daily Returns'!B1384</f>
        <v>-1.0848849142354419E-2</v>
      </c>
      <c r="C1384" s="26">
        <f>'Daily Returns'!C1384</f>
        <v>2.2227034384618961E-2</v>
      </c>
      <c r="D1384" s="26">
        <f>'Daily Returns'!D1384</f>
        <v>1.2934690415606586E-2</v>
      </c>
      <c r="E1384" s="26">
        <f>'Daily Returns'!E1384</f>
        <v>-1.3839366652565372E-2</v>
      </c>
    </row>
    <row r="1385" spans="1:5" ht="15" customHeight="1" x14ac:dyDescent="0.3">
      <c r="A1385" s="25">
        <f>'Daily Returns'!F1385</f>
        <v>2.0050819635618871E-3</v>
      </c>
      <c r="B1385" s="25">
        <f>'Daily Returns'!B1385</f>
        <v>-1.4080331999407187E-2</v>
      </c>
      <c r="C1385" s="25">
        <f>'Daily Returns'!C1385</f>
        <v>-1.284650768672075E-2</v>
      </c>
      <c r="D1385" s="25">
        <f>'Daily Returns'!D1385</f>
        <v>-1.6014234875444851E-2</v>
      </c>
      <c r="E1385" s="25">
        <f>'Daily Returns'!E1385</f>
        <v>-2.5401397230052764E-2</v>
      </c>
    </row>
    <row r="1386" spans="1:5" ht="15" customHeight="1" x14ac:dyDescent="0.3">
      <c r="A1386" s="26">
        <f>'Daily Returns'!F1386</f>
        <v>3.4049185796869957E-3</v>
      </c>
      <c r="B1386" s="26">
        <f>'Daily Returns'!B1386</f>
        <v>-1.9542994588093766E-2</v>
      </c>
      <c r="C1386" s="26">
        <f>'Daily Returns'!C1386</f>
        <v>-1.253084811232538E-3</v>
      </c>
      <c r="D1386" s="26">
        <f>'Daily Returns'!D1386</f>
        <v>-3.0635038825656945E-2</v>
      </c>
      <c r="E1386" s="26">
        <f>'Daily Returns'!E1386</f>
        <v>1.8643694784167029E-2</v>
      </c>
    </row>
    <row r="1387" spans="1:5" ht="15" customHeight="1" x14ac:dyDescent="0.3">
      <c r="A1387" s="25">
        <f>'Daily Returns'!F1387</f>
        <v>5.9402823820201445E-4</v>
      </c>
      <c r="B1387" s="25">
        <f>'Daily Returns'!B1387</f>
        <v>7.7430236123887681E-3</v>
      </c>
      <c r="C1387" s="25">
        <f>'Daily Returns'!C1387</f>
        <v>-7.712111852479055E-4</v>
      </c>
      <c r="D1387" s="25">
        <f>'Daily Returns'!D1387</f>
        <v>7.0778009437069047E-3</v>
      </c>
      <c r="E1387" s="25">
        <f>'Daily Returns'!E1387</f>
        <v>-8.5493827160493269E-3</v>
      </c>
    </row>
    <row r="1388" spans="1:5" ht="15" customHeight="1" x14ac:dyDescent="0.3">
      <c r="A1388" s="26">
        <f>'Daily Returns'!F1388</f>
        <v>3.5505955496276807E-3</v>
      </c>
      <c r="B1388" s="26">
        <f>'Daily Returns'!B1388</f>
        <v>8.9767972613161422E-3</v>
      </c>
      <c r="C1388" s="26">
        <f>'Daily Returns'!C1388</f>
        <v>1.1519498671407343E-4</v>
      </c>
      <c r="D1388" s="26">
        <f>'Daily Returns'!D1388</f>
        <v>-2.1302097521111549E-2</v>
      </c>
      <c r="E1388" s="26">
        <f>'Daily Returns'!E1388</f>
        <v>-3.4492419761541701E-2</v>
      </c>
    </row>
    <row r="1389" spans="1:5" ht="15" customHeight="1" x14ac:dyDescent="0.3">
      <c r="A1389" s="25">
        <f>'Daily Returns'!F1389</f>
        <v>1.4401574437452089E-2</v>
      </c>
      <c r="B1389" s="25">
        <f>'Daily Returns'!B1389</f>
        <v>1.0555681218427248E-2</v>
      </c>
      <c r="C1389" s="25">
        <f>'Daily Returns'!C1389</f>
        <v>3.2488923358084565E-2</v>
      </c>
      <c r="D1389" s="25">
        <f>'Daily Returns'!D1389</f>
        <v>-2.1598753061678889E-2</v>
      </c>
      <c r="E1389" s="25">
        <f>'Daily Returns'!E1389</f>
        <v>1.0124133483798302E-2</v>
      </c>
    </row>
    <row r="1390" spans="1:5" ht="15" customHeight="1" x14ac:dyDescent="0.3">
      <c r="A1390" s="26">
        <f>'Daily Returns'!F1390</f>
        <v>1.9219833112710635E-2</v>
      </c>
      <c r="B1390" s="26">
        <f>'Daily Returns'!B1390</f>
        <v>-1.8428709990300669E-2</v>
      </c>
      <c r="C1390" s="26">
        <f>'Daily Returns'!C1390</f>
        <v>-1.5138331102186538E-2</v>
      </c>
      <c r="D1390" s="26">
        <f>'Daily Returns'!D1390</f>
        <v>2.9585798816568632E-3</v>
      </c>
      <c r="E1390" s="26">
        <f>'Daily Returns'!E1390</f>
        <v>7.3095215295731226E-3</v>
      </c>
    </row>
    <row r="1391" spans="1:5" ht="15" customHeight="1" x14ac:dyDescent="0.3">
      <c r="A1391" s="25">
        <f>'Daily Returns'!F1391</f>
        <v>8.4370708538386852E-3</v>
      </c>
      <c r="B1391" s="25">
        <f>'Daily Returns'!B1391</f>
        <v>1.4290057768318603E-2</v>
      </c>
      <c r="C1391" s="25">
        <f>'Daily Returns'!C1391</f>
        <v>4.3904262428780254E-2</v>
      </c>
      <c r="D1391" s="25">
        <f>'Daily Returns'!D1391</f>
        <v>1.5656909462219145E-2</v>
      </c>
      <c r="E1391" s="25">
        <f>'Daily Returns'!E1391</f>
        <v>6.2424741745358619E-3</v>
      </c>
    </row>
    <row r="1392" spans="1:5" ht="15" customHeight="1" x14ac:dyDescent="0.3">
      <c r="A1392" s="26">
        <f>'Daily Returns'!F1392</f>
        <v>-3.6170553961834694E-3</v>
      </c>
      <c r="B1392" s="26">
        <f>'Daily Returns'!B1392</f>
        <v>1.693645083932847E-2</v>
      </c>
      <c r="C1392" s="26">
        <f>'Daily Returns'!C1392</f>
        <v>-1.096293724251925E-2</v>
      </c>
      <c r="D1392" s="26">
        <f>'Daily Returns'!D1392</f>
        <v>-1.1896782841823031E-2</v>
      </c>
      <c r="E1392" s="26">
        <f>'Daily Returns'!E1392</f>
        <v>-2.4877971972917759E-2</v>
      </c>
    </row>
    <row r="1393" spans="1:5" ht="15" customHeight="1" x14ac:dyDescent="0.3">
      <c r="A1393" s="25">
        <f>'Daily Returns'!F1393</f>
        <v>4.4626624344301334E-3</v>
      </c>
      <c r="B1393" s="25">
        <f>'Daily Returns'!B1393</f>
        <v>-1.0316875460573793E-3</v>
      </c>
      <c r="C1393" s="25">
        <f>'Daily Returns'!C1393</f>
        <v>-1.3878425722080343E-2</v>
      </c>
      <c r="D1393" s="25">
        <f>'Daily Returns'!D1393</f>
        <v>-1.3622746029054302E-2</v>
      </c>
      <c r="E1393" s="25">
        <f>'Daily Returns'!E1393</f>
        <v>-2.0636202163733203E-2</v>
      </c>
    </row>
    <row r="1394" spans="1:5" ht="15" customHeight="1" x14ac:dyDescent="0.3">
      <c r="A1394" s="26">
        <f>'Daily Returns'!F1394</f>
        <v>-1.537773374772845E-2</v>
      </c>
      <c r="B1394" s="26">
        <f>'Daily Returns'!B1394</f>
        <v>7.3768073177924397E-4</v>
      </c>
      <c r="C1394" s="26">
        <f>'Daily Returns'!C1394</f>
        <v>-1.1058738888415085E-2</v>
      </c>
      <c r="D1394" s="26">
        <f>'Daily Returns'!D1394</f>
        <v>2.4068767908309391E-2</v>
      </c>
      <c r="E1394" s="26">
        <f>'Daily Returns'!E1394</f>
        <v>3.3766405064960793E-2</v>
      </c>
    </row>
    <row r="1395" spans="1:5" ht="15" customHeight="1" x14ac:dyDescent="0.3">
      <c r="A1395" s="25">
        <f>'Daily Returns'!F1395</f>
        <v>4.8875984206002323E-4</v>
      </c>
      <c r="B1395" s="25">
        <f>'Daily Returns'!B1395</f>
        <v>9.6564941766180325E-3</v>
      </c>
      <c r="C1395" s="25">
        <f>'Daily Returns'!C1395</f>
        <v>1.2037394672796579E-2</v>
      </c>
      <c r="D1395" s="25">
        <f>'Daily Returns'!D1395</f>
        <v>-2.1824286513710003E-2</v>
      </c>
      <c r="E1395" s="25">
        <f>'Daily Returns'!E1395</f>
        <v>-1.097288676236044E-2</v>
      </c>
    </row>
    <row r="1396" spans="1:5" ht="15" customHeight="1" x14ac:dyDescent="0.3">
      <c r="A1396" s="26">
        <f>'Daily Returns'!F1396</f>
        <v>2.1472336623587048E-2</v>
      </c>
      <c r="B1396" s="26">
        <f>'Daily Returns'!B1396</f>
        <v>5.402642914506893E-3</v>
      </c>
      <c r="C1396" s="26">
        <f>'Daily Returns'!C1396</f>
        <v>3.4459887579242415E-4</v>
      </c>
      <c r="D1396" s="26">
        <f>'Daily Returns'!D1396</f>
        <v>1.3729977116704675E-2</v>
      </c>
      <c r="E1396" s="26">
        <f>'Daily Returns'!E1396</f>
        <v>9.0950138682835361E-3</v>
      </c>
    </row>
    <row r="1397" spans="1:5" ht="15" customHeight="1" x14ac:dyDescent="0.3">
      <c r="A1397" s="25">
        <f>'Daily Returns'!F1397</f>
        <v>-2.2889743496646531E-4</v>
      </c>
      <c r="B1397" s="25">
        <f>'Daily Returns'!B1397</f>
        <v>9.2222787016192128E-3</v>
      </c>
      <c r="C1397" s="25">
        <f>'Daily Returns'!C1397</f>
        <v>2.0372483072318613E-2</v>
      </c>
      <c r="D1397" s="25">
        <f>'Daily Returns'!D1397</f>
        <v>7.167042889390577E-3</v>
      </c>
      <c r="E1397" s="25">
        <f>'Daily Returns'!E1397</f>
        <v>2.8125799028381345E-3</v>
      </c>
    </row>
    <row r="1398" spans="1:5" ht="15" customHeight="1" x14ac:dyDescent="0.3">
      <c r="A1398" s="26">
        <f>'Daily Returns'!F1398</f>
        <v>2.2765946347205835E-4</v>
      </c>
      <c r="B1398" s="26">
        <f>'Daily Returns'!B1398</f>
        <v>-1.4750323787595216E-2</v>
      </c>
      <c r="C1398" s="26">
        <f>'Daily Returns'!C1398</f>
        <v>-1.3932450484985646E-2</v>
      </c>
      <c r="D1398" s="26">
        <f>'Daily Returns'!D1398</f>
        <v>-1.103826973721073E-2</v>
      </c>
      <c r="E1398" s="26">
        <f>'Daily Returns'!E1398</f>
        <v>-2.5720295767465557E-2</v>
      </c>
    </row>
    <row r="1399" spans="1:5" ht="15" customHeight="1" x14ac:dyDescent="0.3">
      <c r="A1399" s="25">
        <f>'Daily Returns'!F1399</f>
        <v>-8.5283755780497031E-3</v>
      </c>
      <c r="B1399" s="25">
        <f>'Daily Returns'!B1399</f>
        <v>-2.0448404294164985E-3</v>
      </c>
      <c r="C1399" s="25">
        <f>'Daily Returns'!C1399</f>
        <v>-2.8917587636304799E-2</v>
      </c>
      <c r="D1399" s="25">
        <f>'Daily Returns'!D1399</f>
        <v>-1.6997167138810842E-3</v>
      </c>
      <c r="E1399" s="25">
        <f>'Daily Returns'!E1399</f>
        <v>-2.7380679773626893E-2</v>
      </c>
    </row>
    <row r="1400" spans="1:5" ht="15" customHeight="1" x14ac:dyDescent="0.3">
      <c r="A1400" s="26">
        <f>'Daily Returns'!F1400</f>
        <v>1.3006417237745602E-2</v>
      </c>
      <c r="B1400" s="26">
        <f>'Daily Returns'!B1400</f>
        <v>-1.6538602268569479E-2</v>
      </c>
      <c r="C1400" s="26">
        <f>'Daily Returns'!C1400</f>
        <v>-5.9481611500536644E-3</v>
      </c>
      <c r="D1400" s="26">
        <f>'Daily Returns'!D1400</f>
        <v>-1.3166855845629929E-2</v>
      </c>
      <c r="E1400" s="26">
        <f>'Daily Returns'!E1400</f>
        <v>9.8547020045742194E-3</v>
      </c>
    </row>
    <row r="1401" spans="1:5" ht="15" customHeight="1" x14ac:dyDescent="0.3">
      <c r="A1401" s="25">
        <f>'Daily Returns'!F1401</f>
        <v>-2.8597904471805522E-3</v>
      </c>
      <c r="B1401" s="25">
        <f>'Daily Returns'!B1401</f>
        <v>9.0780564030063793E-3</v>
      </c>
      <c r="C1401" s="25">
        <f>'Daily Returns'!C1401</f>
        <v>5.5299187674001755E-3</v>
      </c>
      <c r="D1401" s="25">
        <f>'Daily Returns'!D1401</f>
        <v>-1.0121923165401375E-2</v>
      </c>
      <c r="E1401" s="25">
        <f>'Daily Returns'!E1401</f>
        <v>-5.3955037468776173E-3</v>
      </c>
    </row>
    <row r="1402" spans="1:5" ht="15" customHeight="1" x14ac:dyDescent="0.3">
      <c r="A1402" s="26">
        <f>'Daily Returns'!F1402</f>
        <v>3.8214134224247411E-3</v>
      </c>
      <c r="B1402" s="26">
        <f>'Daily Returns'!B1402</f>
        <v>7.6690509549442662E-3</v>
      </c>
      <c r="C1402" s="26">
        <f>'Daily Returns'!C1402</f>
        <v>-2.5328074034741618E-2</v>
      </c>
      <c r="D1402" s="26">
        <f>'Daily Returns'!D1402</f>
        <v>-1.9753660237044122E-3</v>
      </c>
      <c r="E1402" s="26">
        <f>'Daily Returns'!E1402</f>
        <v>-4.8555068144526294E-3</v>
      </c>
    </row>
    <row r="1403" spans="1:5" ht="15" customHeight="1" x14ac:dyDescent="0.3">
      <c r="A1403" s="25">
        <f>'Daily Returns'!F1403</f>
        <v>-3.5965954161052286E-3</v>
      </c>
      <c r="B1403" s="25">
        <f>'Daily Returns'!B1403</f>
        <v>-1.0245151847787395E-3</v>
      </c>
      <c r="C1403" s="25">
        <f>'Daily Returns'!C1403</f>
        <v>-1.2841366321377301E-3</v>
      </c>
      <c r="D1403" s="25">
        <f>'Daily Returns'!D1403</f>
        <v>-1.0769589009197778E-2</v>
      </c>
      <c r="E1403" s="25">
        <f>'Daily Returns'!E1403</f>
        <v>2.0156134329362706E-2</v>
      </c>
    </row>
    <row r="1404" spans="1:5" ht="15" customHeight="1" x14ac:dyDescent="0.3">
      <c r="A1404" s="26">
        <f>'Daily Returns'!F1404</f>
        <v>-1.3401009923716733E-2</v>
      </c>
      <c r="B1404" s="26">
        <f>'Daily Returns'!B1404</f>
        <v>4.3952823968941672E-3</v>
      </c>
      <c r="C1404" s="26">
        <f>'Daily Returns'!C1404</f>
        <v>1.0040833502174143E-2</v>
      </c>
      <c r="D1404" s="26">
        <f>'Daily Returns'!D1404</f>
        <v>-2.5539928205731793E-2</v>
      </c>
      <c r="E1404" s="26">
        <f>'Daily Returns'!E1404</f>
        <v>-3.0181086519114799E-2</v>
      </c>
    </row>
    <row r="1405" spans="1:5" ht="15" customHeight="1" x14ac:dyDescent="0.3">
      <c r="A1405" s="25">
        <f>'Daily Returns'!F1405</f>
        <v>-1.6703267029984893E-3</v>
      </c>
      <c r="B1405" s="25">
        <f>'Daily Returns'!B1405</f>
        <v>-2.1223834877106152E-2</v>
      </c>
      <c r="C1405" s="25">
        <f>'Daily Returns'!C1405</f>
        <v>-1.3632733991953118E-2</v>
      </c>
      <c r="D1405" s="25">
        <f>'Daily Returns'!D1405</f>
        <v>1.1655293194033496E-2</v>
      </c>
      <c r="E1405" s="25">
        <f>'Daily Returns'!E1405</f>
        <v>-6.8022583497717379E-4</v>
      </c>
    </row>
    <row r="1406" spans="1:5" ht="15" customHeight="1" x14ac:dyDescent="0.3">
      <c r="A1406" s="26">
        <f>'Daily Returns'!F1406</f>
        <v>-1.1081603753231318E-2</v>
      </c>
      <c r="B1406" s="26">
        <f>'Daily Returns'!B1406</f>
        <v>1.2220566318927087E-2</v>
      </c>
      <c r="C1406" s="26">
        <f>'Daily Returns'!C1406</f>
        <v>-1.393848139384809E-2</v>
      </c>
      <c r="D1406" s="26">
        <f>'Daily Returns'!D1406</f>
        <v>-9.1332378223495762E-3</v>
      </c>
      <c r="E1406" s="26">
        <f>'Daily Returns'!E1406</f>
        <v>2.2632904499353464E-2</v>
      </c>
    </row>
    <row r="1407" spans="1:5" ht="15" customHeight="1" x14ac:dyDescent="0.3">
      <c r="A1407" s="25">
        <f>'Daily Returns'!F1407</f>
        <v>-7.3237551996148936E-3</v>
      </c>
      <c r="B1407" s="25">
        <f>'Daily Returns'!B1407</f>
        <v>-6.1837455830388941E-3</v>
      </c>
      <c r="C1407" s="25">
        <f>'Daily Returns'!C1407</f>
        <v>-1.8720427079573641E-2</v>
      </c>
      <c r="D1407" s="25">
        <f>'Daily Returns'!D1407</f>
        <v>1.2952587505271264E-2</v>
      </c>
      <c r="E1407" s="25">
        <f>'Daily Returns'!E1407</f>
        <v>1.6407628049389122E-2</v>
      </c>
    </row>
    <row r="1408" spans="1:5" ht="15" customHeight="1" x14ac:dyDescent="0.3">
      <c r="A1408" s="26">
        <f>'Daily Returns'!F1408</f>
        <v>-6.1185047139411695E-3</v>
      </c>
      <c r="B1408" s="26">
        <f>'Daily Returns'!B1408</f>
        <v>2.0740740740740823E-3</v>
      </c>
      <c r="C1408" s="26">
        <f>'Daily Returns'!C1408</f>
        <v>-1.9360497310143701E-3</v>
      </c>
      <c r="D1408" s="26">
        <f>'Daily Returns'!D1408</f>
        <v>-2.0815986677768191E-3</v>
      </c>
      <c r="E1408" s="26">
        <f>'Daily Returns'!E1408</f>
        <v>-4.7478716437458698E-3</v>
      </c>
    </row>
    <row r="1409" spans="1:5" ht="15" customHeight="1" x14ac:dyDescent="0.3">
      <c r="A1409" s="25">
        <f>'Daily Returns'!F1409</f>
        <v>1.9882585702979086E-2</v>
      </c>
      <c r="B1409" s="25">
        <f>'Daily Returns'!B1409</f>
        <v>1.5819041986989846E-2</v>
      </c>
      <c r="C1409" s="25">
        <f>'Daily Returns'!C1409</f>
        <v>8.6461050005669209E-3</v>
      </c>
      <c r="D1409" s="25">
        <f>'Daily Returns'!D1409</f>
        <v>4.469873055605221E-2</v>
      </c>
      <c r="E1409" s="25">
        <f>'Daily Returns'!E1409</f>
        <v>9.3436420463893135E-3</v>
      </c>
    </row>
    <row r="1410" spans="1:5" ht="15" customHeight="1" x14ac:dyDescent="0.3">
      <c r="A1410" s="26">
        <f>'Daily Returns'!F1410</f>
        <v>7.7019897448219769E-3</v>
      </c>
      <c r="B1410" s="26">
        <f>'Daily Returns'!B1410</f>
        <v>-1.0187745597438345E-2</v>
      </c>
      <c r="C1410" s="26">
        <f>'Daily Returns'!C1410</f>
        <v>4.9055073534430428E-2</v>
      </c>
      <c r="D1410" s="26">
        <f>'Daily Returns'!D1410</f>
        <v>9.1847795082435606E-3</v>
      </c>
      <c r="E1410" s="26">
        <f>'Daily Returns'!E1410</f>
        <v>1.2288536132207638E-2</v>
      </c>
    </row>
    <row r="1411" spans="1:5" ht="15" customHeight="1" x14ac:dyDescent="0.3">
      <c r="A1411" s="25">
        <f>'Daily Returns'!F1411</f>
        <v>3.9313767605410948E-3</v>
      </c>
      <c r="B1411" s="25">
        <f>'Daily Returns'!B1411</f>
        <v>1.6909278047345853E-2</v>
      </c>
      <c r="C1411" s="25">
        <f>'Daily Returns'!C1411</f>
        <v>2.1149319708364513E-2</v>
      </c>
      <c r="D1411" s="25">
        <f>'Daily Returns'!D1411</f>
        <v>-2.08027133973997E-2</v>
      </c>
      <c r="E1411" s="25">
        <f>'Daily Returns'!E1411</f>
        <v>-1.6099948480164862E-2</v>
      </c>
    </row>
    <row r="1412" spans="1:5" ht="15" customHeight="1" x14ac:dyDescent="0.3">
      <c r="A1412" s="26">
        <f>'Daily Returns'!F1412</f>
        <v>-6.775590727971053E-3</v>
      </c>
      <c r="B1412" s="26">
        <f>'Daily Returns'!B1412</f>
        <v>2.0242914979757168E-3</v>
      </c>
      <c r="C1412" s="26">
        <f>'Daily Returns'!C1412</f>
        <v>-2.1659526781129698E-2</v>
      </c>
      <c r="D1412" s="26">
        <f>'Daily Returns'!D1412</f>
        <v>-2.118692991571405E-2</v>
      </c>
      <c r="E1412" s="26">
        <f>'Daily Returns'!E1412</f>
        <v>-2.7425055635554377E-2</v>
      </c>
    </row>
    <row r="1413" spans="1:5" ht="15" customHeight="1" x14ac:dyDescent="0.3">
      <c r="A1413" s="25">
        <f>'Daily Returns'!F1413</f>
        <v>7.2606578794223268E-3</v>
      </c>
      <c r="B1413" s="25">
        <f>'Daily Returns'!B1413</f>
        <v>7.2150072150068052E-4</v>
      </c>
      <c r="C1413" s="25">
        <f>'Daily Returns'!C1413</f>
        <v>-2.6510159673909815E-2</v>
      </c>
      <c r="D1413" s="25">
        <f>'Daily Returns'!D1413</f>
        <v>-1.3742258920672441E-2</v>
      </c>
      <c r="E1413" s="25">
        <f>'Daily Returns'!E1413</f>
        <v>1.679117033447745E-2</v>
      </c>
    </row>
    <row r="1414" spans="1:5" ht="15" customHeight="1" x14ac:dyDescent="0.3">
      <c r="A1414" s="26">
        <f>'Daily Returns'!F1414</f>
        <v>-1.1757293407624828E-3</v>
      </c>
      <c r="B1414" s="26">
        <f>'Daily Returns'!B1414</f>
        <v>8.0028839221342012E-3</v>
      </c>
      <c r="C1414" s="26">
        <f>'Daily Returns'!C1414</f>
        <v>-1.3497985140409883E-3</v>
      </c>
      <c r="D1414" s="26">
        <f>'Daily Returns'!D1414</f>
        <v>-6.3389546704939737E-3</v>
      </c>
      <c r="E1414" s="26">
        <f>'Daily Returns'!E1414</f>
        <v>1.4892279180593329E-3</v>
      </c>
    </row>
    <row r="1415" spans="1:5" ht="15" customHeight="1" x14ac:dyDescent="0.3">
      <c r="A1415" s="25">
        <f>'Daily Returns'!F1415</f>
        <v>1.42130071856092E-2</v>
      </c>
      <c r="B1415" s="25">
        <f>'Daily Returns'!B1415</f>
        <v>-1.6951577140404867E-2</v>
      </c>
      <c r="C1415" s="25">
        <f>'Daily Returns'!C1415</f>
        <v>2.8321032119762418E-2</v>
      </c>
      <c r="D1415" s="25">
        <f>'Daily Returns'!D1415</f>
        <v>-2.5637939335580111E-2</v>
      </c>
      <c r="E1415" s="25">
        <f>'Daily Returns'!E1415</f>
        <v>3.4862203423435371E-2</v>
      </c>
    </row>
    <row r="1416" spans="1:5" ht="15" customHeight="1" x14ac:dyDescent="0.3">
      <c r="A1416" s="26">
        <f>'Daily Returns'!F1416</f>
        <v>-2.1416220594579092E-3</v>
      </c>
      <c r="B1416" s="26">
        <f>'Daily Returns'!B1416</f>
        <v>8.5855646100116909E-3</v>
      </c>
      <c r="C1416" s="26">
        <f>'Daily Returns'!C1416</f>
        <v>1.2185962384463352E-2</v>
      </c>
      <c r="D1416" s="26">
        <f>'Daily Returns'!D1416</f>
        <v>-1.7294626312538672E-2</v>
      </c>
      <c r="E1416" s="26">
        <f>'Daily Returns'!E1416</f>
        <v>-1.1686943193792588E-2</v>
      </c>
    </row>
    <row r="1417" spans="1:5" ht="15" customHeight="1" x14ac:dyDescent="0.3">
      <c r="A1417" s="25">
        <f>'Daily Returns'!F1417</f>
        <v>1.9860548093953545E-2</v>
      </c>
      <c r="B1417" s="25">
        <f>'Daily Returns'!B1417</f>
        <v>1.1542345981820558E-3</v>
      </c>
      <c r="C1417" s="25">
        <f>'Daily Returns'!C1417</f>
        <v>-8.703849532059332E-3</v>
      </c>
      <c r="D1417" s="25">
        <f>'Daily Returns'!D1417</f>
        <v>6.2853551225640683E-4</v>
      </c>
      <c r="E1417" s="25">
        <f>'Daily Returns'!E1417</f>
        <v>1.9288552873897538E-2</v>
      </c>
    </row>
    <row r="1418" spans="1:5" ht="15" customHeight="1" x14ac:dyDescent="0.3">
      <c r="A1418" s="26">
        <f>'Daily Returns'!F1418</f>
        <v>-2.2609463482666666E-3</v>
      </c>
      <c r="B1418" s="26">
        <f>'Daily Returns'!B1418</f>
        <v>1.4699524427150829E-2</v>
      </c>
      <c r="C1418" s="26">
        <f>'Daily Returns'!C1418</f>
        <v>1.8259451490812966E-2</v>
      </c>
      <c r="D1418" s="26">
        <f>'Daily Returns'!D1418</f>
        <v>-2.4246231155778803E-2</v>
      </c>
      <c r="E1418" s="26">
        <f>'Daily Returns'!E1418</f>
        <v>1.6165842525675052E-2</v>
      </c>
    </row>
    <row r="1419" spans="1:5" ht="15" customHeight="1" x14ac:dyDescent="0.3">
      <c r="A1419" s="25">
        <f>'Daily Returns'!F1419</f>
        <v>1.382326025902898E-3</v>
      </c>
      <c r="B1419" s="25">
        <f>'Daily Returns'!B1419</f>
        <v>-2.6984803294986186E-3</v>
      </c>
      <c r="C1419" s="25">
        <f>'Daily Returns'!C1419</f>
        <v>2.4889542341477368E-2</v>
      </c>
      <c r="D1419" s="25">
        <f>'Daily Returns'!D1419</f>
        <v>-1.1587485515643543E-3</v>
      </c>
      <c r="E1419" s="25">
        <f>'Daily Returns'!E1419</f>
        <v>9.7947470210245288E-3</v>
      </c>
    </row>
    <row r="1420" spans="1:5" ht="15" customHeight="1" x14ac:dyDescent="0.3">
      <c r="A1420" s="26">
        <f>'Daily Returns'!F1420</f>
        <v>-4.9240184960865239E-3</v>
      </c>
      <c r="B1420" s="26">
        <f>'Daily Returns'!B1420</f>
        <v>-4.6995158074622373E-3</v>
      </c>
      <c r="C1420" s="26">
        <f>'Daily Returns'!C1420</f>
        <v>2.6378387873553517E-2</v>
      </c>
      <c r="D1420" s="26">
        <f>'Daily Returns'!D1420</f>
        <v>4.0603248259860501E-3</v>
      </c>
      <c r="E1420" s="26">
        <f>'Daily Returns'!E1420</f>
        <v>1.0193994810329423E-3</v>
      </c>
    </row>
    <row r="1421" spans="1:5" ht="15" customHeight="1" x14ac:dyDescent="0.3">
      <c r="A1421" s="25">
        <f>'Daily Returns'!F1421</f>
        <v>6.1526813204259526E-5</v>
      </c>
      <c r="B1421" s="25">
        <f>'Daily Returns'!B1421</f>
        <v>5.4371154671626195E-3</v>
      </c>
      <c r="C1421" s="25">
        <f>'Daily Returns'!C1421</f>
        <v>-1.8212806012935772E-2</v>
      </c>
      <c r="D1421" s="25">
        <f>'Daily Returns'!D1421</f>
        <v>-1.5405353360292738E-2</v>
      </c>
      <c r="E1421" s="25">
        <f>'Daily Returns'!E1421</f>
        <v>-1.7373862058324318E-2</v>
      </c>
    </row>
    <row r="1422" spans="1:5" ht="15" customHeight="1" x14ac:dyDescent="0.3">
      <c r="A1422" s="26">
        <f>'Daily Returns'!F1422</f>
        <v>-1.0763091828909483E-2</v>
      </c>
      <c r="B1422" s="26">
        <f>'Daily Returns'!B1422</f>
        <v>-4.9807883876471599E-4</v>
      </c>
      <c r="C1422" s="26">
        <f>'Daily Returns'!C1422</f>
        <v>8.3093036600158741E-3</v>
      </c>
      <c r="D1422" s="26">
        <f>'Daily Returns'!D1422</f>
        <v>9.9093813156008233E-3</v>
      </c>
      <c r="E1422" s="26">
        <f>'Daily Returns'!E1422</f>
        <v>-5.0562150618680161E-3</v>
      </c>
    </row>
    <row r="1423" spans="1:5" ht="15" customHeight="1" x14ac:dyDescent="0.3">
      <c r="A1423" s="25">
        <f>'Daily Returns'!F1423</f>
        <v>-1.2657435971541505E-2</v>
      </c>
      <c r="B1423" s="25">
        <f>'Daily Returns'!B1423</f>
        <v>-1.6017655015305759E-2</v>
      </c>
      <c r="C1423" s="25">
        <f>'Daily Returns'!C1423</f>
        <v>-2.2003155142233576E-2</v>
      </c>
      <c r="D1423" s="25">
        <f>'Daily Returns'!D1423</f>
        <v>1.6783939061389898E-3</v>
      </c>
      <c r="E1423" s="25">
        <f>'Daily Returns'!E1423</f>
        <v>-8.8381048578012409E-3</v>
      </c>
    </row>
    <row r="1424" spans="1:5" ht="15" customHeight="1" x14ac:dyDescent="0.3">
      <c r="A1424" s="26">
        <f>'Daily Returns'!F1424</f>
        <v>-1.8492108131821904E-2</v>
      </c>
      <c r="B1424" s="26">
        <f>'Daily Returns'!B1424</f>
        <v>-2.3151497612501314E-3</v>
      </c>
      <c r="C1424" s="26">
        <f>'Daily Returns'!C1424</f>
        <v>-1.3611605219255132E-2</v>
      </c>
      <c r="D1424" s="26">
        <f>'Daily Returns'!D1424</f>
        <v>1.7658052458593861E-2</v>
      </c>
      <c r="E1424" s="26">
        <f>'Daily Returns'!E1424</f>
        <v>8.9169134740941234E-4</v>
      </c>
    </row>
    <row r="1425" spans="1:5" ht="15" customHeight="1" x14ac:dyDescent="0.3">
      <c r="A1425" s="25">
        <f>'Daily Returns'!F1425</f>
        <v>-9.1776107973490818E-3</v>
      </c>
      <c r="B1425" s="25">
        <f>'Daily Returns'!B1425</f>
        <v>1.783901377810013E-2</v>
      </c>
      <c r="C1425" s="25">
        <f>'Daily Returns'!C1425</f>
        <v>-2.1957384528649867E-2</v>
      </c>
      <c r="D1425" s="25">
        <f>'Daily Returns'!D1425</f>
        <v>1.0828953201190603E-2</v>
      </c>
      <c r="E1425" s="25">
        <f>'Daily Returns'!E1425</f>
        <v>-1.9281555251519304E-2</v>
      </c>
    </row>
    <row r="1426" spans="1:5" ht="15" customHeight="1" x14ac:dyDescent="0.3">
      <c r="A1426" s="26">
        <f>'Daily Returns'!F1426</f>
        <v>-1.0362962780927026E-2</v>
      </c>
      <c r="B1426" s="26">
        <f>'Daily Returns'!B1426</f>
        <v>-9.261897976633219E-4</v>
      </c>
      <c r="C1426" s="26">
        <f>'Daily Returns'!C1426</f>
        <v>-4.0235764784925573E-3</v>
      </c>
      <c r="D1426" s="26">
        <f>'Daily Returns'!D1426</f>
        <v>-2.9444931712817872E-3</v>
      </c>
      <c r="E1426" s="26">
        <f>'Daily Returns'!E1426</f>
        <v>5.1260422411834802E-3</v>
      </c>
    </row>
    <row r="1427" spans="1:5" ht="15" customHeight="1" x14ac:dyDescent="0.3">
      <c r="A1427" s="25">
        <f>'Daily Returns'!F1427</f>
        <v>3.621840225930339E-3</v>
      </c>
      <c r="B1427" s="25">
        <f>'Daily Returns'!B1427</f>
        <v>-1.1766383798045905E-2</v>
      </c>
      <c r="C1427" s="25">
        <f>'Daily Returns'!C1427</f>
        <v>-2.4733424810848594E-2</v>
      </c>
      <c r="D1427" s="25">
        <f>'Daily Returns'!D1427</f>
        <v>-2.0735155513667137E-3</v>
      </c>
      <c r="E1427" s="25">
        <f>'Daily Returns'!E1427</f>
        <v>3.4149962880475081E-2</v>
      </c>
    </row>
    <row r="1428" spans="1:5" ht="15" customHeight="1" x14ac:dyDescent="0.3">
      <c r="A1428" s="26">
        <f>'Daily Returns'!F1428</f>
        <v>-6.9532354064914667E-3</v>
      </c>
      <c r="B1428" s="26">
        <f>'Daily Returns'!B1428</f>
        <v>1.0246788858421037E-2</v>
      </c>
      <c r="C1428" s="26">
        <f>'Daily Returns'!C1428</f>
        <v>1.4262190065592878E-2</v>
      </c>
      <c r="D1428" s="26">
        <f>'Daily Returns'!D1428</f>
        <v>7.6816521848633605E-3</v>
      </c>
      <c r="E1428" s="26">
        <f>'Daily Returns'!E1428</f>
        <v>-1.610537157838874E-2</v>
      </c>
    </row>
    <row r="1429" spans="1:5" ht="15" customHeight="1" x14ac:dyDescent="0.3">
      <c r="A1429" s="25">
        <f>'Daily Returns'!F1429</f>
        <v>-1.4064876900458008E-3</v>
      </c>
      <c r="B1429" s="25">
        <f>'Daily Returns'!B1429</f>
        <v>-2.5357142857142939E-2</v>
      </c>
      <c r="C1429" s="25">
        <f>'Daily Returns'!C1429</f>
        <v>3.797301590991941E-4</v>
      </c>
      <c r="D1429" s="25">
        <f>'Daily Returns'!D1429</f>
        <v>6.3109222694327626E-3</v>
      </c>
      <c r="E1429" s="25">
        <f>'Daily Returns'!E1429</f>
        <v>1.0500269644386644E-2</v>
      </c>
    </row>
    <row r="1430" spans="1:5" ht="15" customHeight="1" x14ac:dyDescent="0.3">
      <c r="A1430" s="26">
        <f>'Daily Returns'!F1430</f>
        <v>1.5222563970048064E-2</v>
      </c>
      <c r="B1430" s="26">
        <f>'Daily Returns'!B1430</f>
        <v>-2.9094906559179179E-2</v>
      </c>
      <c r="C1430" s="26">
        <f>'Daily Returns'!C1430</f>
        <v>-1.465279499256336E-2</v>
      </c>
      <c r="D1430" s="26">
        <f>'Daily Returns'!D1430</f>
        <v>-2.6265135051226438E-2</v>
      </c>
      <c r="E1430" s="26">
        <f>'Daily Returns'!E1430</f>
        <v>-3.5254599108432275E-2</v>
      </c>
    </row>
    <row r="1431" spans="1:5" ht="15" customHeight="1" x14ac:dyDescent="0.3">
      <c r="A1431" s="25">
        <f>'Daily Returns'!F1431</f>
        <v>7.0849710708445167E-3</v>
      </c>
      <c r="B1431" s="25">
        <f>'Daily Returns'!B1431</f>
        <v>3.0193236714991294E-4</v>
      </c>
      <c r="C1431" s="25">
        <f>'Daily Returns'!C1431</f>
        <v>9.1551261237533908E-3</v>
      </c>
      <c r="D1431" s="25">
        <f>'Daily Returns'!D1431</f>
        <v>1.4985333503379635E-2</v>
      </c>
      <c r="E1431" s="25">
        <f>'Daily Returns'!E1431</f>
        <v>9.957372034753189E-3</v>
      </c>
    </row>
    <row r="1432" spans="1:5" ht="15" customHeight="1" x14ac:dyDescent="0.3">
      <c r="A1432" s="26">
        <f>'Daily Returns'!F1432</f>
        <v>-1.7368940294681515E-2</v>
      </c>
      <c r="B1432" s="26">
        <f>'Daily Returns'!B1432</f>
        <v>2.7920313914878967E-3</v>
      </c>
      <c r="C1432" s="26">
        <f>'Daily Returns'!C1432</f>
        <v>2.7597946416746663E-2</v>
      </c>
      <c r="D1432" s="26">
        <f>'Daily Returns'!D1432</f>
        <v>-8.4186718602750205E-3</v>
      </c>
      <c r="E1432" s="26">
        <f>'Daily Returns'!E1432</f>
        <v>5.4128942874633722E-3</v>
      </c>
    </row>
    <row r="1433" spans="1:5" ht="15" customHeight="1" x14ac:dyDescent="0.3">
      <c r="A1433" s="25">
        <f>'Daily Returns'!F1433</f>
        <v>4.9574220019436947E-3</v>
      </c>
      <c r="B1433" s="25">
        <f>'Daily Returns'!B1433</f>
        <v>3.3862593122132374E-3</v>
      </c>
      <c r="C1433" s="25">
        <f>'Daily Returns'!C1433</f>
        <v>6.686706569575436E-3</v>
      </c>
      <c r="D1433" s="25">
        <f>'Daily Returns'!D1433</f>
        <v>1.8247481467401603E-2</v>
      </c>
      <c r="E1433" s="25">
        <f>'Daily Returns'!E1433</f>
        <v>-1.672808844736429E-2</v>
      </c>
    </row>
    <row r="1434" spans="1:5" ht="15" customHeight="1" x14ac:dyDescent="0.3">
      <c r="A1434" s="26">
        <f>'Daily Returns'!F1434</f>
        <v>7.1850822474100037E-3</v>
      </c>
      <c r="B1434" s="26">
        <f>'Daily Returns'!B1434</f>
        <v>-1.2074396280186092E-2</v>
      </c>
      <c r="C1434" s="26">
        <f>'Daily Returns'!C1434</f>
        <v>-9.6998542762576547E-3</v>
      </c>
      <c r="D1434" s="26">
        <f>'Daily Returns'!D1434</f>
        <v>3.2356418393378245E-3</v>
      </c>
      <c r="E1434" s="26">
        <f>'Daily Returns'!E1434</f>
        <v>1.0885506632337229E-2</v>
      </c>
    </row>
    <row r="1435" spans="1:5" ht="15" customHeight="1" x14ac:dyDescent="0.3">
      <c r="A1435" s="25">
        <f>'Daily Returns'!F1435</f>
        <v>-1.257064210132225E-3</v>
      </c>
      <c r="B1435" s="25">
        <f>'Daily Returns'!B1435</f>
        <v>-1.7459955970545039E-3</v>
      </c>
      <c r="C1435" s="25">
        <f>'Daily Returns'!C1435</f>
        <v>-4.4107302420197756E-3</v>
      </c>
      <c r="D1435" s="25">
        <f>'Daily Returns'!D1435</f>
        <v>-9.7996650747378539E-3</v>
      </c>
      <c r="E1435" s="25">
        <f>'Daily Returns'!E1435</f>
        <v>2.4502692072089203E-3</v>
      </c>
    </row>
    <row r="1436" spans="1:5" ht="15" customHeight="1" x14ac:dyDescent="0.3">
      <c r="A1436" s="26">
        <f>'Daily Returns'!F1436</f>
        <v>-1.0396925924211932E-2</v>
      </c>
      <c r="B1436" s="26">
        <f>'Daily Returns'!B1436</f>
        <v>-1.9087452471482819E-2</v>
      </c>
      <c r="C1436" s="26">
        <f>'Daily Returns'!C1436</f>
        <v>-1.2412397120323869E-3</v>
      </c>
      <c r="D1436" s="26">
        <f>'Daily Returns'!D1436</f>
        <v>3.7582211086753693E-4</v>
      </c>
      <c r="E1436" s="26">
        <f>'Daily Returns'!E1436</f>
        <v>3.4638021419612072E-2</v>
      </c>
    </row>
    <row r="1437" spans="1:5" ht="15" customHeight="1" x14ac:dyDescent="0.3">
      <c r="A1437" s="25">
        <f>'Daily Returns'!F1437</f>
        <v>4.466074423155302E-3</v>
      </c>
      <c r="B1437" s="25">
        <f>'Daily Returns'!B1437</f>
        <v>3.3335917512983828E-3</v>
      </c>
      <c r="C1437" s="25">
        <f>'Daily Returns'!C1437</f>
        <v>-1.178157623035446E-2</v>
      </c>
      <c r="D1437" s="25">
        <f>'Daily Returns'!D1437</f>
        <v>2.3041763195792236E-2</v>
      </c>
      <c r="E1437" s="25">
        <f>'Daily Returns'!E1437</f>
        <v>2.6422132421511433E-3</v>
      </c>
    </row>
    <row r="1438" spans="1:5" ht="15" customHeight="1" x14ac:dyDescent="0.3">
      <c r="A1438" s="26">
        <f>'Daily Returns'!F1438</f>
        <v>-2.5433504748449704E-3</v>
      </c>
      <c r="B1438" s="26">
        <f>'Daily Returns'!B1438</f>
        <v>-2.2021325915623509E-2</v>
      </c>
      <c r="C1438" s="26">
        <f>'Daily Returns'!C1438</f>
        <v>-2.9594201889106879E-2</v>
      </c>
      <c r="D1438" s="26">
        <f>'Daily Returns'!D1438</f>
        <v>-1.1383805618458812E-2</v>
      </c>
      <c r="E1438" s="26">
        <f>'Daily Returns'!E1438</f>
        <v>7.9367539916292123E-3</v>
      </c>
    </row>
    <row r="1439" spans="1:5" ht="15" customHeight="1" x14ac:dyDescent="0.3">
      <c r="A1439" s="25">
        <f>'Daily Returns'!F1439</f>
        <v>3.3828779355763168E-3</v>
      </c>
      <c r="B1439" s="25">
        <f>'Daily Returns'!B1439</f>
        <v>-1.7381686023544194E-3</v>
      </c>
      <c r="C1439" s="25">
        <f>'Daily Returns'!C1439</f>
        <v>-6.0810029467942154E-3</v>
      </c>
      <c r="D1439" s="25">
        <f>'Daily Returns'!D1439</f>
        <v>-2.6496626013743585E-2</v>
      </c>
      <c r="E1439" s="25">
        <f>'Daily Returns'!E1439</f>
        <v>-2.3069115068745961E-3</v>
      </c>
    </row>
    <row r="1440" spans="1:5" ht="15" customHeight="1" x14ac:dyDescent="0.3">
      <c r="A1440" s="26">
        <f>'Daily Returns'!F1440</f>
        <v>6.9493073090050169E-3</v>
      </c>
      <c r="B1440" s="26">
        <f>'Daily Returns'!B1440</f>
        <v>3.8781163434903768E-3</v>
      </c>
      <c r="C1440" s="26">
        <f>'Daily Returns'!C1440</f>
        <v>2.2515004653849813E-2</v>
      </c>
      <c r="D1440" s="26">
        <f>'Daily Returns'!D1440</f>
        <v>-3.6883942766296504E-3</v>
      </c>
      <c r="E1440" s="26">
        <f>'Daily Returns'!E1440</f>
        <v>-2.0717721050684507E-2</v>
      </c>
    </row>
    <row r="1441" spans="1:5" ht="15" customHeight="1" x14ac:dyDescent="0.3">
      <c r="A1441" s="25">
        <f>'Daily Returns'!F1441</f>
        <v>5.1166016366129101E-3</v>
      </c>
      <c r="B1441" s="25">
        <f>'Daily Returns'!B1441</f>
        <v>-2.3967202775149844E-2</v>
      </c>
      <c r="C1441" s="25">
        <f>'Daily Returns'!C1441</f>
        <v>-1.3995480013183147E-2</v>
      </c>
      <c r="D1441" s="25">
        <f>'Daily Returns'!D1441</f>
        <v>2.0233612050807533E-2</v>
      </c>
      <c r="E1441" s="25">
        <f>'Daily Returns'!E1441</f>
        <v>4.9647399571842464E-2</v>
      </c>
    </row>
    <row r="1442" spans="1:5" ht="15" customHeight="1" x14ac:dyDescent="0.3">
      <c r="A1442" s="26">
        <f>'Daily Returns'!F1442</f>
        <v>-5.2259806326632229E-3</v>
      </c>
      <c r="B1442" s="26">
        <f>'Daily Returns'!B1442</f>
        <v>-6.9466882067851328E-3</v>
      </c>
      <c r="C1442" s="26">
        <f>'Daily Returns'!C1442</f>
        <v>-3.3453905873832637E-2</v>
      </c>
      <c r="D1442" s="26">
        <f>'Daily Returns'!D1442</f>
        <v>2.546296296296292E-2</v>
      </c>
      <c r="E1442" s="26">
        <f>'Daily Returns'!E1442</f>
        <v>3.929096307849201E-3</v>
      </c>
    </row>
    <row r="1443" spans="1:5" ht="15" customHeight="1" x14ac:dyDescent="0.3">
      <c r="A1443" s="25">
        <f>'Daily Returns'!F1443</f>
        <v>-1.7945908823337148E-2</v>
      </c>
      <c r="B1443" s="25">
        <f>'Daily Returns'!B1443</f>
        <v>1.1224987798926269E-2</v>
      </c>
      <c r="C1443" s="25">
        <f>'Daily Returns'!C1443</f>
        <v>-9.7161724867642974E-4</v>
      </c>
      <c r="D1443" s="25">
        <f>'Daily Returns'!D1443</f>
        <v>1.6655481666768286E-2</v>
      </c>
      <c r="E1443" s="25">
        <f>'Daily Returns'!E1443</f>
        <v>6.2440248565964829E-3</v>
      </c>
    </row>
    <row r="1444" spans="1:5" ht="15" customHeight="1" x14ac:dyDescent="0.3">
      <c r="A1444" s="26">
        <f>'Daily Returns'!F1444</f>
        <v>1.4489748464240348E-3</v>
      </c>
      <c r="B1444" s="26">
        <f>'Daily Returns'!B1444</f>
        <v>2.1798584298584365E-2</v>
      </c>
      <c r="C1444" s="26">
        <f>'Daily Returns'!C1444</f>
        <v>2.0048792951396655E-2</v>
      </c>
      <c r="D1444" s="26">
        <f>'Daily Returns'!D1444</f>
        <v>-3.3005280844935189E-2</v>
      </c>
      <c r="E1444" s="26">
        <f>'Daily Returns'!E1444</f>
        <v>2.0783230901694981E-3</v>
      </c>
    </row>
    <row r="1445" spans="1:5" ht="15" customHeight="1" x14ac:dyDescent="0.3">
      <c r="A1445" s="25">
        <f>'Daily Returns'!F1445</f>
        <v>-1.0464928569565222E-3</v>
      </c>
      <c r="B1445" s="25">
        <f>'Daily Returns'!B1445</f>
        <v>-2.0546327639140355E-2</v>
      </c>
      <c r="C1445" s="25">
        <f>'Daily Returns'!C1445</f>
        <v>-2.9787130892886728E-2</v>
      </c>
      <c r="D1445" s="25">
        <f>'Daily Returns'!D1445</f>
        <v>-3.3511232468660299E-3</v>
      </c>
      <c r="E1445" s="25">
        <f>'Daily Returns'!E1445</f>
        <v>-2.7228822849693336E-2</v>
      </c>
    </row>
    <row r="1446" spans="1:5" ht="15" customHeight="1" x14ac:dyDescent="0.3">
      <c r="A1446" s="26">
        <f>'Daily Returns'!F1446</f>
        <v>-1.5136144012639799E-3</v>
      </c>
      <c r="B1446" s="26">
        <f>'Daily Returns'!B1446</f>
        <v>5.0634946150136268E-3</v>
      </c>
      <c r="C1446" s="26">
        <f>'Daily Returns'!C1446</f>
        <v>3.9475327920050042E-3</v>
      </c>
      <c r="D1446" s="26">
        <f>'Daily Returns'!D1446</f>
        <v>-7.0983810709837258E-3</v>
      </c>
      <c r="E1446" s="26">
        <f>'Daily Returns'!E1446</f>
        <v>-2.5219298245613954E-2</v>
      </c>
    </row>
    <row r="1447" spans="1:5" ht="15" customHeight="1" x14ac:dyDescent="0.3">
      <c r="A1447" s="25">
        <f>'Daily Returns'!F1447</f>
        <v>4.0476570281789605E-3</v>
      </c>
      <c r="B1447" s="25">
        <f>'Daily Returns'!B1447</f>
        <v>-1.6793282686925187E-2</v>
      </c>
      <c r="C1447" s="25">
        <f>'Daily Returns'!C1447</f>
        <v>7.8515790259561825E-3</v>
      </c>
      <c r="D1447" s="25">
        <f>'Daily Returns'!D1447</f>
        <v>-2.3830427693465159E-3</v>
      </c>
      <c r="E1447" s="25">
        <f>'Daily Returns'!E1447</f>
        <v>-3.1183602049743835E-2</v>
      </c>
    </row>
    <row r="1448" spans="1:5" ht="15" customHeight="1" x14ac:dyDescent="0.3">
      <c r="A1448" s="26">
        <f>'Daily Returns'!F1448</f>
        <v>6.4152409074307243E-3</v>
      </c>
      <c r="B1448" s="26">
        <f>'Daily Returns'!B1448</f>
        <v>-1.8381455876372549E-2</v>
      </c>
      <c r="C1448" s="26">
        <f>'Daily Returns'!C1448</f>
        <v>1.0066216444230461E-2</v>
      </c>
      <c r="D1448" s="26">
        <f>'Daily Returns'!D1448</f>
        <v>-1.6846869499622871E-2</v>
      </c>
      <c r="E1448" s="26">
        <f>'Daily Returns'!E1448</f>
        <v>2.5414435915629217E-2</v>
      </c>
    </row>
    <row r="1449" spans="1:5" ht="15" customHeight="1" x14ac:dyDescent="0.3">
      <c r="A1449" s="25">
        <f>'Daily Returns'!F1449</f>
        <v>-1.1853502016727699E-2</v>
      </c>
      <c r="B1449" s="25">
        <f>'Daily Returns'!B1449</f>
        <v>2.2454221559367039E-2</v>
      </c>
      <c r="C1449" s="25">
        <f>'Daily Returns'!C1449</f>
        <v>1.0422226477670412E-2</v>
      </c>
      <c r="D1449" s="25">
        <f>'Daily Returns'!D1449</f>
        <v>-3.9641943734015639E-3</v>
      </c>
      <c r="E1449" s="25">
        <f>'Daily Returns'!E1449</f>
        <v>9.9704346732088309E-3</v>
      </c>
    </row>
    <row r="1450" spans="1:5" ht="15" customHeight="1" x14ac:dyDescent="0.3">
      <c r="A1450" s="26">
        <f>'Daily Returns'!F1450</f>
        <v>9.9275972372849727E-3</v>
      </c>
      <c r="B1450" s="26">
        <f>'Daily Returns'!B1450</f>
        <v>9.5623987034035053E-3</v>
      </c>
      <c r="C1450" s="26">
        <f>'Daily Returns'!C1450</f>
        <v>1.1318776588237734E-2</v>
      </c>
      <c r="D1450" s="26">
        <f>'Daily Returns'!D1450</f>
        <v>-1.8230838361792293E-2</v>
      </c>
      <c r="E1450" s="26">
        <f>'Daily Returns'!E1450</f>
        <v>-5.8546915387250329E-3</v>
      </c>
    </row>
    <row r="1451" spans="1:5" ht="15" customHeight="1" x14ac:dyDescent="0.3">
      <c r="A1451" s="25">
        <f>'Daily Returns'!F1451</f>
        <v>4.3311776751567502E-3</v>
      </c>
      <c r="B1451" s="25">
        <f>'Daily Returns'!B1451</f>
        <v>-1.0836410338738115E-2</v>
      </c>
      <c r="C1451" s="25">
        <f>'Daily Returns'!C1451</f>
        <v>-2.7340292342166395E-2</v>
      </c>
      <c r="D1451" s="25">
        <f>'Daily Returns'!D1451</f>
        <v>3.6942591866091314E-2</v>
      </c>
      <c r="E1451" s="25">
        <f>'Daily Returns'!E1451</f>
        <v>-2.6563919431131216E-2</v>
      </c>
    </row>
    <row r="1452" spans="1:5" ht="15" customHeight="1" x14ac:dyDescent="0.3">
      <c r="A1452" s="26">
        <f>'Daily Returns'!F1452</f>
        <v>2.2106009328501453E-3</v>
      </c>
      <c r="B1452" s="26">
        <f>'Daily Returns'!B1452</f>
        <v>3.4082609754118452E-3</v>
      </c>
      <c r="C1452" s="26">
        <f>'Daily Returns'!C1452</f>
        <v>1.14615999508086E-2</v>
      </c>
      <c r="D1452" s="26">
        <f>'Daily Returns'!D1452</f>
        <v>1.3241692414402418E-3</v>
      </c>
      <c r="E1452" s="26">
        <f>'Daily Returns'!E1452</f>
        <v>-1.5221238938053156E-2</v>
      </c>
    </row>
    <row r="1453" spans="1:5" ht="15" customHeight="1" x14ac:dyDescent="0.3">
      <c r="A1453" s="25">
        <f>'Daily Returns'!F1453</f>
        <v>1.0976112061750981E-3</v>
      </c>
      <c r="B1453" s="25">
        <f>'Daily Returns'!B1453</f>
        <v>9.2195713708046953E-3</v>
      </c>
      <c r="C1453" s="25">
        <f>'Daily Returns'!C1453</f>
        <v>2.4892498611904821E-2</v>
      </c>
      <c r="D1453" s="25">
        <f>'Daily Returns'!D1453</f>
        <v>-7.7455919395467135E-3</v>
      </c>
      <c r="E1453" s="25">
        <f>'Daily Returns'!E1453</f>
        <v>-1.4704921246976952E-3</v>
      </c>
    </row>
    <row r="1454" spans="1:5" ht="15" customHeight="1" x14ac:dyDescent="0.3">
      <c r="A1454" s="26">
        <f>'Daily Returns'!F1454</f>
        <v>2.5179801910320782E-2</v>
      </c>
      <c r="B1454" s="26">
        <f>'Daily Returns'!B1454</f>
        <v>2.8047119160188659E-3</v>
      </c>
      <c r="C1454" s="26">
        <f>'Daily Returns'!C1454</f>
        <v>-3.3137854264620832E-3</v>
      </c>
      <c r="D1454" s="26">
        <f>'Daily Returns'!D1454</f>
        <v>-1.9166084914640998E-2</v>
      </c>
      <c r="E1454" s="26">
        <f>'Daily Returns'!E1454</f>
        <v>-2.2842556533691195E-2</v>
      </c>
    </row>
    <row r="1455" spans="1:5" ht="15" customHeight="1" x14ac:dyDescent="0.3">
      <c r="A1455" s="25">
        <f>'Daily Returns'!F1455</f>
        <v>5.478751649895734E-3</v>
      </c>
      <c r="B1455" s="25">
        <f>'Daily Returns'!B1455</f>
        <v>3.1484737094454304E-2</v>
      </c>
      <c r="C1455" s="25">
        <f>'Daily Returns'!C1455</f>
        <v>7.1455494058601521E-3</v>
      </c>
      <c r="D1455" s="25">
        <f>'Daily Returns'!D1455</f>
        <v>1.5528955030734242E-2</v>
      </c>
      <c r="E1455" s="25">
        <f>'Daily Returns'!E1455</f>
        <v>1.694631434408387E-2</v>
      </c>
    </row>
    <row r="1456" spans="1:5" ht="15" customHeight="1" x14ac:dyDescent="0.3">
      <c r="A1456" s="26">
        <f>'Daily Returns'!F1456</f>
        <v>-6.0695466418744749E-4</v>
      </c>
      <c r="B1456" s="26">
        <f>'Daily Returns'!B1456</f>
        <v>8.6767895878523092E-3</v>
      </c>
      <c r="C1456" s="26">
        <f>'Daily Returns'!C1456</f>
        <v>-1.7297889271447986E-2</v>
      </c>
      <c r="D1456" s="26">
        <f>'Daily Returns'!D1456</f>
        <v>9.5571838165020712E-3</v>
      </c>
      <c r="E1456" s="26">
        <f>'Daily Returns'!E1456</f>
        <v>-1.4720895768154029E-2</v>
      </c>
    </row>
    <row r="1457" spans="1:5" ht="15" customHeight="1" x14ac:dyDescent="0.3">
      <c r="A1457" s="25">
        <f>'Daily Returns'!F1457</f>
        <v>-1.7650332879815905E-2</v>
      </c>
      <c r="B1457" s="25">
        <f>'Daily Returns'!B1457</f>
        <v>-4.1167434715821703E-2</v>
      </c>
      <c r="C1457" s="25">
        <f>'Daily Returns'!C1457</f>
        <v>2.3575394359704131E-2</v>
      </c>
      <c r="D1457" s="25">
        <f>'Daily Returns'!D1457</f>
        <v>1.8680971915430788E-2</v>
      </c>
      <c r="E1457" s="25">
        <f>'Daily Returns'!E1457</f>
        <v>-4.8465806537869799E-3</v>
      </c>
    </row>
    <row r="1458" spans="1:5" ht="15" customHeight="1" x14ac:dyDescent="0.3">
      <c r="A1458" s="26">
        <f>'Daily Returns'!F1458</f>
        <v>-2.7015753503538123E-3</v>
      </c>
      <c r="B1458" s="26">
        <f>'Daily Returns'!B1458</f>
        <v>-3.6847164370394743E-3</v>
      </c>
      <c r="C1458" s="26">
        <f>'Daily Returns'!C1458</f>
        <v>-1.0311902747751952E-2</v>
      </c>
      <c r="D1458" s="26">
        <f>'Daily Returns'!D1458</f>
        <v>5.8856328604176764E-3</v>
      </c>
      <c r="E1458" s="26">
        <f>'Daily Returns'!E1458</f>
        <v>-1.4106741006953143E-3</v>
      </c>
    </row>
    <row r="1459" spans="1:5" ht="15" customHeight="1" x14ac:dyDescent="0.3">
      <c r="A1459" s="25">
        <f>'Daily Returns'!F1459</f>
        <v>5.851913310867843E-3</v>
      </c>
      <c r="B1459" s="25">
        <f>'Daily Returns'!B1459</f>
        <v>-9.8890496864446845E-3</v>
      </c>
      <c r="C1459" s="25">
        <f>'Daily Returns'!C1459</f>
        <v>2.9690981112214632E-2</v>
      </c>
      <c r="D1459" s="25">
        <f>'Daily Returns'!D1459</f>
        <v>-6.9598423256961306E-3</v>
      </c>
      <c r="E1459" s="25">
        <f>'Daily Returns'!E1459</f>
        <v>-4.0866435706837907E-2</v>
      </c>
    </row>
    <row r="1460" spans="1:5" ht="15" customHeight="1" x14ac:dyDescent="0.3">
      <c r="A1460" s="26">
        <f>'Daily Returns'!F1460</f>
        <v>-1.404946549761908E-2</v>
      </c>
      <c r="B1460" s="26">
        <f>'Daily Returns'!B1460</f>
        <v>-2.5172553796183701E-3</v>
      </c>
      <c r="C1460" s="26">
        <f>'Daily Returns'!C1460</f>
        <v>-6.1067000760935079E-3</v>
      </c>
      <c r="D1460" s="26">
        <f>'Daily Returns'!D1460</f>
        <v>-1.1102152204924593E-2</v>
      </c>
      <c r="E1460" s="26">
        <f>'Daily Returns'!E1460</f>
        <v>1.574554635993811E-2</v>
      </c>
    </row>
    <row r="1461" spans="1:5" ht="15" customHeight="1" x14ac:dyDescent="0.3">
      <c r="A1461" s="25">
        <f>'Daily Returns'!F1461</f>
        <v>-1.3126798431415696E-3</v>
      </c>
      <c r="B1461" s="25">
        <f>'Daily Returns'!B1461</f>
        <v>4.884402474764106E-4</v>
      </c>
      <c r="C1461" s="25">
        <f>'Daily Returns'!C1461</f>
        <v>1.2551379066341361E-2</v>
      </c>
      <c r="D1461" s="25">
        <f>'Daily Returns'!D1461</f>
        <v>-1.1665830406422386E-2</v>
      </c>
      <c r="E1461" s="25">
        <f>'Daily Returns'!E1461</f>
        <v>1.2428793371310673E-3</v>
      </c>
    </row>
    <row r="1462" spans="1:5" ht="15" customHeight="1" x14ac:dyDescent="0.3">
      <c r="A1462" s="26">
        <f>'Daily Returns'!F1462</f>
        <v>1.9677913469467387E-3</v>
      </c>
      <c r="B1462" s="26">
        <f>'Daily Returns'!B1462</f>
        <v>-8.7062652563060002E-3</v>
      </c>
      <c r="C1462" s="26">
        <f>'Daily Returns'!C1462</f>
        <v>-8.8137690318983303E-3</v>
      </c>
      <c r="D1462" s="26">
        <f>'Daily Returns'!D1462</f>
        <v>-5.96522401319981E-3</v>
      </c>
      <c r="E1462" s="26">
        <f>'Daily Returns'!E1462</f>
        <v>-4.1377883521257888E-2</v>
      </c>
    </row>
    <row r="1463" spans="1:5" ht="15" customHeight="1" x14ac:dyDescent="0.3">
      <c r="A1463" s="25">
        <f>'Daily Returns'!F1463</f>
        <v>9.2659938046414491E-3</v>
      </c>
      <c r="B1463" s="25">
        <f>'Daily Returns'!B1463</f>
        <v>-1.4692604448822064E-2</v>
      </c>
      <c r="C1463" s="25">
        <f>'Daily Returns'!C1463</f>
        <v>3.3715397507271969E-2</v>
      </c>
      <c r="D1463" s="25">
        <f>'Daily Returns'!D1463</f>
        <v>1.1172114402451482E-2</v>
      </c>
      <c r="E1463" s="25">
        <f>'Daily Returns'!E1463</f>
        <v>-6.9421963238732671E-3</v>
      </c>
    </row>
    <row r="1464" spans="1:5" ht="15" customHeight="1" x14ac:dyDescent="0.3">
      <c r="A1464" s="26">
        <f>'Daily Returns'!F1464</f>
        <v>-1.6711269553783756E-2</v>
      </c>
      <c r="B1464" s="26">
        <f>'Daily Returns'!B1464</f>
        <v>1.9160279906697743E-2</v>
      </c>
      <c r="C1464" s="26">
        <f>'Daily Returns'!C1464</f>
        <v>-3.4188575730695558E-2</v>
      </c>
      <c r="D1464" s="26">
        <f>'Daily Returns'!D1464</f>
        <v>-8.2707241618787414E-3</v>
      </c>
      <c r="E1464" s="26">
        <f>'Daily Returns'!E1464</f>
        <v>-5.8316430020282414E-3</v>
      </c>
    </row>
    <row r="1465" spans="1:5" ht="15" customHeight="1" x14ac:dyDescent="0.3">
      <c r="A1465" s="25">
        <f>'Daily Returns'!F1465</f>
        <v>-1.7300609752938362E-3</v>
      </c>
      <c r="B1465" s="25">
        <f>'Daily Returns'!B1465</f>
        <v>8.6643779630538025E-3</v>
      </c>
      <c r="C1465" s="25">
        <f>'Daily Returns'!C1465</f>
        <v>7.1083188941586262E-3</v>
      </c>
      <c r="D1465" s="25">
        <f>'Daily Returns'!D1465</f>
        <v>4.9019607843136092E-3</v>
      </c>
      <c r="E1465" s="25">
        <f>'Daily Returns'!E1465</f>
        <v>-1.9054905818486602E-2</v>
      </c>
    </row>
    <row r="1466" spans="1:5" ht="15" customHeight="1" x14ac:dyDescent="0.3">
      <c r="A1466" s="26">
        <f>'Daily Returns'!F1466</f>
        <v>-2.3157439832180485E-3</v>
      </c>
      <c r="B1466" s="26">
        <f>'Daily Returns'!B1466</f>
        <v>-8.9951377633711461E-3</v>
      </c>
      <c r="C1466" s="26">
        <f>'Daily Returns'!C1466</f>
        <v>-3.6083916083916111E-2</v>
      </c>
      <c r="D1466" s="26">
        <f>'Daily Returns'!D1466</f>
        <v>1.2226797592651295E-2</v>
      </c>
      <c r="E1466" s="26">
        <f>'Daily Returns'!E1466</f>
        <v>7.056900906254558E-3</v>
      </c>
    </row>
    <row r="1467" spans="1:5" ht="15" customHeight="1" x14ac:dyDescent="0.3">
      <c r="A1467" s="25">
        <f>'Daily Returns'!F1467</f>
        <v>4.0657158415330065E-4</v>
      </c>
      <c r="B1467" s="25">
        <f>'Daily Returns'!B1467</f>
        <v>9.7309673726387897E-3</v>
      </c>
      <c r="C1467" s="25">
        <f>'Daily Returns'!C1467</f>
        <v>-2.0655276317986325E-2</v>
      </c>
      <c r="D1467" s="25">
        <f>'Daily Returns'!D1467</f>
        <v>-6.7592940292903522E-3</v>
      </c>
      <c r="E1467" s="25">
        <f>'Daily Returns'!E1467</f>
        <v>2.3235229032971941E-2</v>
      </c>
    </row>
    <row r="1468" spans="1:5" ht="15" customHeight="1" x14ac:dyDescent="0.3">
      <c r="A1468" s="26">
        <f>'Daily Returns'!F1468</f>
        <v>5.0947177190086221E-3</v>
      </c>
      <c r="B1468" s="26">
        <f>'Daily Returns'!B1468</f>
        <v>9.6371882086167607E-3</v>
      </c>
      <c r="C1468" s="26">
        <f>'Daily Returns'!C1468</f>
        <v>3.3966277266786395E-2</v>
      </c>
      <c r="D1468" s="26">
        <f>'Daily Returns'!D1468</f>
        <v>1.5816005040957905E-2</v>
      </c>
      <c r="E1468" s="26">
        <f>'Daily Returns'!E1468</f>
        <v>7.0285467128027275E-3</v>
      </c>
    </row>
    <row r="1469" spans="1:5" ht="15" customHeight="1" x14ac:dyDescent="0.3">
      <c r="A1469" s="25">
        <f>'Daily Returns'!F1469</f>
        <v>1.0308531573219554E-2</v>
      </c>
      <c r="B1469" s="25">
        <f>'Daily Returns'!B1469</f>
        <v>1.7887222266784342E-2</v>
      </c>
      <c r="C1469" s="25">
        <f>'Daily Returns'!C1469</f>
        <v>1.6613669375416994E-2</v>
      </c>
      <c r="D1469" s="25">
        <f>'Daily Returns'!D1469</f>
        <v>7.0094907263817093E-3</v>
      </c>
      <c r="E1469" s="25">
        <f>'Daily Returns'!E1469</f>
        <v>-2.6199935573928895E-2</v>
      </c>
    </row>
    <row r="1470" spans="1:5" ht="15" customHeight="1" x14ac:dyDescent="0.3">
      <c r="A1470" s="26">
        <f>'Daily Returns'!F1470</f>
        <v>1.280004218439287E-2</v>
      </c>
      <c r="B1470" s="26">
        <f>'Daily Returns'!B1470</f>
        <v>-1.4263199369582365E-2</v>
      </c>
      <c r="C1470" s="26">
        <f>'Daily Returns'!C1470</f>
        <v>-3.4869980923842005E-2</v>
      </c>
      <c r="D1470" s="26">
        <f>'Daily Returns'!D1470</f>
        <v>6.4679068621410797E-3</v>
      </c>
      <c r="E1470" s="26">
        <f>'Daily Returns'!E1470</f>
        <v>-1.2313007681846459E-2</v>
      </c>
    </row>
    <row r="1471" spans="1:5" ht="15" customHeight="1" x14ac:dyDescent="0.3">
      <c r="A1471" s="25">
        <f>'Daily Returns'!F1471</f>
        <v>2.9784767514268409E-2</v>
      </c>
      <c r="B1471" s="25">
        <f>'Daily Returns'!B1471</f>
        <v>1.1111999360460473E-2</v>
      </c>
      <c r="C1471" s="25">
        <f>'Daily Returns'!C1471</f>
        <v>4.9213386041003875E-4</v>
      </c>
      <c r="D1471" s="25">
        <f>'Daily Returns'!D1471</f>
        <v>-6.1203256013164244E-5</v>
      </c>
      <c r="E1471" s="25">
        <f>'Daily Returns'!E1471</f>
        <v>-3.6915748734742536E-2</v>
      </c>
    </row>
    <row r="1472" spans="1:5" ht="15" customHeight="1" x14ac:dyDescent="0.3">
      <c r="A1472" s="26">
        <f>'Daily Returns'!F1472</f>
        <v>2.8587209174386766E-3</v>
      </c>
      <c r="B1472" s="26">
        <f>'Daily Returns'!B1472</f>
        <v>-8.1435800126502308E-3</v>
      </c>
      <c r="C1472" s="26">
        <f>'Daily Returns'!C1472</f>
        <v>-1.0337725700346068E-2</v>
      </c>
      <c r="D1472" s="26">
        <f>'Daily Returns'!D1472</f>
        <v>3.1827641082140426E-3</v>
      </c>
      <c r="E1472" s="26">
        <f>'Daily Returns'!E1472</f>
        <v>4.2503863987633922E-3</v>
      </c>
    </row>
    <row r="1473" spans="1:5" ht="15" customHeight="1" x14ac:dyDescent="0.3">
      <c r="A1473" s="25">
        <f>'Daily Returns'!F1473</f>
        <v>5.5444612330196649E-3</v>
      </c>
      <c r="B1473" s="25">
        <f>'Daily Returns'!B1473</f>
        <v>1.6341171781586266E-2</v>
      </c>
      <c r="C1473" s="25">
        <f>'Daily Returns'!C1473</f>
        <v>1.0647755283468851E-2</v>
      </c>
      <c r="D1473" s="25">
        <f>'Daily Returns'!D1473</f>
        <v>-1.3178767541183627E-2</v>
      </c>
      <c r="E1473" s="25">
        <f>'Daily Returns'!E1473</f>
        <v>-1.8353212774143833E-2</v>
      </c>
    </row>
    <row r="1474" spans="1:5" ht="15" customHeight="1" x14ac:dyDescent="0.3">
      <c r="A1474" s="26">
        <f>'Daily Returns'!F1474</f>
        <v>-1.0579079248592531E-3</v>
      </c>
      <c r="B1474" s="26">
        <f>'Daily Returns'!B1474</f>
        <v>-2.3529411764705659E-3</v>
      </c>
      <c r="C1474" s="26">
        <f>'Daily Returns'!C1474</f>
        <v>3.3234041702484909E-2</v>
      </c>
      <c r="D1474" s="26">
        <f>'Daily Returns'!D1474</f>
        <v>-1.2798318288611485E-2</v>
      </c>
      <c r="E1474" s="26">
        <f>'Daily Returns'!E1474</f>
        <v>5.6833771018695908E-3</v>
      </c>
    </row>
    <row r="1475" spans="1:5" ht="15" customHeight="1" x14ac:dyDescent="0.3">
      <c r="A1475" s="25">
        <f>'Daily Returns'!F1475</f>
        <v>-5.3980473150584674E-4</v>
      </c>
      <c r="B1475" s="25">
        <f>'Daily Returns'!B1475</f>
        <v>-3.1132075471698176E-2</v>
      </c>
      <c r="C1475" s="25">
        <f>'Daily Returns'!C1475</f>
        <v>1.2127685098116667E-2</v>
      </c>
      <c r="D1475" s="25">
        <f>'Daily Returns'!D1475</f>
        <v>4.3214129141355686E-3</v>
      </c>
      <c r="E1475" s="25">
        <f>'Daily Returns'!E1475</f>
        <v>1.5589679632083561E-2</v>
      </c>
    </row>
    <row r="1476" spans="1:5" ht="15" customHeight="1" x14ac:dyDescent="0.3">
      <c r="A1476" s="26">
        <f>'Daily Returns'!F1476</f>
        <v>-9.9099538479602359E-3</v>
      </c>
      <c r="B1476" s="26">
        <f>'Daily Returns'!B1476</f>
        <v>8.1142486205784269E-4</v>
      </c>
      <c r="C1476" s="26">
        <f>'Daily Returns'!C1476</f>
        <v>8.2622509567922397E-3</v>
      </c>
      <c r="D1476" s="26">
        <f>'Daily Returns'!D1476</f>
        <v>1.4467448241456678E-2</v>
      </c>
      <c r="E1476" s="26">
        <f>'Daily Returns'!E1476</f>
        <v>1.7077289124261222E-2</v>
      </c>
    </row>
    <row r="1477" spans="1:5" ht="15" customHeight="1" x14ac:dyDescent="0.3">
      <c r="A1477" s="25">
        <f>'Daily Returns'!F1477</f>
        <v>-1.6567576226175361E-3</v>
      </c>
      <c r="B1477" s="25">
        <f>'Daily Returns'!B1477</f>
        <v>-2.4404086265607305E-2</v>
      </c>
      <c r="C1477" s="25">
        <f>'Daily Returns'!C1477</f>
        <v>9.5558791408810653E-3</v>
      </c>
      <c r="D1477" s="25">
        <f>'Daily Returns'!D1477</f>
        <v>-3.1964593066142748E-3</v>
      </c>
      <c r="E1477" s="25">
        <f>'Daily Returns'!E1477</f>
        <v>4.4145945741992081E-3</v>
      </c>
    </row>
    <row r="1478" spans="1:5" ht="15" customHeight="1" x14ac:dyDescent="0.3">
      <c r="A1478" s="26">
        <f>'Daily Returns'!F1478</f>
        <v>-6.9962082247294602E-3</v>
      </c>
      <c r="B1478" s="26">
        <f>'Daily Returns'!B1478</f>
        <v>-2.7424582398404246E-3</v>
      </c>
      <c r="C1478" s="26">
        <f>'Daily Returns'!C1478</f>
        <v>-1.8675440968779204E-2</v>
      </c>
      <c r="D1478" s="26">
        <f>'Daily Returns'!D1478</f>
        <v>8.2634435125801889E-3</v>
      </c>
      <c r="E1478" s="26">
        <f>'Daily Returns'!E1478</f>
        <v>-4.3576258452290313E-3</v>
      </c>
    </row>
    <row r="1479" spans="1:5" ht="15" customHeight="1" x14ac:dyDescent="0.3">
      <c r="A1479" s="25">
        <f>'Daily Returns'!F1479</f>
        <v>-1.4119709088794485E-2</v>
      </c>
      <c r="B1479" s="25">
        <f>'Daily Returns'!B1479</f>
        <v>-5.0000000000001898E-4</v>
      </c>
      <c r="C1479" s="25">
        <f>'Daily Returns'!C1479</f>
        <v>1.2964097068054769E-2</v>
      </c>
      <c r="D1479" s="25">
        <f>'Daily Returns'!D1479</f>
        <v>-3.2415902140672851E-3</v>
      </c>
      <c r="E1479" s="25">
        <f>'Daily Returns'!E1479</f>
        <v>-3.0184123151222455E-2</v>
      </c>
    </row>
    <row r="1480" spans="1:5" ht="15" customHeight="1" x14ac:dyDescent="0.3">
      <c r="A1480" s="26">
        <f>'Daily Returns'!F1480</f>
        <v>2.1466842408549851E-3</v>
      </c>
      <c r="B1480" s="26">
        <f>'Daily Returns'!B1480</f>
        <v>-5.2526263131565405E-3</v>
      </c>
      <c r="C1480" s="26">
        <f>'Daily Returns'!C1480</f>
        <v>1.6841301809580371E-2</v>
      </c>
      <c r="D1480" s="26">
        <f>'Daily Returns'!D1480</f>
        <v>-1.1904031416825169E-2</v>
      </c>
      <c r="E1480" s="26">
        <f>'Daily Returns'!E1480</f>
        <v>4.1705571117335707E-2</v>
      </c>
    </row>
    <row r="1481" spans="1:5" ht="15" customHeight="1" x14ac:dyDescent="0.3">
      <c r="A1481" s="25">
        <f>'Daily Returns'!F1481</f>
        <v>-6.0004481616153385E-3</v>
      </c>
      <c r="B1481" s="25">
        <f>'Daily Returns'!B1481</f>
        <v>-2.0283295616461333E-2</v>
      </c>
      <c r="C1481" s="25">
        <f>'Daily Returns'!C1481</f>
        <v>-1.0207949343004862E-2</v>
      </c>
      <c r="D1481" s="25">
        <f>'Daily Returns'!D1481</f>
        <v>6.2100229770846622E-4</v>
      </c>
      <c r="E1481" s="25">
        <f>'Daily Returns'!E1481</f>
        <v>4.223931879294892E-2</v>
      </c>
    </row>
    <row r="1482" spans="1:5" ht="15" customHeight="1" x14ac:dyDescent="0.3">
      <c r="A1482" s="26">
        <f>'Daily Returns'!F1482</f>
        <v>2.67653102240565E-3</v>
      </c>
      <c r="B1482" s="26">
        <f>'Daily Returns'!B1482</f>
        <v>-1.5142441611771718E-2</v>
      </c>
      <c r="C1482" s="26">
        <f>'Daily Returns'!C1482</f>
        <v>-1.0737468885743706E-2</v>
      </c>
      <c r="D1482" s="26">
        <f>'Daily Returns'!D1482</f>
        <v>6.3923539998758843E-3</v>
      </c>
      <c r="E1482" s="26">
        <f>'Daily Returns'!E1482</f>
        <v>-1.2899989250009446E-3</v>
      </c>
    </row>
    <row r="1483" spans="1:5" ht="15" customHeight="1" x14ac:dyDescent="0.3">
      <c r="A1483" s="25">
        <f>'Daily Returns'!F1483</f>
        <v>-2.871230283770127E-3</v>
      </c>
      <c r="B1483" s="25">
        <f>'Daily Returns'!B1483</f>
        <v>-1.1379430159833236E-2</v>
      </c>
      <c r="C1483" s="25">
        <f>'Daily Returns'!C1483</f>
        <v>2.6171075951528875E-2</v>
      </c>
      <c r="D1483" s="25">
        <f>'Daily Returns'!D1483</f>
        <v>-1.0421805624074973E-2</v>
      </c>
      <c r="E1483" s="25">
        <f>'Daily Returns'!E1483</f>
        <v>8.6111011445589841E-3</v>
      </c>
    </row>
    <row r="1484" spans="1:5" ht="15" customHeight="1" x14ac:dyDescent="0.3">
      <c r="A1484" s="26">
        <f>'Daily Returns'!F1484</f>
        <v>6.0789401917977406E-3</v>
      </c>
      <c r="B1484" s="26">
        <f>'Daily Returns'!B1484</f>
        <v>-3.0753009401635052E-3</v>
      </c>
      <c r="C1484" s="26">
        <f>'Daily Returns'!C1484</f>
        <v>4.2863535668453499E-3</v>
      </c>
      <c r="D1484" s="26">
        <f>'Daily Returns'!D1484</f>
        <v>-8.9736399326976867E-3</v>
      </c>
      <c r="E1484" s="26">
        <f>'Daily Returns'!E1484</f>
        <v>-2.1237238091850262E-2</v>
      </c>
    </row>
    <row r="1485" spans="1:5" ht="15" customHeight="1" x14ac:dyDescent="0.3">
      <c r="A1485" s="25">
        <f>'Daily Returns'!F1485</f>
        <v>1.6698467771713184E-2</v>
      </c>
      <c r="B1485" s="25">
        <f>'Daily Returns'!B1485</f>
        <v>1.815617838885953E-2</v>
      </c>
      <c r="C1485" s="25">
        <f>'Daily Returns'!C1485</f>
        <v>-1.946588498703752E-2</v>
      </c>
      <c r="D1485" s="25">
        <f>'Daily Returns'!D1485</f>
        <v>-7.4199836508835239E-3</v>
      </c>
      <c r="E1485" s="25">
        <f>'Daily Returns'!E1485</f>
        <v>-6.8692302100748217E-3</v>
      </c>
    </row>
    <row r="1486" spans="1:5" ht="15" customHeight="1" x14ac:dyDescent="0.3">
      <c r="A1486" s="26">
        <f>'Daily Returns'!F1486</f>
        <v>6.342064704781855E-3</v>
      </c>
      <c r="B1486" s="26">
        <f>'Daily Returns'!B1486</f>
        <v>1.0128116343490319E-2</v>
      </c>
      <c r="C1486" s="26">
        <f>'Daily Returns'!C1486</f>
        <v>-6.8840933502587369E-3</v>
      </c>
      <c r="D1486" s="26">
        <f>'Daily Returns'!D1486</f>
        <v>3.2942667089009203E-3</v>
      </c>
      <c r="E1486" s="26">
        <f>'Daily Returns'!E1486</f>
        <v>9.5150960658734092E-4</v>
      </c>
    </row>
    <row r="1487" spans="1:5" ht="15" customHeight="1" x14ac:dyDescent="0.3">
      <c r="A1487" s="25">
        <f>'Daily Returns'!F1487</f>
        <v>-3.6873755230807754E-3</v>
      </c>
      <c r="B1487" s="25">
        <f>'Daily Returns'!B1487</f>
        <v>-6.2558916788071298E-3</v>
      </c>
      <c r="C1487" s="25">
        <f>'Daily Returns'!C1487</f>
        <v>-7.4763739775292734E-3</v>
      </c>
      <c r="D1487" s="25">
        <f>'Daily Returns'!D1487</f>
        <v>-2.2794721222453834E-2</v>
      </c>
      <c r="E1487" s="25">
        <f>'Daily Returns'!E1487</f>
        <v>-1.0676026470695828E-2</v>
      </c>
    </row>
    <row r="1488" spans="1:5" ht="15" customHeight="1" x14ac:dyDescent="0.3">
      <c r="A1488" s="26">
        <f>'Daily Returns'!F1488</f>
        <v>-3.8157943071397494E-3</v>
      </c>
      <c r="B1488" s="26">
        <f>'Daily Returns'!B1488</f>
        <v>1.8023456364263571E-2</v>
      </c>
      <c r="C1488" s="26">
        <f>'Daily Returns'!C1488</f>
        <v>-5.4104307007653578E-4</v>
      </c>
      <c r="D1488" s="26">
        <f>'Daily Returns'!D1488</f>
        <v>4.7169811320755895E-3</v>
      </c>
      <c r="E1488" s="26">
        <f>'Daily Returns'!E1488</f>
        <v>3.3704128016556437E-2</v>
      </c>
    </row>
    <row r="1489" spans="1:5" ht="15" customHeight="1" x14ac:dyDescent="0.3">
      <c r="A1489" s="25">
        <f>'Daily Returns'!F1489</f>
        <v>2.7529641237737687E-3</v>
      </c>
      <c r="B1489" s="25">
        <f>'Daily Returns'!B1489</f>
        <v>-1.8636171113934799E-2</v>
      </c>
      <c r="C1489" s="25">
        <f>'Daily Returns'!C1489</f>
        <v>-6.9001273283162377E-4</v>
      </c>
      <c r="D1489" s="25">
        <f>'Daily Returns'!D1489</f>
        <v>4.5018972281174905E-3</v>
      </c>
      <c r="E1489" s="25">
        <f>'Daily Returns'!E1489</f>
        <v>6.3637338672197265E-3</v>
      </c>
    </row>
    <row r="1490" spans="1:5" ht="15" customHeight="1" x14ac:dyDescent="0.3">
      <c r="A1490" s="26">
        <f>'Daily Returns'!F1490</f>
        <v>-4.3502776691234724E-3</v>
      </c>
      <c r="B1490" s="26">
        <f>'Daily Returns'!B1490</f>
        <v>9.7539922313337052E-3</v>
      </c>
      <c r="C1490" s="26">
        <f>'Daily Returns'!C1490</f>
        <v>-3.7995979140360188E-3</v>
      </c>
      <c r="D1490" s="26">
        <f>'Daily Returns'!D1490</f>
        <v>3.6494013701260848E-3</v>
      </c>
      <c r="E1490" s="26">
        <f>'Daily Returns'!E1490</f>
        <v>-1.126150129667134E-2</v>
      </c>
    </row>
    <row r="1491" spans="1:5" ht="15" customHeight="1" x14ac:dyDescent="0.3">
      <c r="A1491" s="25">
        <f>'Daily Returns'!F1491</f>
        <v>-3.5719798312409852E-3</v>
      </c>
      <c r="B1491" s="25">
        <f>'Daily Returns'!B1491</f>
        <v>-2.0516327577364429E-3</v>
      </c>
      <c r="C1491" s="25">
        <f>'Daily Returns'!C1491</f>
        <v>3.0118290399292362E-2</v>
      </c>
      <c r="D1491" s="25">
        <f>'Daily Returns'!D1491</f>
        <v>-8.4843072212298053E-3</v>
      </c>
      <c r="E1491" s="25">
        <f>'Daily Returns'!E1491</f>
        <v>-7.2578327105489431E-3</v>
      </c>
    </row>
    <row r="1492" spans="1:5" ht="15" customHeight="1" x14ac:dyDescent="0.3">
      <c r="A1492" s="26">
        <f>'Daily Returns'!F1492</f>
        <v>1.3349768129588446E-2</v>
      </c>
      <c r="B1492" s="26">
        <f>'Daily Returns'!B1492</f>
        <v>3.5977385643310069E-3</v>
      </c>
      <c r="C1492" s="26">
        <f>'Daily Returns'!C1492</f>
        <v>1.527497936818319E-2</v>
      </c>
      <c r="D1492" s="26">
        <f>'Daily Returns'!D1492</f>
        <v>4.8253232966608758E-3</v>
      </c>
      <c r="E1492" s="26">
        <f>'Daily Returns'!E1492</f>
        <v>5.1031487513571051E-3</v>
      </c>
    </row>
    <row r="1493" spans="1:5" ht="15" customHeight="1" x14ac:dyDescent="0.3">
      <c r="A1493" s="25">
        <f>'Daily Returns'!F1493</f>
        <v>3.5997970530471466E-3</v>
      </c>
      <c r="B1493" s="25">
        <f>'Daily Returns'!B1493</f>
        <v>9.1328098327074728E-3</v>
      </c>
      <c r="C1493" s="25">
        <f>'Daily Returns'!C1493</f>
        <v>2.6754689485227509E-2</v>
      </c>
      <c r="D1493" s="25">
        <f>'Daily Returns'!D1493</f>
        <v>-1.6967601485465524E-2</v>
      </c>
      <c r="E1493" s="25">
        <f>'Daily Returns'!E1493</f>
        <v>-2.9635230996362977E-2</v>
      </c>
    </row>
    <row r="1494" spans="1:5" ht="15" customHeight="1" x14ac:dyDescent="0.3">
      <c r="A1494" s="26">
        <f>'Daily Returns'!F1494</f>
        <v>-5.0110493320444146E-3</v>
      </c>
      <c r="B1494" s="26">
        <f>'Daily Returns'!B1494</f>
        <v>-9.0501564746680828E-3</v>
      </c>
      <c r="C1494" s="26">
        <f>'Daily Returns'!C1494</f>
        <v>-2.9295551640764729E-2</v>
      </c>
      <c r="D1494" s="26">
        <f>'Daily Returns'!D1494</f>
        <v>-1.1593825311014142E-2</v>
      </c>
      <c r="E1494" s="26">
        <f>'Daily Returns'!E1494</f>
        <v>9.6111028647765141E-3</v>
      </c>
    </row>
    <row r="1495" spans="1:5" ht="15" customHeight="1" x14ac:dyDescent="0.3">
      <c r="A1495" s="25">
        <f>'Daily Returns'!F1495</f>
        <v>2.485430580163513E-3</v>
      </c>
      <c r="B1495" s="25">
        <f>'Daily Returns'!B1495</f>
        <v>1.1351997268692373E-2</v>
      </c>
      <c r="C1495" s="25">
        <f>'Daily Returns'!C1495</f>
        <v>2.5569152434027475E-3</v>
      </c>
      <c r="D1495" s="25">
        <f>'Daily Returns'!D1495</f>
        <v>1.2981878088962102E-2</v>
      </c>
      <c r="E1495" s="25">
        <f>'Daily Returns'!E1495</f>
        <v>-2.9404197449180023E-4</v>
      </c>
    </row>
    <row r="1496" spans="1:5" ht="15" customHeight="1" x14ac:dyDescent="0.3">
      <c r="A1496" s="26">
        <f>'Daily Returns'!F1496</f>
        <v>-9.53131317244574E-4</v>
      </c>
      <c r="B1496" s="26">
        <f>'Daily Returns'!B1496</f>
        <v>2.5318592286269843E-4</v>
      </c>
      <c r="C1496" s="26">
        <f>'Daily Returns'!C1496</f>
        <v>2.1315578290869545E-2</v>
      </c>
      <c r="D1496" s="26">
        <f>'Daily Returns'!D1496</f>
        <v>-2.0556856622430369E-2</v>
      </c>
      <c r="E1496" s="26">
        <f>'Daily Returns'!E1496</f>
        <v>1.7463877348431928E-2</v>
      </c>
    </row>
    <row r="1497" spans="1:5" ht="15" customHeight="1" x14ac:dyDescent="0.3">
      <c r="A1497" s="25">
        <f>'Daily Returns'!F1497</f>
        <v>-5.3865174750659132E-3</v>
      </c>
      <c r="B1497" s="25">
        <f>'Daily Returns'!B1497</f>
        <v>3.3665204184947763E-2</v>
      </c>
      <c r="C1497" s="25">
        <f>'Daily Returns'!C1497</f>
        <v>1.3389974023737483E-2</v>
      </c>
      <c r="D1497" s="25">
        <f>'Daily Returns'!D1497</f>
        <v>-9.7635494155154014E-3</v>
      </c>
      <c r="E1497" s="25">
        <f>'Daily Returns'!E1497</f>
        <v>7.1908650719086833E-3</v>
      </c>
    </row>
    <row r="1498" spans="1:5" ht="15" customHeight="1" x14ac:dyDescent="0.3">
      <c r="A1498" s="26">
        <f>'Daily Returns'!F1498</f>
        <v>3.1871738799931272E-3</v>
      </c>
      <c r="B1498" s="26">
        <f>'Daily Returns'!B1498</f>
        <v>-3.8364215166108795E-3</v>
      </c>
      <c r="C1498" s="26">
        <f>'Daily Returns'!C1498</f>
        <v>-1.1386166657225348E-2</v>
      </c>
      <c r="D1498" s="26">
        <f>'Daily Returns'!D1498</f>
        <v>-8.719565363203511E-3</v>
      </c>
      <c r="E1498" s="26">
        <f>'Daily Returns'!E1498</f>
        <v>-1.1875291500735486E-2</v>
      </c>
    </row>
    <row r="1499" spans="1:5" ht="15" customHeight="1" x14ac:dyDescent="0.3">
      <c r="A1499" s="25">
        <f>'Daily Returns'!F1499</f>
        <v>-4.1881010877938595E-3</v>
      </c>
      <c r="B1499" s="25">
        <f>'Daily Returns'!B1499</f>
        <v>1.7862995739101873E-2</v>
      </c>
      <c r="C1499" s="25">
        <f>'Daily Returns'!C1499</f>
        <v>-1.2742092596837175E-2</v>
      </c>
      <c r="D1499" s="25">
        <f>'Daily Returns'!D1499</f>
        <v>1.0690845118073026E-2</v>
      </c>
      <c r="E1499" s="25">
        <f>'Daily Returns'!E1499</f>
        <v>-1.2163241594655518E-2</v>
      </c>
    </row>
    <row r="1500" spans="1:5" ht="15" customHeight="1" x14ac:dyDescent="0.3">
      <c r="A1500" s="26">
        <f>'Daily Returns'!F1500</f>
        <v>-6.364337441009592E-3</v>
      </c>
      <c r="B1500" s="26">
        <f>'Daily Returns'!B1500</f>
        <v>9.3382708098534578E-3</v>
      </c>
      <c r="C1500" s="26">
        <f>'Daily Returns'!C1500</f>
        <v>1.753157715272401E-2</v>
      </c>
      <c r="D1500" s="26">
        <f>'Daily Returns'!D1500</f>
        <v>-2.2293633259690783E-2</v>
      </c>
      <c r="E1500" s="26">
        <f>'Daily Returns'!E1500</f>
        <v>2.6684309185136146E-2</v>
      </c>
    </row>
    <row r="1501" spans="1:5" ht="15" customHeight="1" x14ac:dyDescent="0.3">
      <c r="A1501" s="25">
        <f>'Daily Returns'!F1501</f>
        <v>8.4553534813641071E-3</v>
      </c>
      <c r="B1501" s="25">
        <f>'Daily Returns'!B1501</f>
        <v>-1.5951507417450949E-2</v>
      </c>
      <c r="C1501" s="25">
        <f>'Daily Returns'!C1501</f>
        <v>-3.1550014794641001E-3</v>
      </c>
      <c r="D1501" s="25">
        <f>'Daily Returns'!D1501</f>
        <v>-8.9016707751299849E-3</v>
      </c>
      <c r="E1501" s="25">
        <f>'Daily Returns'!E1501</f>
        <v>8.5561880213369246E-3</v>
      </c>
    </row>
    <row r="1502" spans="1:5" ht="15" customHeight="1" x14ac:dyDescent="0.3">
      <c r="A1502" s="26">
        <f>'Daily Returns'!F1502</f>
        <v>-7.3449009248018459E-3</v>
      </c>
      <c r="B1502" s="26">
        <f>'Daily Returns'!B1502</f>
        <v>1.9127897552277513E-2</v>
      </c>
      <c r="C1502" s="26">
        <f>'Daily Returns'!C1502</f>
        <v>1.203052692563544E-2</v>
      </c>
      <c r="D1502" s="26">
        <f>'Daily Returns'!D1502</f>
        <v>-1.6719635207959209E-2</v>
      </c>
      <c r="E1502" s="26">
        <f>'Daily Returns'!E1502</f>
        <v>1.1749254579014429E-2</v>
      </c>
    </row>
    <row r="1503" spans="1:5" ht="15" customHeight="1" x14ac:dyDescent="0.3">
      <c r="A1503" s="25">
        <f>'Daily Returns'!F1503</f>
        <v>1.6111793669471252E-2</v>
      </c>
      <c r="B1503" s="25">
        <f>'Daily Returns'!B1503</f>
        <v>-1.4394782885318818E-2</v>
      </c>
      <c r="C1503" s="25">
        <f>'Daily Returns'!C1503</f>
        <v>3.3570565328320126E-3</v>
      </c>
      <c r="D1503" s="25">
        <f>'Daily Returns'!D1503</f>
        <v>2.6489600899381748E-2</v>
      </c>
      <c r="E1503" s="25">
        <f>'Daily Returns'!E1503</f>
        <v>1.1682980738869737E-2</v>
      </c>
    </row>
    <row r="1504" spans="1:5" ht="15" customHeight="1" x14ac:dyDescent="0.3">
      <c r="A1504" s="26">
        <f>'Daily Returns'!F1504</f>
        <v>-1.3669459991099657E-2</v>
      </c>
      <c r="B1504" s="26">
        <f>'Daily Returns'!B1504</f>
        <v>-3.0581780037117777E-2</v>
      </c>
      <c r="C1504" s="26">
        <f>'Daily Returns'!C1504</f>
        <v>-1.4792065817650008E-3</v>
      </c>
      <c r="D1504" s="26">
        <f>'Daily Returns'!D1504</f>
        <v>-3.9701553836676874E-3</v>
      </c>
      <c r="E1504" s="26">
        <f>'Daily Returns'!E1504</f>
        <v>-1.2137605770565359E-3</v>
      </c>
    </row>
    <row r="1505" spans="1:5" ht="15" customHeight="1" x14ac:dyDescent="0.3">
      <c r="A1505" s="25">
        <f>'Daily Returns'!F1505</f>
        <v>5.615574879965439E-3</v>
      </c>
      <c r="B1505" s="25">
        <f>'Daily Returns'!B1505</f>
        <v>1.2152488763109653E-2</v>
      </c>
      <c r="C1505" s="25">
        <f>'Daily Returns'!C1505</f>
        <v>2.7194232424272483E-3</v>
      </c>
      <c r="D1505" s="25">
        <f>'Daily Returns'!D1505</f>
        <v>-7.7657892928320767E-3</v>
      </c>
      <c r="E1505" s="25">
        <f>'Daily Returns'!E1505</f>
        <v>-2.0242352696086888E-2</v>
      </c>
    </row>
    <row r="1506" spans="1:5" ht="15" customHeight="1" x14ac:dyDescent="0.3">
      <c r="A1506" s="26">
        <f>'Daily Returns'!F1506</f>
        <v>4.8432590427475814E-3</v>
      </c>
      <c r="B1506" s="26">
        <f>'Daily Returns'!B1506</f>
        <v>1.5131578947368449E-2</v>
      </c>
      <c r="C1506" s="26">
        <f>'Daily Returns'!C1506</f>
        <v>-1.4035112404014286E-2</v>
      </c>
      <c r="D1506" s="26">
        <f>'Daily Returns'!D1506</f>
        <v>2.2163734589277823E-3</v>
      </c>
      <c r="E1506" s="26">
        <f>'Daily Returns'!E1506</f>
        <v>3.4481536607839029E-2</v>
      </c>
    </row>
    <row r="1507" spans="1:5" ht="15" customHeight="1" x14ac:dyDescent="0.3">
      <c r="A1507" s="25">
        <f>'Daily Returns'!F1507</f>
        <v>4.4014084507041987E-3</v>
      </c>
      <c r="B1507" s="25">
        <f>'Daily Returns'!B1507</f>
        <v>1.0531432274789004E-3</v>
      </c>
      <c r="C1507" s="25">
        <f>'Daily Returns'!C1507</f>
        <v>3.059968533377096E-2</v>
      </c>
      <c r="D1507" s="25">
        <f>'Daily Returns'!D1507</f>
        <v>1.3959917069799658E-2</v>
      </c>
      <c r="E1507" s="25">
        <f>'Daily Returns'!E1507</f>
        <v>-3.1859134664794174E-3</v>
      </c>
    </row>
    <row r="1508" spans="1:5" ht="15" customHeight="1" x14ac:dyDescent="0.3">
      <c r="A1508" s="26">
        <f>'Daily Returns'!F1508</f>
        <v>3.7087838989907809E-3</v>
      </c>
      <c r="B1508" s="26">
        <f>'Daily Returns'!B1508</f>
        <v>-3.3179574330338803E-3</v>
      </c>
      <c r="C1508" s="26">
        <f>'Daily Returns'!C1508</f>
        <v>1.0263990528742668E-2</v>
      </c>
      <c r="D1508" s="26">
        <f>'Daily Returns'!D1508</f>
        <v>-3.2238276990185319E-2</v>
      </c>
      <c r="E1508" s="26">
        <f>'Daily Returns'!E1508</f>
        <v>2.48470685270464E-2</v>
      </c>
    </row>
    <row r="1509" spans="1:5" ht="15" customHeight="1" x14ac:dyDescent="0.3">
      <c r="A1509" s="25">
        <f>'Daily Returns'!F1509</f>
        <v>1.0611496909405813E-2</v>
      </c>
      <c r="B1509" s="25">
        <f>'Daily Returns'!B1509</f>
        <v>2.2247482949009491E-2</v>
      </c>
      <c r="C1509" s="25">
        <f>'Daily Returns'!C1509</f>
        <v>2.52776359568118E-2</v>
      </c>
      <c r="D1509" s="25">
        <f>'Daily Returns'!D1509</f>
        <v>-1.6620888794985657E-2</v>
      </c>
      <c r="E1509" s="25">
        <f>'Daily Returns'!E1509</f>
        <v>-1.2407363938164535E-3</v>
      </c>
    </row>
    <row r="1510" spans="1:5" ht="15" customHeight="1" x14ac:dyDescent="0.3">
      <c r="A1510" s="26">
        <f>'Daily Returns'!F1510</f>
        <v>-2.5627871246803003E-3</v>
      </c>
      <c r="B1510" s="26">
        <f>'Daily Returns'!B1510</f>
        <v>1.0166799046862598E-2</v>
      </c>
      <c r="C1510" s="26">
        <f>'Daily Returns'!C1510</f>
        <v>-8.7395059087748105E-3</v>
      </c>
      <c r="D1510" s="26">
        <f>'Daily Returns'!D1510</f>
        <v>3.8673637470457069E-3</v>
      </c>
      <c r="E1510" s="26">
        <f>'Daily Returns'!E1510</f>
        <v>2.1420897125973854E-2</v>
      </c>
    </row>
    <row r="1511" spans="1:5" ht="15" customHeight="1" x14ac:dyDescent="0.3">
      <c r="A1511" s="25">
        <f>'Daily Returns'!F1511</f>
        <v>-3.8953838788641517E-3</v>
      </c>
      <c r="B1511" s="25">
        <f>'Daily Returns'!B1511</f>
        <v>-8.7277873879541869E-3</v>
      </c>
      <c r="C1511" s="25">
        <f>'Daily Returns'!C1511</f>
        <v>-8.9379334526856671E-3</v>
      </c>
      <c r="D1511" s="25">
        <f>'Daily Returns'!D1511</f>
        <v>-9.5598202183061649E-3</v>
      </c>
      <c r="E1511" s="25">
        <f>'Daily Returns'!E1511</f>
        <v>-1.5909539149299951E-2</v>
      </c>
    </row>
    <row r="1512" spans="1:5" ht="15" customHeight="1" x14ac:dyDescent="0.3">
      <c r="A1512" s="26">
        <f>'Daily Returns'!F1512</f>
        <v>-3.4251575858053811E-3</v>
      </c>
      <c r="B1512" s="26">
        <f>'Daily Returns'!B1512</f>
        <v>1.0391052589831066E-2</v>
      </c>
      <c r="C1512" s="26">
        <f>'Daily Returns'!C1512</f>
        <v>-5.0348698758292849E-3</v>
      </c>
      <c r="D1512" s="26">
        <f>'Daily Returns'!D1512</f>
        <v>-2.2329467694302545E-2</v>
      </c>
      <c r="E1512" s="26">
        <f>'Daily Returns'!E1512</f>
        <v>-2.4383726367826881E-2</v>
      </c>
    </row>
    <row r="1513" spans="1:5" ht="15" customHeight="1" x14ac:dyDescent="0.3">
      <c r="A1513" s="25">
        <f>'Daily Returns'!F1513</f>
        <v>2.2933769315720987E-2</v>
      </c>
      <c r="B1513" s="25">
        <f>'Daily Returns'!B1513</f>
        <v>-1.6878630868268109E-2</v>
      </c>
      <c r="C1513" s="25">
        <f>'Daily Returns'!C1513</f>
        <v>-1.4603207166547009E-2</v>
      </c>
      <c r="D1513" s="25">
        <f>'Daily Returns'!D1513</f>
        <v>-1.0756649230088998E-2</v>
      </c>
      <c r="E1513" s="25">
        <f>'Daily Returns'!E1513</f>
        <v>-4.7932073404545923E-3</v>
      </c>
    </row>
    <row r="1514" spans="1:5" ht="15" customHeight="1" x14ac:dyDescent="0.3">
      <c r="A1514" s="26">
        <f>'Daily Returns'!F1514</f>
        <v>-1.1448169378150888E-2</v>
      </c>
      <c r="B1514" s="26">
        <f>'Daily Returns'!B1514</f>
        <v>-7.4263355426016676E-3</v>
      </c>
      <c r="C1514" s="26">
        <f>'Daily Returns'!C1514</f>
        <v>1.2557295479859423E-2</v>
      </c>
      <c r="D1514" s="26">
        <f>'Daily Returns'!D1514</f>
        <v>2.9045952185893075E-3</v>
      </c>
      <c r="E1514" s="26">
        <f>'Daily Returns'!E1514</f>
        <v>-8.6693270950873192E-3</v>
      </c>
    </row>
    <row r="1515" spans="1:5" ht="15" customHeight="1" x14ac:dyDescent="0.3">
      <c r="A1515" s="25">
        <f>'Daily Returns'!F1515</f>
        <v>1.2595517866922539E-2</v>
      </c>
      <c r="B1515" s="25">
        <f>'Daily Returns'!B1515</f>
        <v>-1.4239742558326598E-2</v>
      </c>
      <c r="C1515" s="25">
        <f>'Daily Returns'!C1515</f>
        <v>1.316231349676864E-2</v>
      </c>
      <c r="D1515" s="25">
        <f>'Daily Returns'!D1515</f>
        <v>5.4953215505718781E-3</v>
      </c>
      <c r="E1515" s="25">
        <f>'Daily Returns'!E1515</f>
        <v>1.2978900610771626E-2</v>
      </c>
    </row>
    <row r="1516" spans="1:5" ht="15" customHeight="1" x14ac:dyDescent="0.3">
      <c r="A1516" s="26">
        <f>'Daily Returns'!F1516</f>
        <v>-9.0638561948172963E-3</v>
      </c>
      <c r="B1516" s="26">
        <f>'Daily Returns'!B1516</f>
        <v>-3.019668652574882E-2</v>
      </c>
      <c r="C1516" s="26">
        <f>'Daily Returns'!C1516</f>
        <v>-8.4556871260472368E-3</v>
      </c>
      <c r="D1516" s="26">
        <f>'Daily Returns'!D1516</f>
        <v>3.1240768094534636E-2</v>
      </c>
      <c r="E1516" s="26">
        <f>'Daily Returns'!E1516</f>
        <v>6.988694758479002E-3</v>
      </c>
    </row>
    <row r="1517" spans="1:5" ht="15" customHeight="1" x14ac:dyDescent="0.3">
      <c r="A1517" s="25">
        <f>'Daily Returns'!F1517</f>
        <v>6.4465492862812281E-3</v>
      </c>
      <c r="B1517" s="25">
        <f>'Daily Returns'!B1517</f>
        <v>-1.5989228309349419E-2</v>
      </c>
      <c r="C1517" s="25">
        <f>'Daily Returns'!C1517</f>
        <v>-5.0416326976146734E-3</v>
      </c>
      <c r="D1517" s="25">
        <f>'Daily Returns'!D1517</f>
        <v>-2.54243357444674E-2</v>
      </c>
      <c r="E1517" s="25">
        <f>'Daily Returns'!E1517</f>
        <v>-2.8747363407498089E-2</v>
      </c>
    </row>
    <row r="1518" spans="1:5" ht="15" customHeight="1" x14ac:dyDescent="0.3">
      <c r="A1518" s="26">
        <f>'Daily Returns'!F1518</f>
        <v>1.2900339621942314E-2</v>
      </c>
      <c r="B1518" s="26">
        <f>'Daily Returns'!B1518</f>
        <v>1.7275292910288172E-2</v>
      </c>
      <c r="C1518" s="26">
        <f>'Daily Returns'!C1518</f>
        <v>7.2373586212335144E-3</v>
      </c>
      <c r="D1518" s="26">
        <f>'Daily Returns'!D1518</f>
        <v>-2.2927689594356291E-2</v>
      </c>
      <c r="E1518" s="26">
        <f>'Daily Returns'!E1518</f>
        <v>-1.3555641178325001E-2</v>
      </c>
    </row>
    <row r="1519" spans="1:5" ht="15" customHeight="1" x14ac:dyDescent="0.3">
      <c r="A1519" s="25">
        <f>'Daily Returns'!F1519</f>
        <v>-1.3504722201315145E-2</v>
      </c>
      <c r="B1519" s="25">
        <f>'Daily Returns'!B1519</f>
        <v>-1.4880201765447633E-2</v>
      </c>
      <c r="C1519" s="25">
        <f>'Daily Returns'!C1519</f>
        <v>-1.2679038231129506E-2</v>
      </c>
      <c r="D1519" s="25">
        <f>'Daily Returns'!D1519</f>
        <v>-1.8577015643802638E-2</v>
      </c>
      <c r="E1519" s="25">
        <f>'Daily Returns'!E1519</f>
        <v>-2.5956963283857687E-2</v>
      </c>
    </row>
    <row r="1520" spans="1:5" ht="15" customHeight="1" x14ac:dyDescent="0.3">
      <c r="A1520" s="26">
        <f>'Daily Returns'!F1520</f>
        <v>-9.6625276858766408E-3</v>
      </c>
      <c r="B1520" s="26">
        <f>'Daily Returns'!B1520</f>
        <v>-7.3391363713945518E-3</v>
      </c>
      <c r="C1520" s="26">
        <f>'Daily Returns'!C1520</f>
        <v>-6.6260553596238989E-3</v>
      </c>
      <c r="D1520" s="26">
        <f>'Daily Returns'!D1520</f>
        <v>1.5710016093187087E-2</v>
      </c>
      <c r="E1520" s="26">
        <f>'Daily Returns'!E1520</f>
        <v>-1.3670664576573949E-2</v>
      </c>
    </row>
    <row r="1521" spans="1:5" ht="15" customHeight="1" x14ac:dyDescent="0.3">
      <c r="A1521" s="25">
        <f>'Daily Returns'!F1521</f>
        <v>1.0225998453492023E-2</v>
      </c>
      <c r="B1521" s="25">
        <f>'Daily Returns'!B1521</f>
        <v>-1.573246217331498E-2</v>
      </c>
      <c r="C1521" s="25">
        <f>'Daily Returns'!C1521</f>
        <v>2.812125839421132E-2</v>
      </c>
      <c r="D1521" s="25">
        <f>'Daily Returns'!D1521</f>
        <v>-1.3731703636637945E-2</v>
      </c>
      <c r="E1521" s="25">
        <f>'Daily Returns'!E1521</f>
        <v>-1.2936132465997292E-3</v>
      </c>
    </row>
    <row r="1522" spans="1:5" ht="15" customHeight="1" x14ac:dyDescent="0.3">
      <c r="A1522" s="26">
        <f>'Daily Returns'!F1522</f>
        <v>1.3979805868295064E-2</v>
      </c>
      <c r="B1522" s="26">
        <f>'Daily Returns'!B1522</f>
        <v>1.2315486068652379E-2</v>
      </c>
      <c r="C1522" s="26">
        <f>'Daily Returns'!C1522</f>
        <v>-1.25739245497016E-2</v>
      </c>
      <c r="D1522" s="26">
        <f>'Daily Returns'!D1522</f>
        <v>-2.3485312117503009E-2</v>
      </c>
      <c r="E1522" s="26">
        <f>'Daily Returns'!E1522</f>
        <v>-1.1250508863476422E-2</v>
      </c>
    </row>
    <row r="1523" spans="1:5" ht="15" customHeight="1" x14ac:dyDescent="0.3">
      <c r="A1523" s="25">
        <f>'Daily Returns'!F1523</f>
        <v>-6.3015243539918933E-3</v>
      </c>
      <c r="B1523" s="25">
        <f>'Daily Returns'!B1523</f>
        <v>2.5884383088870693E-4</v>
      </c>
      <c r="C1523" s="25">
        <f>'Daily Returns'!C1523</f>
        <v>-8.5224067851074406E-3</v>
      </c>
      <c r="D1523" s="25">
        <f>'Daily Returns'!D1523</f>
        <v>1.3160987074030605E-2</v>
      </c>
      <c r="E1523" s="25">
        <f>'Daily Returns'!E1523</f>
        <v>2.2532469962944873E-2</v>
      </c>
    </row>
    <row r="1524" spans="1:5" ht="15" customHeight="1" x14ac:dyDescent="0.3">
      <c r="A1524" s="26">
        <f>'Daily Returns'!F1524</f>
        <v>2.0185146284626407E-2</v>
      </c>
      <c r="B1524" s="26">
        <f>'Daily Returns'!B1524</f>
        <v>7.1594927973777124E-3</v>
      </c>
      <c r="C1524" s="26">
        <f>'Daily Returns'!C1524</f>
        <v>4.4774678481536274E-2</v>
      </c>
      <c r="D1524" s="26">
        <f>'Daily Returns'!D1524</f>
        <v>-1.1288950746153312E-2</v>
      </c>
      <c r="E1524" s="26">
        <f>'Daily Returns'!E1524</f>
        <v>8.3824444525788661E-3</v>
      </c>
    </row>
    <row r="1525" spans="1:5" ht="15" customHeight="1" x14ac:dyDescent="0.3">
      <c r="A1525" s="25">
        <f>'Daily Returns'!F1525</f>
        <v>-2.7212664759753546E-3</v>
      </c>
      <c r="B1525" s="25">
        <f>'Daily Returns'!B1525</f>
        <v>-1.1133949982871673E-3</v>
      </c>
      <c r="C1525" s="25">
        <f>'Daily Returns'!C1525</f>
        <v>-3.6908942102067119E-2</v>
      </c>
      <c r="D1525" s="25">
        <f>'Daily Returns'!D1525</f>
        <v>1.7987018065222359E-2</v>
      </c>
      <c r="E1525" s="25">
        <f>'Daily Returns'!E1525</f>
        <v>-1.557281835341956E-2</v>
      </c>
    </row>
    <row r="1526" spans="1:5" ht="15" customHeight="1" x14ac:dyDescent="0.3">
      <c r="A1526" s="26">
        <f>'Daily Returns'!F1526</f>
        <v>4.6859249019059277E-3</v>
      </c>
      <c r="B1526" s="26">
        <f>'Daily Returns'!B1526</f>
        <v>-1.5947869330360968E-2</v>
      </c>
      <c r="C1526" s="26">
        <f>'Daily Returns'!C1526</f>
        <v>-2.0295923682118484E-2</v>
      </c>
      <c r="D1526" s="26">
        <f>'Daily Returns'!D1526</f>
        <v>3.7643082123377824E-3</v>
      </c>
      <c r="E1526" s="26">
        <f>'Daily Returns'!E1526</f>
        <v>2.4816549282790732E-2</v>
      </c>
    </row>
    <row r="1527" spans="1:5" ht="15" customHeight="1" x14ac:dyDescent="0.3">
      <c r="A1527" s="25">
        <f>'Daily Returns'!F1527</f>
        <v>1.4792634705599002E-2</v>
      </c>
      <c r="B1527" s="25">
        <f>'Daily Returns'!B1527</f>
        <v>-1.3156748279166951E-2</v>
      </c>
      <c r="C1527" s="25">
        <f>'Daily Returns'!C1527</f>
        <v>3.2296989601586411E-2</v>
      </c>
      <c r="D1527" s="25">
        <f>'Daily Returns'!D1527</f>
        <v>-1.0026021735802864E-2</v>
      </c>
      <c r="E1527" s="25">
        <f>'Daily Returns'!E1527</f>
        <v>1.7666954519286009E-2</v>
      </c>
    </row>
    <row r="1528" spans="1:5" ht="15" customHeight="1" x14ac:dyDescent="0.3">
      <c r="A1528" s="26">
        <f>'Daily Returns'!F1528</f>
        <v>-8.0294614011596176E-3</v>
      </c>
      <c r="B1528" s="26">
        <f>'Daily Returns'!B1528</f>
        <v>1.191947730884685E-2</v>
      </c>
      <c r="C1528" s="26">
        <f>'Daily Returns'!C1528</f>
        <v>-6.6272959209603298E-3</v>
      </c>
      <c r="D1528" s="26">
        <f>'Daily Returns'!D1528</f>
        <v>1.4534209509083846E-2</v>
      </c>
      <c r="E1528" s="26">
        <f>'Daily Returns'!E1528</f>
        <v>4.1721175264293284E-3</v>
      </c>
    </row>
    <row r="1529" spans="1:5" ht="15" customHeight="1" x14ac:dyDescent="0.3">
      <c r="A1529" s="25">
        <f>'Daily Returns'!F1529</f>
        <v>1.9233100568076242E-2</v>
      </c>
      <c r="B1529" s="25">
        <f>'Daily Returns'!B1529</f>
        <v>-5.2351452752815873E-4</v>
      </c>
      <c r="C1529" s="25">
        <f>'Daily Returns'!C1529</f>
        <v>9.4103763127287854E-3</v>
      </c>
      <c r="D1529" s="25">
        <f>'Daily Returns'!D1529</f>
        <v>1.3182961213137379E-2</v>
      </c>
      <c r="E1529" s="25">
        <f>'Daily Returns'!E1529</f>
        <v>-6.4082250624977752E-3</v>
      </c>
    </row>
    <row r="1530" spans="1:5" ht="15" customHeight="1" x14ac:dyDescent="0.3">
      <c r="A1530" s="26">
        <f>'Daily Returns'!F1530</f>
        <v>-8.1112708325851227E-3</v>
      </c>
      <c r="B1530" s="26">
        <f>'Daily Returns'!B1530</f>
        <v>1.1086861632474868E-2</v>
      </c>
      <c r="C1530" s="26">
        <f>'Daily Returns'!C1530</f>
        <v>3.7983280733647304E-2</v>
      </c>
      <c r="D1530" s="26">
        <f>'Daily Returns'!D1530</f>
        <v>2.4067388688327231E-2</v>
      </c>
      <c r="E1530" s="26">
        <f>'Daily Returns'!E1530</f>
        <v>3.7102661327474494E-2</v>
      </c>
    </row>
    <row r="1531" spans="1:5" ht="15" customHeight="1" x14ac:dyDescent="0.3">
      <c r="A1531" s="25">
        <f>'Daily Returns'!F1531</f>
        <v>-7.3077156272946162E-4</v>
      </c>
      <c r="B1531" s="25">
        <f>'Daily Returns'!B1531</f>
        <v>-4.3515800379899779E-2</v>
      </c>
      <c r="C1531" s="25">
        <f>'Daily Returns'!C1531</f>
        <v>-1.2051291233027435E-2</v>
      </c>
      <c r="D1531" s="25">
        <f>'Daily Returns'!D1531</f>
        <v>-6.0957696827260875E-3</v>
      </c>
      <c r="E1531" s="25">
        <f>'Daily Returns'!E1531</f>
        <v>1.5547051185676055E-2</v>
      </c>
    </row>
    <row r="1532" spans="1:5" ht="15" customHeight="1" x14ac:dyDescent="0.3">
      <c r="A1532" s="26">
        <f>'Daily Returns'!F1532</f>
        <v>-4.0298515764034164E-3</v>
      </c>
      <c r="B1532" s="26">
        <f>'Daily Returns'!B1532</f>
        <v>1.5706806282722467E-2</v>
      </c>
      <c r="C1532" s="26">
        <f>'Daily Returns'!C1532</f>
        <v>-9.8390365256932396E-3</v>
      </c>
      <c r="D1532" s="26">
        <f>'Daily Returns'!D1532</f>
        <v>-4.6552870760365314E-3</v>
      </c>
      <c r="E1532" s="26">
        <f>'Daily Returns'!E1532</f>
        <v>-1.9851283604185518E-2</v>
      </c>
    </row>
    <row r="1533" spans="1:5" ht="15" customHeight="1" x14ac:dyDescent="0.3">
      <c r="A1533" s="25">
        <f>'Daily Returns'!F1533</f>
        <v>2.6725958406995327E-2</v>
      </c>
      <c r="B1533" s="25">
        <f>'Daily Returns'!B1533</f>
        <v>-6.5766086029149925E-3</v>
      </c>
      <c r="C1533" s="25">
        <f>'Daily Returns'!C1533</f>
        <v>7.8402923137848718E-3</v>
      </c>
      <c r="D1533" s="25">
        <f>'Daily Returns'!D1533</f>
        <v>2.3608017817371992E-2</v>
      </c>
      <c r="E1533" s="25">
        <f>'Daily Returns'!E1533</f>
        <v>3.5357522913733574E-3</v>
      </c>
    </row>
    <row r="1534" spans="1:5" ht="15" customHeight="1" x14ac:dyDescent="0.3">
      <c r="A1534" s="26">
        <f>'Daily Returns'!F1534</f>
        <v>7.1811859192057593E-4</v>
      </c>
      <c r="B1534" s="26">
        <f>'Daily Returns'!B1534</f>
        <v>3.0506351762390378E-2</v>
      </c>
      <c r="C1534" s="26">
        <f>'Daily Returns'!C1534</f>
        <v>-7.4292978488055337E-4</v>
      </c>
      <c r="D1534" s="26">
        <f>'Daily Returns'!D1534</f>
        <v>1.7914128227444148E-2</v>
      </c>
      <c r="E1534" s="26">
        <f>'Daily Returns'!E1534</f>
        <v>-1.5256208524320927E-2</v>
      </c>
    </row>
    <row r="1535" spans="1:5" ht="15" customHeight="1" x14ac:dyDescent="0.3">
      <c r="A1535" s="25">
        <f>'Daily Returns'!F1535</f>
        <v>1.0205711838724577E-2</v>
      </c>
      <c r="B1535" s="25">
        <f>'Daily Returns'!B1535</f>
        <v>-6.7714211303064606E-3</v>
      </c>
      <c r="C1535" s="25">
        <f>'Daily Returns'!C1535</f>
        <v>-8.66404520371419E-3</v>
      </c>
      <c r="D1535" s="25">
        <f>'Daily Returns'!D1535</f>
        <v>4.4175276095475922E-3</v>
      </c>
      <c r="E1535" s="25">
        <f>'Daily Returns'!E1535</f>
        <v>1.7368347922745588E-2</v>
      </c>
    </row>
    <row r="1536" spans="1:5" ht="15" customHeight="1" x14ac:dyDescent="0.3">
      <c r="A1536" s="26">
        <f>'Daily Returns'!F1536</f>
        <v>1.3672472697362799E-2</v>
      </c>
      <c r="B1536" s="26">
        <f>'Daily Returns'!B1536</f>
        <v>6.992395769600411E-4</v>
      </c>
      <c r="C1536" s="26">
        <f>'Daily Returns'!C1536</f>
        <v>-1.756619823471368E-3</v>
      </c>
      <c r="D1536" s="26">
        <f>'Daily Returns'!D1536</f>
        <v>-1.2981485422430394E-2</v>
      </c>
      <c r="E1536" s="26">
        <f>'Daily Returns'!E1536</f>
        <v>-1.8949740508057946E-2</v>
      </c>
    </row>
    <row r="1537" spans="1:5" ht="15" customHeight="1" x14ac:dyDescent="0.3">
      <c r="A1537" s="25">
        <f>'Daily Returns'!F1537</f>
        <v>-4.4643876742561902E-3</v>
      </c>
      <c r="B1537" s="25">
        <f>'Daily Returns'!B1537</f>
        <v>9.4331382653506709E-3</v>
      </c>
      <c r="C1537" s="25">
        <f>'Daily Returns'!C1537</f>
        <v>-2.2829495026395627E-2</v>
      </c>
      <c r="D1537" s="25">
        <f>'Daily Returns'!D1537</f>
        <v>-1.6098893201092288E-2</v>
      </c>
      <c r="E1537" s="25">
        <f>'Daily Returns'!E1537</f>
        <v>-1.1554658406710031E-2</v>
      </c>
    </row>
    <row r="1538" spans="1:5" ht="15" customHeight="1" x14ac:dyDescent="0.3">
      <c r="A1538" s="26">
        <f>'Daily Returns'!F1538</f>
        <v>1.0560661644427162E-2</v>
      </c>
      <c r="B1538" s="26">
        <f>'Daily Returns'!B1538</f>
        <v>-1.1767759799255859E-2</v>
      </c>
      <c r="C1538" s="26">
        <f>'Daily Returns'!C1538</f>
        <v>8.8093383086616309E-3</v>
      </c>
      <c r="D1538" s="26">
        <f>'Daily Returns'!D1538</f>
        <v>-2.2132943754565385E-2</v>
      </c>
      <c r="E1538" s="26">
        <f>'Daily Returns'!E1538</f>
        <v>-1.1196788845463213E-2</v>
      </c>
    </row>
    <row r="1539" spans="1:5" ht="15" customHeight="1" x14ac:dyDescent="0.3">
      <c r="A1539" s="25">
        <f>'Daily Returns'!F1539</f>
        <v>-3.2062165589455105E-3</v>
      </c>
      <c r="B1539" s="25">
        <f>'Daily Returns'!B1539</f>
        <v>1.2345679012345774E-2</v>
      </c>
      <c r="C1539" s="25">
        <f>'Daily Returns'!C1539</f>
        <v>1.5313899370643123E-2</v>
      </c>
      <c r="D1539" s="25">
        <f>'Daily Returns'!D1539</f>
        <v>-1.5238664375886994E-2</v>
      </c>
      <c r="E1539" s="25">
        <f>'Daily Returns'!E1539</f>
        <v>9.5431399779226118E-3</v>
      </c>
    </row>
    <row r="1540" spans="1:5" ht="15" customHeight="1" x14ac:dyDescent="0.3">
      <c r="A1540" s="26">
        <f>'Daily Returns'!F1540</f>
        <v>-1.9218663216455652E-2</v>
      </c>
      <c r="B1540" s="26">
        <f>'Daily Returns'!B1540</f>
        <v>-8.5625324338350541E-3</v>
      </c>
      <c r="C1540" s="26">
        <f>'Daily Returns'!C1540</f>
        <v>-2.2519291526407622E-3</v>
      </c>
      <c r="D1540" s="26">
        <f>'Daily Returns'!D1540</f>
        <v>-2.8066449214898316E-3</v>
      </c>
      <c r="E1540" s="26">
        <f>'Daily Returns'!E1540</f>
        <v>-1.9364396317590241E-2</v>
      </c>
    </row>
    <row r="1541" spans="1:5" ht="15" customHeight="1" x14ac:dyDescent="0.3">
      <c r="A1541" s="25">
        <f>'Daily Returns'!F1541</f>
        <v>-3.8371893556874447E-3</v>
      </c>
      <c r="B1541" s="25">
        <f>'Daily Returns'!B1541</f>
        <v>1.814533717177003E-2</v>
      </c>
      <c r="C1541" s="25">
        <f>'Daily Returns'!C1541</f>
        <v>-3.3504086027257955E-3</v>
      </c>
      <c r="D1541" s="25">
        <f>'Daily Returns'!D1541</f>
        <v>-1.8408641411836419E-2</v>
      </c>
      <c r="E1541" s="25">
        <f>'Daily Returns'!E1541</f>
        <v>6.4743543629957137E-4</v>
      </c>
    </row>
    <row r="1542" spans="1:5" ht="15" customHeight="1" x14ac:dyDescent="0.3">
      <c r="A1542" s="26">
        <f>'Daily Returns'!F1542</f>
        <v>9.2897075490412163E-4</v>
      </c>
      <c r="B1542" s="26">
        <f>'Daily Returns'!B1542</f>
        <v>1.1310084825636257E-2</v>
      </c>
      <c r="C1542" s="26">
        <f>'Daily Returns'!C1542</f>
        <v>1.0272892580837918E-2</v>
      </c>
      <c r="D1542" s="26">
        <f>'Daily Returns'!D1542</f>
        <v>1.1779293242405536E-2</v>
      </c>
      <c r="E1542" s="26">
        <f>'Daily Returns'!E1542</f>
        <v>-4.0186915887850491E-2</v>
      </c>
    </row>
    <row r="1543" spans="1:5" ht="15" customHeight="1" x14ac:dyDescent="0.3">
      <c r="A1543" s="25">
        <f>'Daily Returns'!F1543</f>
        <v>-2.4998905261583507E-2</v>
      </c>
      <c r="B1543" s="25">
        <f>'Daily Returns'!B1543</f>
        <v>7.2015589256968085E-3</v>
      </c>
      <c r="C1543" s="25">
        <f>'Daily Returns'!C1543</f>
        <v>-8.8965489758509389E-3</v>
      </c>
      <c r="D1543" s="25">
        <f>'Daily Returns'!D1543</f>
        <v>-4.0211397058823525E-2</v>
      </c>
      <c r="E1543" s="25">
        <f>'Daily Returns'!E1543</f>
        <v>1.655306718597864E-2</v>
      </c>
    </row>
    <row r="1544" spans="1:5" ht="15" customHeight="1" x14ac:dyDescent="0.3">
      <c r="A1544" s="26">
        <f>'Daily Returns'!F1544</f>
        <v>-1.3138276040720442E-2</v>
      </c>
      <c r="B1544" s="26">
        <f>'Daily Returns'!B1544</f>
        <v>-9.7577388963660545E-3</v>
      </c>
      <c r="C1544" s="26">
        <f>'Daily Returns'!C1544</f>
        <v>-4.8416982466015362E-3</v>
      </c>
      <c r="D1544" s="26">
        <f>'Daily Returns'!D1544</f>
        <v>-1.2209719894661249E-2</v>
      </c>
      <c r="E1544" s="26">
        <f>'Daily Returns'!E1544</f>
        <v>-5.0287356321838998E-2</v>
      </c>
    </row>
    <row r="1545" spans="1:5" ht="15" customHeight="1" x14ac:dyDescent="0.3">
      <c r="A1545" s="25">
        <f>'Daily Returns'!F1545</f>
        <v>-5.2157781037541918E-4</v>
      </c>
      <c r="B1545" s="25">
        <f>'Daily Returns'!B1545</f>
        <v>-2.548419979612616E-3</v>
      </c>
      <c r="C1545" s="25">
        <f>'Daily Returns'!C1545</f>
        <v>-6.0941940175888055E-4</v>
      </c>
      <c r="D1545" s="25">
        <f>'Daily Returns'!D1545</f>
        <v>-1.0340927451930854E-2</v>
      </c>
      <c r="E1545" s="25">
        <f>'Daily Returns'!E1545</f>
        <v>3.8403351565225656E-3</v>
      </c>
    </row>
    <row r="1546" spans="1:5" ht="15" customHeight="1" x14ac:dyDescent="0.3">
      <c r="A1546" s="26">
        <f>'Daily Returns'!F1546</f>
        <v>5.2157713301068994E-3</v>
      </c>
      <c r="B1546" s="26">
        <f>'Daily Returns'!B1546</f>
        <v>4.4285470958950433E-3</v>
      </c>
      <c r="C1546" s="26">
        <f>'Daily Returns'!C1546</f>
        <v>2.6557914986372326E-2</v>
      </c>
      <c r="D1546" s="26">
        <f>'Daily Returns'!D1546</f>
        <v>9.9591836734693791E-3</v>
      </c>
      <c r="E1546" s="26">
        <f>'Daily Returns'!E1546</f>
        <v>5.1781435968777803E-3</v>
      </c>
    </row>
    <row r="1547" spans="1:5" ht="15" customHeight="1" x14ac:dyDescent="0.3">
      <c r="A1547" s="25">
        <f>'Daily Returns'!F1547</f>
        <v>7.5377421518752902E-3</v>
      </c>
      <c r="B1547" s="25">
        <f>'Daily Returns'!B1547</f>
        <v>-2.7810751229438709E-2</v>
      </c>
      <c r="C1547" s="25">
        <f>'Daily Returns'!C1547</f>
        <v>-2.7239371722247911E-4</v>
      </c>
      <c r="D1547" s="25">
        <f>'Daily Returns'!D1547</f>
        <v>8.6485612673780094E-3</v>
      </c>
      <c r="E1547" s="25">
        <f>'Daily Returns'!E1547</f>
        <v>-8.9574042749499625E-3</v>
      </c>
    </row>
    <row r="1548" spans="1:5" ht="15" customHeight="1" x14ac:dyDescent="0.3">
      <c r="A1548" s="26">
        <f>'Daily Returns'!F1548</f>
        <v>1.2123726671924362E-4</v>
      </c>
      <c r="B1548" s="26">
        <f>'Daily Returns'!B1548</f>
        <v>-7.3260073260073564E-3</v>
      </c>
      <c r="C1548" s="26">
        <f>'Daily Returns'!C1548</f>
        <v>-1.411580872094419E-3</v>
      </c>
      <c r="D1548" s="26">
        <f>'Daily Returns'!D1548</f>
        <v>-1.8991906402756668E-2</v>
      </c>
      <c r="E1548" s="26">
        <f>'Daily Returns'!E1548</f>
        <v>2.1257612785600531E-2</v>
      </c>
    </row>
    <row r="1549" spans="1:5" ht="15" customHeight="1" x14ac:dyDescent="0.3">
      <c r="A1549" s="25">
        <f>'Daily Returns'!F1549</f>
        <v>-7.1038109682181414E-3</v>
      </c>
      <c r="B1549" s="25">
        <f>'Daily Returns'!B1549</f>
        <v>1.3266561237040987E-2</v>
      </c>
      <c r="C1549" s="25">
        <f>'Daily Returns'!C1549</f>
        <v>-2.2978832517512836E-3</v>
      </c>
      <c r="D1549" s="25">
        <f>'Daily Returns'!D1549</f>
        <v>4.0026139519685911E-3</v>
      </c>
      <c r="E1549" s="25">
        <f>'Daily Returns'!E1549</f>
        <v>2.1802712044669006E-2</v>
      </c>
    </row>
    <row r="1550" spans="1:5" ht="15" customHeight="1" x14ac:dyDescent="0.3">
      <c r="A1550" s="26">
        <f>'Daily Returns'!F1550</f>
        <v>6.9333482554290518E-3</v>
      </c>
      <c r="B1550" s="26">
        <f>'Daily Returns'!B1550</f>
        <v>-1.7254833954738532E-2</v>
      </c>
      <c r="C1550" s="26">
        <f>'Daily Returns'!C1550</f>
        <v>-6.1747513954148138E-3</v>
      </c>
      <c r="D1550" s="26">
        <f>'Daily Returns'!D1550</f>
        <v>-1.6027987958668936E-2</v>
      </c>
      <c r="E1550" s="26">
        <f>'Daily Returns'!E1550</f>
        <v>2.0779896658116918E-2</v>
      </c>
    </row>
    <row r="1551" spans="1:5" ht="15" customHeight="1" x14ac:dyDescent="0.3">
      <c r="A1551" s="25">
        <f>'Daily Returns'!F1551</f>
        <v>-1.5119944939386317E-2</v>
      </c>
      <c r="B1551" s="25">
        <f>'Daily Returns'!B1551</f>
        <v>1.8087171342862158E-2</v>
      </c>
      <c r="C1551" s="25">
        <f>'Daily Returns'!C1551</f>
        <v>-1.6424640275843765E-2</v>
      </c>
      <c r="D1551" s="25">
        <f>'Daily Returns'!D1551</f>
        <v>4.9611377542583806E-3</v>
      </c>
      <c r="E1551" s="25">
        <f>'Daily Returns'!E1551</f>
        <v>2.1886380189366315E-2</v>
      </c>
    </row>
    <row r="1552" spans="1:5" ht="15" customHeight="1" x14ac:dyDescent="0.3">
      <c r="A1552" s="26">
        <f>'Daily Returns'!F1552</f>
        <v>8.3867411212437647E-3</v>
      </c>
      <c r="B1552" s="26">
        <f>'Daily Returns'!B1552</f>
        <v>-8.4062743738625434E-3</v>
      </c>
      <c r="C1552" s="26">
        <f>'Daily Returns'!C1552</f>
        <v>-1.5616889026716891E-2</v>
      </c>
      <c r="D1552" s="26">
        <f>'Daily Returns'!D1552</f>
        <v>-1.8841533651472817E-2</v>
      </c>
      <c r="E1552" s="26">
        <f>'Daily Returns'!E1552</f>
        <v>6.6640533124265157E-3</v>
      </c>
    </row>
    <row r="1553" spans="1:5" ht="15" customHeight="1" x14ac:dyDescent="0.3">
      <c r="A1553" s="25">
        <f>'Daily Returns'!F1553</f>
        <v>-1.6910029034597547E-2</v>
      </c>
      <c r="B1553" s="25">
        <f>'Daily Returns'!B1553</f>
        <v>4.8068519489599471E-3</v>
      </c>
      <c r="C1553" s="25">
        <f>'Daily Returns'!C1553</f>
        <v>1.577219012919771E-2</v>
      </c>
      <c r="D1553" s="25">
        <f>'Daily Returns'!D1553</f>
        <v>2.4318658280922958E-3</v>
      </c>
      <c r="E1553" s="25">
        <f>'Daily Returns'!E1553</f>
        <v>-6.6907391673748338E-3</v>
      </c>
    </row>
    <row r="1554" spans="1:5" ht="15" customHeight="1" x14ac:dyDescent="0.3">
      <c r="A1554" s="26">
        <f>'Daily Returns'!F1554</f>
        <v>1.0724041394886025E-2</v>
      </c>
      <c r="B1554" s="26">
        <f>'Daily Returns'!B1554</f>
        <v>-1.5569278942332714E-2</v>
      </c>
      <c r="C1554" s="26">
        <f>'Daily Returns'!C1554</f>
        <v>-9.4424536220792839E-3</v>
      </c>
      <c r="D1554" s="26">
        <f>'Daily Returns'!D1554</f>
        <v>2.3506775974569082E-2</v>
      </c>
      <c r="E1554" s="26">
        <f>'Daily Returns'!E1554</f>
        <v>5.4527958943655502E-3</v>
      </c>
    </row>
    <row r="1555" spans="1:5" ht="15" customHeight="1" x14ac:dyDescent="0.3">
      <c r="A1555" s="25">
        <f>'Daily Returns'!F1555</f>
        <v>-9.8631443288413508E-3</v>
      </c>
      <c r="B1555" s="25">
        <f>'Daily Returns'!B1555</f>
        <v>6.9800318077398128E-3</v>
      </c>
      <c r="C1555" s="25">
        <f>'Daily Returns'!C1555</f>
        <v>2.2223129751767112E-3</v>
      </c>
      <c r="D1555" s="25">
        <f>'Daily Returns'!D1555</f>
        <v>3.2529628116060513E-2</v>
      </c>
      <c r="E1555" s="25">
        <f>'Daily Returns'!E1555</f>
        <v>2.1302991634765317E-2</v>
      </c>
    </row>
    <row r="1556" spans="1:5" ht="15" customHeight="1" x14ac:dyDescent="0.3">
      <c r="A1556" s="26">
        <f>'Daily Returns'!F1556</f>
        <v>1.8025545582727915E-2</v>
      </c>
      <c r="B1556" s="26">
        <f>'Daily Returns'!B1556</f>
        <v>6.756163902781399E-3</v>
      </c>
      <c r="C1556" s="26">
        <f>'Daily Returns'!C1556</f>
        <v>-7.803294497964291E-3</v>
      </c>
      <c r="D1556" s="26">
        <f>'Daily Returns'!D1556</f>
        <v>1.7573023034908677E-2</v>
      </c>
      <c r="E1556" s="26">
        <f>'Daily Returns'!E1556</f>
        <v>-5.2059834102654104E-4</v>
      </c>
    </row>
    <row r="1557" spans="1:5" ht="15" customHeight="1" x14ac:dyDescent="0.3">
      <c r="A1557" s="25">
        <f>'Daily Returns'!F1557</f>
        <v>-4.4776384723410161E-3</v>
      </c>
      <c r="B1557" s="25">
        <f>'Daily Returns'!B1557</f>
        <v>1.6036255882865641E-2</v>
      </c>
      <c r="C1557" s="25">
        <f>'Daily Returns'!C1557</f>
        <v>-2.2827377794813641E-2</v>
      </c>
      <c r="D1557" s="25">
        <f>'Daily Returns'!D1557</f>
        <v>-1.5869311551925367E-2</v>
      </c>
      <c r="E1557" s="25">
        <f>'Daily Returns'!E1557</f>
        <v>-4.4898951316063633E-2</v>
      </c>
    </row>
    <row r="1558" spans="1:5" ht="15" customHeight="1" x14ac:dyDescent="0.3">
      <c r="A1558" s="26">
        <f>'Daily Returns'!F1558</f>
        <v>-6.6572146666877387E-3</v>
      </c>
      <c r="B1558" s="26">
        <f>'Daily Returns'!B1558</f>
        <v>1.9128495453765691E-2</v>
      </c>
      <c r="C1558" s="26">
        <f>'Daily Returns'!C1558</f>
        <v>-7.60359060390933E-3</v>
      </c>
      <c r="D1558" s="26">
        <f>'Daily Returns'!D1558</f>
        <v>-7.7464232076516005E-3</v>
      </c>
      <c r="E1558" s="26">
        <f>'Daily Returns'!E1558</f>
        <v>-3.1267042355935366E-2</v>
      </c>
    </row>
    <row r="1559" spans="1:5" ht="15" customHeight="1" x14ac:dyDescent="0.3">
      <c r="A1559" s="25">
        <f>'Daily Returns'!F1559</f>
        <v>-1.1238825075657974E-2</v>
      </c>
      <c r="B1559" s="25">
        <f>'Daily Returns'!B1559</f>
        <v>1.7675279858597712E-2</v>
      </c>
      <c r="C1559" s="25">
        <f>'Daily Returns'!C1559</f>
        <v>2.523363166661961E-2</v>
      </c>
      <c r="D1559" s="25">
        <f>'Daily Returns'!D1559</f>
        <v>-1.4339201784433977E-2</v>
      </c>
      <c r="E1559" s="25">
        <f>'Daily Returns'!E1559</f>
        <v>3.4565584537436807E-2</v>
      </c>
    </row>
    <row r="1560" spans="1:5" ht="15" customHeight="1" x14ac:dyDescent="0.3">
      <c r="A1560" s="26">
        <f>'Daily Returns'!F1560</f>
        <v>6.8597323426562579E-3</v>
      </c>
      <c r="B1560" s="26">
        <f>'Daily Returns'!B1560</f>
        <v>3.2255396575965644E-3</v>
      </c>
      <c r="C1560" s="26">
        <f>'Daily Returns'!C1560</f>
        <v>-6.715960647430917E-3</v>
      </c>
      <c r="D1560" s="26">
        <f>'Daily Returns'!D1560</f>
        <v>-9.2136102804493691E-3</v>
      </c>
      <c r="E1560" s="26">
        <f>'Daily Returns'!E1560</f>
        <v>-1.5091054197199538E-2</v>
      </c>
    </row>
    <row r="1561" spans="1:5" ht="15" customHeight="1" x14ac:dyDescent="0.3">
      <c r="A1561" s="25">
        <f>'Daily Returns'!F1561</f>
        <v>-1.3311465982649878E-2</v>
      </c>
      <c r="B1561" s="25">
        <f>'Daily Returns'!B1561</f>
        <v>-1.6735366859027215E-2</v>
      </c>
      <c r="C1561" s="25">
        <f>'Daily Returns'!C1561</f>
        <v>-1.1335951010393322E-2</v>
      </c>
      <c r="D1561" s="25">
        <f>'Daily Returns'!D1561</f>
        <v>-2.716371645321803E-2</v>
      </c>
      <c r="E1561" s="25">
        <f>'Daily Returns'!E1561</f>
        <v>-1.1049723756906077E-2</v>
      </c>
    </row>
    <row r="1562" spans="1:5" ht="15" customHeight="1" x14ac:dyDescent="0.3">
      <c r="A1562" s="26">
        <f>'Daily Returns'!F1562</f>
        <v>-2.5876425124898789E-3</v>
      </c>
      <c r="B1562" s="26">
        <f>'Daily Returns'!B1562</f>
        <v>1.8697073866018311E-2</v>
      </c>
      <c r="C1562" s="26">
        <f>'Daily Returns'!C1562</f>
        <v>-6.9510656197421415E-3</v>
      </c>
      <c r="D1562" s="26">
        <f>'Daily Returns'!D1562</f>
        <v>-9.4750964279725781E-3</v>
      </c>
      <c r="E1562" s="26">
        <f>'Daily Returns'!E1562</f>
        <v>1.8324022346368773E-2</v>
      </c>
    </row>
    <row r="1563" spans="1:5" ht="15" customHeight="1" x14ac:dyDescent="0.3">
      <c r="A1563" s="25">
        <f>'Daily Returns'!F1563</f>
        <v>5.2037391434413948E-3</v>
      </c>
      <c r="B1563" s="25">
        <f>'Daily Returns'!B1563</f>
        <v>-1.777777777777775E-2</v>
      </c>
      <c r="C1563" s="25">
        <f>'Daily Returns'!C1563</f>
        <v>-5.3053862201151956E-3</v>
      </c>
      <c r="D1563" s="25">
        <f>'Daily Returns'!D1563</f>
        <v>1.7946330314060819E-2</v>
      </c>
      <c r="E1563" s="25">
        <f>'Daily Returns'!E1563</f>
        <v>1.7409114183307699E-2</v>
      </c>
    </row>
    <row r="1564" spans="1:5" ht="15" customHeight="1" x14ac:dyDescent="0.3">
      <c r="A1564" s="26">
        <f>'Daily Returns'!F1564</f>
        <v>-9.710759748481821E-3</v>
      </c>
      <c r="B1564" s="26">
        <f>'Daily Returns'!B1564</f>
        <v>-5.7817998994469395E-3</v>
      </c>
      <c r="C1564" s="26">
        <f>'Daily Returns'!C1564</f>
        <v>4.6239451514225802E-3</v>
      </c>
      <c r="D1564" s="26">
        <f>'Daily Returns'!D1564</f>
        <v>3.5592515592515604E-2</v>
      </c>
      <c r="E1564" s="26">
        <f>'Daily Returns'!E1564</f>
        <v>1.1036019843266924E-2</v>
      </c>
    </row>
    <row r="1565" spans="1:5" ht="15" customHeight="1" x14ac:dyDescent="0.3">
      <c r="A1565" s="25">
        <f>'Daily Returns'!F1565</f>
        <v>-1.0009433488638897E-2</v>
      </c>
      <c r="B1565" s="25">
        <f>'Daily Returns'!B1565</f>
        <v>1.0535187526337968E-2</v>
      </c>
      <c r="C1565" s="25">
        <f>'Daily Returns'!C1565</f>
        <v>-6.6655598611076389E-3</v>
      </c>
      <c r="D1565" s="25">
        <f>'Daily Returns'!D1565</f>
        <v>7.3074761101742276E-3</v>
      </c>
      <c r="E1565" s="25">
        <f>'Daily Returns'!E1565</f>
        <v>3.1999999999999191E-3</v>
      </c>
    </row>
    <row r="1566" spans="1:5" ht="15" customHeight="1" x14ac:dyDescent="0.3">
      <c r="A1566" s="26">
        <f>'Daily Returns'!F1566</f>
        <v>-5.4240425696025132E-3</v>
      </c>
      <c r="B1566" s="26">
        <f>'Daily Returns'!B1566</f>
        <v>6.505421184320276E-3</v>
      </c>
      <c r="C1566" s="26">
        <f>'Daily Returns'!C1566</f>
        <v>-1.1272714341595508E-3</v>
      </c>
      <c r="D1566" s="26">
        <f>'Daily Returns'!D1566</f>
        <v>3.5873724489796145E-3</v>
      </c>
      <c r="E1566" s="26">
        <f>'Daily Returns'!E1566</f>
        <v>-3.9624313308523659E-2</v>
      </c>
    </row>
    <row r="1567" spans="1:5" ht="15" customHeight="1" x14ac:dyDescent="0.3">
      <c r="A1567" s="25">
        <f>'Daily Returns'!F1567</f>
        <v>-1.5034635588680298E-2</v>
      </c>
      <c r="B1567" s="25">
        <f>'Daily Returns'!B1567</f>
        <v>2.2373218428902789E-2</v>
      </c>
      <c r="C1567" s="25">
        <f>'Daily Returns'!C1567</f>
        <v>-8.0635686898568627E-3</v>
      </c>
      <c r="D1567" s="25">
        <f>'Daily Returns'!D1567</f>
        <v>1.0961950909524152E-2</v>
      </c>
      <c r="E1567" s="25">
        <f>'Daily Returns'!E1567</f>
        <v>4.2403218068420678E-2</v>
      </c>
    </row>
    <row r="1568" spans="1:5" ht="15" customHeight="1" x14ac:dyDescent="0.3">
      <c r="A1568" s="26">
        <f>'Daily Returns'!F1568</f>
        <v>-7.8388584965492676E-3</v>
      </c>
      <c r="B1568" s="26">
        <f>'Daily Returns'!B1568</f>
        <v>2.431512400713336E-4</v>
      </c>
      <c r="C1568" s="26">
        <f>'Daily Returns'!C1568</f>
        <v>6.9016753520823523E-3</v>
      </c>
      <c r="D1568" s="26">
        <f>'Daily Returns'!D1568</f>
        <v>-2.451481103166489E-2</v>
      </c>
      <c r="E1568" s="26">
        <f>'Daily Returns'!E1568</f>
        <v>-6.6912129151029754E-3</v>
      </c>
    </row>
    <row r="1569" spans="1:5" ht="15" customHeight="1" x14ac:dyDescent="0.3">
      <c r="A1569" s="25">
        <f>'Daily Returns'!F1569</f>
        <v>1.665609773717404E-4</v>
      </c>
      <c r="B1569" s="25">
        <f>'Daily Returns'!B1569</f>
        <v>-2.309375253220966E-2</v>
      </c>
      <c r="C1569" s="25">
        <f>'Daily Returns'!C1569</f>
        <v>6.0844552327383285E-3</v>
      </c>
      <c r="D1569" s="25">
        <f>'Daily Returns'!D1569</f>
        <v>-1.2887635924285207E-2</v>
      </c>
      <c r="E1569" s="25">
        <f>'Daily Returns'!E1569</f>
        <v>2.1064262037994174E-2</v>
      </c>
    </row>
    <row r="1570" spans="1:5" ht="15" customHeight="1" x14ac:dyDescent="0.3">
      <c r="A1570" s="26">
        <f>'Daily Returns'!F1570</f>
        <v>-1.7312708018347504E-2</v>
      </c>
      <c r="B1570" s="26">
        <f>'Daily Returns'!B1570</f>
        <v>-3.4837425348374393E-3</v>
      </c>
      <c r="C1570" s="26">
        <f>'Daily Returns'!C1570</f>
        <v>4.3293724181423573E-3</v>
      </c>
      <c r="D1570" s="26">
        <f>'Daily Returns'!D1570</f>
        <v>1.3055895552835647E-2</v>
      </c>
      <c r="E1570" s="26">
        <f>'Daily Returns'!E1570</f>
        <v>3.176487014800224E-3</v>
      </c>
    </row>
    <row r="1571" spans="1:5" ht="15" customHeight="1" x14ac:dyDescent="0.3">
      <c r="A1571" s="25">
        <f>'Daily Returns'!F1571</f>
        <v>4.369394636521842E-4</v>
      </c>
      <c r="B1571" s="25">
        <f>'Daily Returns'!B1571</f>
        <v>2.7467954053603987E-3</v>
      </c>
      <c r="C1571" s="25">
        <f>'Daily Returns'!C1571</f>
        <v>1.1764498377310535E-2</v>
      </c>
      <c r="D1571" s="25">
        <f>'Daily Returns'!D1571</f>
        <v>-3.2219089810713304E-3</v>
      </c>
      <c r="E1571" s="25">
        <f>'Daily Returns'!E1571</f>
        <v>-9.6384703712724239E-3</v>
      </c>
    </row>
    <row r="1572" spans="1:5" ht="15" customHeight="1" x14ac:dyDescent="0.3">
      <c r="A1572" s="26">
        <f>'Daily Returns'!F1572</f>
        <v>1.2124691177528958E-3</v>
      </c>
      <c r="B1572" s="26">
        <f>'Daily Returns'!B1572</f>
        <v>-4.5654519797459717E-3</v>
      </c>
      <c r="C1572" s="26">
        <f>'Daily Returns'!C1572</f>
        <v>-1.1575405749351198E-3</v>
      </c>
      <c r="D1572" s="26">
        <f>'Daily Returns'!D1572</f>
        <v>-5.4141414141414277E-3</v>
      </c>
      <c r="E1572" s="26">
        <f>'Daily Returns'!E1572</f>
        <v>-4.5674935001054438E-3</v>
      </c>
    </row>
    <row r="1573" spans="1:5" ht="15" customHeight="1" x14ac:dyDescent="0.3">
      <c r="A1573" s="25">
        <f>'Daily Returns'!F1573</f>
        <v>2.464993552138803E-3</v>
      </c>
      <c r="B1573" s="25">
        <f>'Daily Returns'!B1573</f>
        <v>1.9929953302201472E-2</v>
      </c>
      <c r="C1573" s="25">
        <f>'Daily Returns'!C1573</f>
        <v>2.1990833662032302E-2</v>
      </c>
      <c r="D1573" s="25">
        <f>'Daily Returns'!D1573</f>
        <v>1.381215469613262E-2</v>
      </c>
      <c r="E1573" s="25">
        <f>'Daily Returns'!E1573</f>
        <v>-2.7177749541154234E-3</v>
      </c>
    </row>
    <row r="1574" spans="1:5" ht="15" customHeight="1" x14ac:dyDescent="0.3">
      <c r="A1574" s="26">
        <f>'Daily Returns'!F1574</f>
        <v>2.7635722359881971E-4</v>
      </c>
      <c r="B1574" s="26">
        <f>'Daily Returns'!B1574</f>
        <v>-3.1068596190008623E-3</v>
      </c>
      <c r="C1574" s="26">
        <f>'Daily Returns'!C1574</f>
        <v>8.818818032467788E-3</v>
      </c>
      <c r="D1574" s="26">
        <f>'Daily Returns'!D1574</f>
        <v>-2.9652187850617108E-2</v>
      </c>
      <c r="E1574" s="26">
        <f>'Daily Returns'!E1574</f>
        <v>3.1675809591222751E-2</v>
      </c>
    </row>
    <row r="1575" spans="1:5" ht="15" customHeight="1" x14ac:dyDescent="0.3">
      <c r="A1575" s="25">
        <f>'Daily Returns'!F1575</f>
        <v>-2.6256662157467178E-2</v>
      </c>
      <c r="B1575" s="25">
        <f>'Daily Returns'!B1575</f>
        <v>-1.9601410645452313E-2</v>
      </c>
      <c r="C1575" s="25">
        <f>'Daily Returns'!C1575</f>
        <v>2.6837980126284421E-2</v>
      </c>
      <c r="D1575" s="25">
        <f>'Daily Returns'!D1575</f>
        <v>1.8830525272547086E-2</v>
      </c>
      <c r="E1575" s="25">
        <f>'Daily Returns'!E1575</f>
        <v>-2.3979416809605521E-2</v>
      </c>
    </row>
    <row r="1576" spans="1:5" ht="15" customHeight="1" x14ac:dyDescent="0.3">
      <c r="A1576" s="26">
        <f>'Daily Returns'!F1576</f>
        <v>-9.8668059952010494E-3</v>
      </c>
      <c r="B1576" s="26">
        <f>'Daily Returns'!B1576</f>
        <v>6.7759745691817639E-3</v>
      </c>
      <c r="C1576" s="26">
        <f>'Daily Returns'!C1576</f>
        <v>-8.1109953444206777E-4</v>
      </c>
      <c r="D1576" s="26">
        <f>'Daily Returns'!D1576</f>
        <v>-1.240272373540857E-2</v>
      </c>
      <c r="E1576" s="26">
        <f>'Daily Returns'!E1576</f>
        <v>7.9786299251343781E-3</v>
      </c>
    </row>
    <row r="1577" spans="1:5" ht="15" customHeight="1" x14ac:dyDescent="0.3">
      <c r="A1577" s="25">
        <f>'Daily Returns'!F1577</f>
        <v>3.8508042411366612E-3</v>
      </c>
      <c r="B1577" s="25">
        <f>'Daily Returns'!B1577</f>
        <v>-1.5621105110095517E-2</v>
      </c>
      <c r="C1577" s="25">
        <f>'Daily Returns'!C1577</f>
        <v>5.3952205275766413E-3</v>
      </c>
      <c r="D1577" s="25">
        <f>'Daily Returns'!D1577</f>
        <v>9.2752195682508035E-3</v>
      </c>
      <c r="E1577" s="25">
        <f>'Daily Returns'!E1577</f>
        <v>3.462584559592722E-2</v>
      </c>
    </row>
    <row r="1578" spans="1:5" ht="15" customHeight="1" x14ac:dyDescent="0.3">
      <c r="A1578" s="26">
        <f>'Daily Returns'!F1578</f>
        <v>-1.5376589929469481E-3</v>
      </c>
      <c r="B1578" s="26">
        <f>'Daily Returns'!B1578</f>
        <v>2.3887904110745321E-2</v>
      </c>
      <c r="C1578" s="26">
        <f>'Daily Returns'!C1578</f>
        <v>-1.1438192732726987E-2</v>
      </c>
      <c r="D1578" s="26">
        <f>'Daily Returns'!D1578</f>
        <v>4.0663630448935727E-4</v>
      </c>
      <c r="E1578" s="26">
        <f>'Daily Returns'!E1578</f>
        <v>-9.1672002965857927E-3</v>
      </c>
    </row>
    <row r="1579" spans="1:5" ht="15" customHeight="1" x14ac:dyDescent="0.3">
      <c r="A1579" s="25">
        <f>'Daily Returns'!F1579</f>
        <v>-1.2523691804122586E-2</v>
      </c>
      <c r="B1579" s="25">
        <f>'Daily Returns'!B1579</f>
        <v>4.1220115416323163E-3</v>
      </c>
      <c r="C1579" s="25">
        <f>'Daily Returns'!C1579</f>
        <v>8.7318556687343432E-4</v>
      </c>
      <c r="D1579" s="25">
        <f>'Daily Returns'!D1579</f>
        <v>1.186895374359803E-2</v>
      </c>
      <c r="E1579" s="25">
        <f>'Daily Returns'!E1579</f>
        <v>1.156501921833991E-3</v>
      </c>
    </row>
    <row r="1580" spans="1:5" ht="15" customHeight="1" x14ac:dyDescent="0.3">
      <c r="A1580" s="26">
        <f>'Daily Returns'!F1580</f>
        <v>1.8239649115807905E-2</v>
      </c>
      <c r="B1580" s="26">
        <f>'Daily Returns'!B1580</f>
        <v>-1.9129720853858771E-2</v>
      </c>
      <c r="C1580" s="26">
        <f>'Daily Returns'!C1580</f>
        <v>1.5023601882843093E-2</v>
      </c>
      <c r="D1580" s="26">
        <f>'Daily Returns'!D1580</f>
        <v>1.59877882220615E-2</v>
      </c>
      <c r="E1580" s="26">
        <f>'Daily Returns'!E1580</f>
        <v>-2.1710325145245089E-2</v>
      </c>
    </row>
    <row r="1581" spans="1:5" ht="15" customHeight="1" x14ac:dyDescent="0.3">
      <c r="A1581" s="25">
        <f>'Daily Returns'!F1581</f>
        <v>1.4395879359978644E-2</v>
      </c>
      <c r="B1581" s="25">
        <f>'Daily Returns'!B1581</f>
        <v>1.5233949945593099E-2</v>
      </c>
      <c r="C1581" s="25">
        <f>'Daily Returns'!C1581</f>
        <v>-5.8531707125770646E-3</v>
      </c>
      <c r="D1581" s="25">
        <f>'Daily Returns'!D1581</f>
        <v>-1.5498972006958673E-2</v>
      </c>
      <c r="E1581" s="25">
        <f>'Daily Returns'!E1581</f>
        <v>3.1569076891018878E-2</v>
      </c>
    </row>
    <row r="1582" spans="1:5" ht="15" customHeight="1" x14ac:dyDescent="0.3">
      <c r="A1582" s="26">
        <f>'Daily Returns'!F1582</f>
        <v>-1.5213606786518801E-2</v>
      </c>
      <c r="B1582" s="26">
        <f>'Daily Returns'!B1582</f>
        <v>3.3143705169428606E-2</v>
      </c>
      <c r="C1582" s="26">
        <f>'Daily Returns'!C1582</f>
        <v>2.6916767752476228E-2</v>
      </c>
      <c r="D1582" s="26">
        <f>'Daily Returns'!D1582</f>
        <v>1.3574297188755002E-2</v>
      </c>
      <c r="E1582" s="26">
        <f>'Daily Returns'!E1582</f>
        <v>-2.0940645726020841E-2</v>
      </c>
    </row>
    <row r="1583" spans="1:5" ht="15" customHeight="1" x14ac:dyDescent="0.3">
      <c r="A1583" s="25">
        <f>'Daily Returns'!F1583</f>
        <v>-1.3963212437502778E-3</v>
      </c>
      <c r="B1583" s="25">
        <f>'Daily Returns'!B1583</f>
        <v>-2.7451919240284076E-2</v>
      </c>
      <c r="C1583" s="25">
        <f>'Daily Returns'!C1583</f>
        <v>1.0467852169598355E-3</v>
      </c>
      <c r="D1583" s="25">
        <f>'Daily Returns'!D1583</f>
        <v>8.4000316982328418E-3</v>
      </c>
      <c r="E1583" s="25">
        <f>'Daily Returns'!E1583</f>
        <v>1.2688697087445404E-2</v>
      </c>
    </row>
    <row r="1584" spans="1:5" ht="15" customHeight="1" x14ac:dyDescent="0.3">
      <c r="A1584" s="26">
        <f>'Daily Returns'!F1584</f>
        <v>6.4357958062847137E-3</v>
      </c>
      <c r="B1584" s="26">
        <f>'Daily Returns'!B1584</f>
        <v>1.2800525149749751E-2</v>
      </c>
      <c r="C1584" s="26">
        <f>'Daily Returns'!C1584</f>
        <v>2.8518253217017668E-2</v>
      </c>
      <c r="D1584" s="26">
        <f>'Daily Returns'!D1584</f>
        <v>2.2789783889980399E-2</v>
      </c>
      <c r="E1584" s="26">
        <f>'Daily Returns'!E1584</f>
        <v>-3.6706281833616308E-2</v>
      </c>
    </row>
    <row r="1585" spans="1:5" ht="15" customHeight="1" x14ac:dyDescent="0.3">
      <c r="A1585" s="25">
        <f>'Daily Returns'!F1585</f>
        <v>1.8670169991447005E-2</v>
      </c>
      <c r="B1585" s="25">
        <f>'Daily Returns'!B1585</f>
        <v>7.0485295309081286E-3</v>
      </c>
      <c r="C1585" s="25">
        <f>'Daily Returns'!C1585</f>
        <v>-1.7902558840904262E-2</v>
      </c>
      <c r="D1585" s="25">
        <f>'Daily Returns'!D1585</f>
        <v>-7.913945447560515E-3</v>
      </c>
      <c r="E1585" s="25">
        <f>'Daily Returns'!E1585</f>
        <v>-1.5827135253269446E-2</v>
      </c>
    </row>
    <row r="1586" spans="1:5" ht="15" customHeight="1" x14ac:dyDescent="0.3">
      <c r="A1586" s="26">
        <f>'Daily Returns'!F1586</f>
        <v>-2.3776019084489817E-2</v>
      </c>
      <c r="B1586" s="26">
        <f>'Daily Returns'!B1586</f>
        <v>2.7353177795655945E-3</v>
      </c>
      <c r="C1586" s="26">
        <f>'Daily Returns'!C1586</f>
        <v>-4.2897122885218473E-3</v>
      </c>
      <c r="D1586" s="26">
        <f>'Daily Returns'!D1586</f>
        <v>1.9129491945477067E-2</v>
      </c>
      <c r="E1586" s="26">
        <f>'Daily Returns'!E1586</f>
        <v>4.6919770773639052E-3</v>
      </c>
    </row>
    <row r="1587" spans="1:5" ht="15" customHeight="1" x14ac:dyDescent="0.3">
      <c r="A1587" s="25">
        <f>'Daily Returns'!F1587</f>
        <v>7.5751990809028351E-3</v>
      </c>
      <c r="B1587" s="25">
        <f>'Daily Returns'!B1587</f>
        <v>5.1347881899871679E-3</v>
      </c>
      <c r="C1587" s="25">
        <f>'Daily Returns'!C1587</f>
        <v>-8.1585415096798748E-3</v>
      </c>
      <c r="D1587" s="25">
        <f>'Daily Returns'!D1587</f>
        <v>1.1855004179648927E-2</v>
      </c>
      <c r="E1587" s="25">
        <f>'Daily Returns'!E1587</f>
        <v>-2.056967666036855E-2</v>
      </c>
    </row>
    <row r="1588" spans="1:5" ht="15" customHeight="1" x14ac:dyDescent="0.3">
      <c r="A1588" s="26">
        <f>'Daily Returns'!F1588</f>
        <v>-4.0378010933466123E-3</v>
      </c>
      <c r="B1588" s="26">
        <f>'Daily Returns'!B1588</f>
        <v>7.1040868454661605E-3</v>
      </c>
      <c r="C1588" s="26">
        <f>'Daily Returns'!C1588</f>
        <v>1.8422765113751773E-2</v>
      </c>
      <c r="D1588" s="26">
        <f>'Daily Returns'!D1588</f>
        <v>-6.5339842283139654E-3</v>
      </c>
      <c r="E1588" s="26">
        <f>'Daily Returns'!E1588</f>
        <v>-4.3313678386838386E-3</v>
      </c>
    </row>
    <row r="1589" spans="1:5" ht="15" customHeight="1" x14ac:dyDescent="0.3">
      <c r="A1589" s="25">
        <f>'Daily Returns'!F1589</f>
        <v>2.1630977610086789E-3</v>
      </c>
      <c r="B1589" s="25">
        <f>'Daily Returns'!B1589</f>
        <v>-9.273202821589931E-3</v>
      </c>
      <c r="C1589" s="25">
        <f>'Daily Returns'!C1589</f>
        <v>1.1920125402111405E-2</v>
      </c>
      <c r="D1589" s="25">
        <f>'Daily Returns'!D1589</f>
        <v>1.6102207438766218E-2</v>
      </c>
      <c r="E1589" s="25">
        <f>'Daily Returns'!E1589</f>
        <v>-2.4858343995613274E-2</v>
      </c>
    </row>
    <row r="1590" spans="1:5" ht="15" customHeight="1" x14ac:dyDescent="0.3">
      <c r="A1590" s="26">
        <f>'Daily Returns'!F1590</f>
        <v>-3.0371433501732428E-3</v>
      </c>
      <c r="B1590" s="26">
        <f>'Daily Returns'!B1590</f>
        <v>1.9840000000000031E-2</v>
      </c>
      <c r="C1590" s="26">
        <f>'Daily Returns'!C1590</f>
        <v>-7.5275673826152791E-4</v>
      </c>
      <c r="D1590" s="26">
        <f>'Daily Returns'!D1590</f>
        <v>-5.4311435161073568E-3</v>
      </c>
      <c r="E1590" s="26">
        <f>'Daily Returns'!E1590</f>
        <v>2.1368322399249978E-3</v>
      </c>
    </row>
    <row r="1591" spans="1:5" ht="15" customHeight="1" x14ac:dyDescent="0.3">
      <c r="A1591" s="25">
        <f>'Daily Returns'!F1591</f>
        <v>1.9152165697782098E-2</v>
      </c>
      <c r="B1591" s="25">
        <f>'Daily Returns'!B1591</f>
        <v>-1.8355820520866043E-2</v>
      </c>
      <c r="C1591" s="25">
        <f>'Daily Returns'!C1591</f>
        <v>-7.4460766460279658E-3</v>
      </c>
      <c r="D1591" s="25">
        <f>'Daily Returns'!D1591</f>
        <v>1.4736684619988023E-2</v>
      </c>
      <c r="E1591" s="25">
        <f>'Daily Returns'!E1591</f>
        <v>-2.1846476133472899E-2</v>
      </c>
    </row>
    <row r="1592" spans="1:5" ht="15" customHeight="1" x14ac:dyDescent="0.3">
      <c r="A1592" s="26">
        <f>'Daily Returns'!F1592</f>
        <v>2.2447871691505916E-2</v>
      </c>
      <c r="B1592" s="26">
        <f>'Daily Returns'!B1592</f>
        <v>2.7489212082467733E-2</v>
      </c>
      <c r="C1592" s="26">
        <f>'Daily Returns'!C1592</f>
        <v>1.223141843682073E-4</v>
      </c>
      <c r="D1592" s="26">
        <f>'Daily Returns'!D1592</f>
        <v>-1.1795060818282092E-3</v>
      </c>
      <c r="E1592" s="26">
        <f>'Daily Returns'!E1592</f>
        <v>-1.9580847483555163E-2</v>
      </c>
    </row>
    <row r="1593" spans="1:5" ht="15" customHeight="1" x14ac:dyDescent="0.3">
      <c r="A1593" s="25">
        <f>'Daily Returns'!F1593</f>
        <v>-2.7918761363875865E-3</v>
      </c>
      <c r="B1593" s="25">
        <f>'Daily Returns'!B1593</f>
        <v>2.1465235650956531E-2</v>
      </c>
      <c r="C1593" s="25">
        <f>'Daily Returns'!C1593</f>
        <v>1.3377653736398085E-2</v>
      </c>
      <c r="D1593" s="25">
        <f>'Daily Returns'!D1593</f>
        <v>2.1403793637906269E-3</v>
      </c>
      <c r="E1593" s="25">
        <f>'Daily Returns'!E1593</f>
        <v>5.500078015290873E-3</v>
      </c>
    </row>
    <row r="1594" spans="1:5" ht="15" customHeight="1" x14ac:dyDescent="0.3">
      <c r="A1594" s="26">
        <f>'Daily Returns'!F1594</f>
        <v>-1.0223851069229555E-2</v>
      </c>
      <c r="B1594" s="26">
        <f>'Daily Returns'!B1594</f>
        <v>-1.6141312623724719E-2</v>
      </c>
      <c r="C1594" s="26">
        <f>'Daily Returns'!C1594</f>
        <v>1.5336246271150759E-2</v>
      </c>
      <c r="D1594" s="26">
        <f>'Daily Returns'!D1594</f>
        <v>1.4729709824715617E-3</v>
      </c>
      <c r="E1594" s="26">
        <f>'Daily Returns'!E1594</f>
        <v>-3.5496760678123823E-2</v>
      </c>
    </row>
    <row r="1595" spans="1:5" ht="15" customHeight="1" x14ac:dyDescent="0.3">
      <c r="A1595" s="25">
        <f>'Daily Returns'!F1595</f>
        <v>2.9305837374031481E-2</v>
      </c>
      <c r="B1595" s="25">
        <f>'Daily Returns'!B1595</f>
        <v>2.3216220399319872E-4</v>
      </c>
      <c r="C1595" s="25">
        <f>'Daily Returns'!C1595</f>
        <v>-4.5716096942507436E-4</v>
      </c>
      <c r="D1595" s="25">
        <f>'Daily Returns'!D1595</f>
        <v>1.6325930283865267E-2</v>
      </c>
      <c r="E1595" s="25">
        <f>'Daily Returns'!E1595</f>
        <v>1.2388383879012083E-2</v>
      </c>
    </row>
    <row r="1596" spans="1:5" ht="15" customHeight="1" x14ac:dyDescent="0.3">
      <c r="A1596" s="26">
        <f>'Daily Returns'!F1596</f>
        <v>5.1935642732742569E-3</v>
      </c>
      <c r="B1596" s="26">
        <f>'Daily Returns'!B1596</f>
        <v>2.003868471953581E-2</v>
      </c>
      <c r="C1596" s="26">
        <f>'Daily Returns'!C1596</f>
        <v>-7.2904787749799842E-3</v>
      </c>
      <c r="D1596" s="26">
        <f>'Daily Returns'!D1596</f>
        <v>-9.4066570188129856E-4</v>
      </c>
      <c r="E1596" s="26">
        <f>'Daily Returns'!E1596</f>
        <v>-1.493841875248308E-2</v>
      </c>
    </row>
    <row r="1597" spans="1:5" ht="15" customHeight="1" x14ac:dyDescent="0.3">
      <c r="A1597" s="25">
        <f>'Daily Returns'!F1597</f>
        <v>-1.1846450010837672E-2</v>
      </c>
      <c r="B1597" s="25">
        <f>'Daily Returns'!B1597</f>
        <v>-6.5230582524272874E-3</v>
      </c>
      <c r="C1597" s="25">
        <f>'Daily Returns'!C1597</f>
        <v>2.3957907798913851E-3</v>
      </c>
      <c r="D1597" s="25">
        <f>'Daily Returns'!D1597</f>
        <v>9.5603679293111699E-3</v>
      </c>
      <c r="E1597" s="25">
        <f>'Daily Returns'!E1597</f>
        <v>3.0652577236428145E-2</v>
      </c>
    </row>
    <row r="1598" spans="1:5" ht="15" customHeight="1" x14ac:dyDescent="0.3">
      <c r="A1598" s="26">
        <f>'Daily Returns'!F1598</f>
        <v>1.3080171520958514E-2</v>
      </c>
      <c r="B1598" s="26">
        <f>'Daily Returns'!B1598</f>
        <v>-1.9086883493663156E-3</v>
      </c>
      <c r="C1598" s="26">
        <f>'Daily Returns'!C1598</f>
        <v>2.8742059929338822E-3</v>
      </c>
      <c r="D1598" s="26">
        <f>'Daily Returns'!D1598</f>
        <v>9.8285386326135635E-3</v>
      </c>
      <c r="E1598" s="26">
        <f>'Daily Returns'!E1598</f>
        <v>-9.4701416607966948E-3</v>
      </c>
    </row>
    <row r="1599" spans="1:5" ht="15" customHeight="1" x14ac:dyDescent="0.3">
      <c r="A1599" s="25">
        <f>'Daily Returns'!F1599</f>
        <v>-1.956526236713713E-3</v>
      </c>
      <c r="B1599" s="25">
        <f>'Daily Returns'!B1599</f>
        <v>-5.2780540044366081E-3</v>
      </c>
      <c r="C1599" s="25">
        <f>'Daily Returns'!C1599</f>
        <v>5.0505822071625385E-3</v>
      </c>
      <c r="D1599" s="25">
        <f>'Daily Returns'!D1599</f>
        <v>-1.3142938334754151E-2</v>
      </c>
      <c r="E1599" s="25">
        <f>'Daily Returns'!E1599</f>
        <v>-1.6197850821744603E-2</v>
      </c>
    </row>
    <row r="1600" spans="1:5" ht="15" customHeight="1" x14ac:dyDescent="0.3">
      <c r="A1600" s="26">
        <f>'Daily Returns'!F1600</f>
        <v>-3.4314371971222676E-3</v>
      </c>
      <c r="B1600" s="26">
        <f>'Daily Returns'!B1600</f>
        <v>1.6533374346355014E-2</v>
      </c>
      <c r="C1600" s="26">
        <f>'Daily Returns'!C1600</f>
        <v>-7.4025208091395775E-3</v>
      </c>
      <c r="D1600" s="26">
        <f>'Daily Returns'!D1600</f>
        <v>1.497372399395301E-2</v>
      </c>
      <c r="E1600" s="26">
        <f>'Daily Returns'!E1600</f>
        <v>2.5299172757208073E-3</v>
      </c>
    </row>
    <row r="1601" spans="1:5" ht="15" customHeight="1" x14ac:dyDescent="0.3">
      <c r="A1601" s="25">
        <f>'Daily Returns'!F1601</f>
        <v>1.2328070487513771E-2</v>
      </c>
      <c r="B1601" s="25">
        <f>'Daily Returns'!B1601</f>
        <v>-8.1700582494892513E-3</v>
      </c>
      <c r="C1601" s="25">
        <f>'Daily Returns'!C1601</f>
        <v>3.1291825290116176E-2</v>
      </c>
      <c r="D1601" s="25">
        <f>'Daily Returns'!D1601</f>
        <v>2.354776934534359E-2</v>
      </c>
      <c r="E1601" s="25">
        <f>'Daily Returns'!E1601</f>
        <v>1.9307029841778463E-2</v>
      </c>
    </row>
    <row r="1602" spans="1:5" ht="15" customHeight="1" x14ac:dyDescent="0.3">
      <c r="A1602" s="26">
        <f>'Daily Returns'!F1602</f>
        <v>-1.9194736154080742E-2</v>
      </c>
      <c r="B1602" s="26">
        <f>'Daily Returns'!B1602</f>
        <v>2.288154984362193E-4</v>
      </c>
      <c r="C1602" s="26">
        <f>'Daily Returns'!C1602</f>
        <v>-1.0495242394364434E-2</v>
      </c>
      <c r="D1602" s="26">
        <f>'Daily Returns'!D1602</f>
        <v>8.4540225902570779E-3</v>
      </c>
      <c r="E1602" s="26">
        <f>'Daily Returns'!E1602</f>
        <v>-4.5545643887295179E-2</v>
      </c>
    </row>
    <row r="1603" spans="1:5" ht="15" customHeight="1" x14ac:dyDescent="0.3">
      <c r="A1603" s="25">
        <f>'Daily Returns'!F1603</f>
        <v>1.0974173984137052E-2</v>
      </c>
      <c r="B1603" s="25">
        <f>'Daily Returns'!B1603</f>
        <v>7.7779472319659173E-3</v>
      </c>
      <c r="C1603" s="25">
        <f>'Daily Returns'!C1603</f>
        <v>2.727272727272724E-2</v>
      </c>
      <c r="D1603" s="25">
        <f>'Daily Returns'!D1603</f>
        <v>6.8027210884354363E-3</v>
      </c>
      <c r="E1603" s="25">
        <f>'Daily Returns'!E1603</f>
        <v>-1.165184453227925E-2</v>
      </c>
    </row>
    <row r="1604" spans="1:5" ht="15" customHeight="1" x14ac:dyDescent="0.3">
      <c r="A1604" s="26">
        <f>'Daily Returns'!F1604</f>
        <v>2.3952027347613398E-3</v>
      </c>
      <c r="B1604" s="26">
        <f>'Daily Returns'!B1604</f>
        <v>-2.572639225181624E-3</v>
      </c>
      <c r="C1604" s="26">
        <f>'Daily Returns'!C1604</f>
        <v>2.5178437347528417E-2</v>
      </c>
      <c r="D1604" s="26">
        <f>'Daily Returns'!D1604</f>
        <v>-1.3035763035763011E-2</v>
      </c>
      <c r="E1604" s="26">
        <f>'Daily Returns'!E1604</f>
        <v>2.4244948968964768E-2</v>
      </c>
    </row>
    <row r="1605" spans="1:5" ht="15" customHeight="1" x14ac:dyDescent="0.3">
      <c r="A1605" s="25">
        <f>'Daily Returns'!F1605</f>
        <v>4.3503567110725954E-3</v>
      </c>
      <c r="B1605" s="25">
        <f>'Daily Returns'!B1605</f>
        <v>-1.168259748141399E-2</v>
      </c>
      <c r="C1605" s="25">
        <f>'Daily Returns'!C1605</f>
        <v>1.7301471950298533E-2</v>
      </c>
      <c r="D1605" s="25">
        <f>'Daily Returns'!D1605</f>
        <v>2.0676301777193696E-2</v>
      </c>
      <c r="E1605" s="25">
        <f>'Daily Returns'!E1605</f>
        <v>-1.915646479847077E-2</v>
      </c>
    </row>
    <row r="1606" spans="1:5" ht="15" customHeight="1" x14ac:dyDescent="0.3">
      <c r="A1606" s="26">
        <f>'Daily Returns'!F1606</f>
        <v>2.5196626845941259E-3</v>
      </c>
      <c r="B1606" s="26">
        <f>'Daily Returns'!B1606</f>
        <v>-1.8268345102855355E-2</v>
      </c>
      <c r="C1606" s="26">
        <f>'Daily Returns'!C1606</f>
        <v>3.3650263610540035E-2</v>
      </c>
      <c r="D1606" s="26">
        <f>'Daily Returns'!D1606</f>
        <v>-2.3712737127371274E-2</v>
      </c>
      <c r="E1606" s="26">
        <f>'Daily Returns'!E1606</f>
        <v>-2.2599104329076084E-2</v>
      </c>
    </row>
    <row r="1607" spans="1:5" ht="15" customHeight="1" x14ac:dyDescent="0.3">
      <c r="A1607" s="25">
        <f>'Daily Returns'!F1607</f>
        <v>-1.8497046394831702E-2</v>
      </c>
      <c r="B1607" s="25">
        <f>'Daily Returns'!B1607</f>
        <v>-2.0719311962470725E-2</v>
      </c>
      <c r="C1607" s="25">
        <f>'Daily Returns'!C1607</f>
        <v>1.0398993977960715E-2</v>
      </c>
      <c r="D1607" s="25">
        <f>'Daily Returns'!D1607</f>
        <v>2.6370575988896284E-3</v>
      </c>
      <c r="E1607" s="25">
        <f>'Daily Returns'!E1607</f>
        <v>-2.9570234610326242E-2</v>
      </c>
    </row>
    <row r="1608" spans="1:5" ht="15" customHeight="1" x14ac:dyDescent="0.3">
      <c r="A1608" s="26">
        <f>'Daily Returns'!F1608</f>
        <v>-8.3970967486564265E-3</v>
      </c>
      <c r="B1608" s="26">
        <f>'Daily Returns'!B1608</f>
        <v>-1.6047904191616807E-2</v>
      </c>
      <c r="C1608" s="26">
        <f>'Daily Returns'!C1608</f>
        <v>-4.9917519413114082E-3</v>
      </c>
      <c r="D1608" s="26">
        <f>'Daily Returns'!D1608</f>
        <v>2.4847729789590281E-2</v>
      </c>
      <c r="E1608" s="26">
        <f>'Daily Returns'!E1608</f>
        <v>-6.0767683833173681E-3</v>
      </c>
    </row>
    <row r="1609" spans="1:5" ht="15" customHeight="1" x14ac:dyDescent="0.3">
      <c r="A1609" s="25">
        <f>'Daily Returns'!F1609</f>
        <v>4.5975452116496177E-3</v>
      </c>
      <c r="B1609" s="25">
        <f>'Daily Returns'!B1609</f>
        <v>-2.3531320999675361E-2</v>
      </c>
      <c r="C1609" s="25">
        <f>'Daily Returns'!C1609</f>
        <v>-8.6291022606575923E-3</v>
      </c>
      <c r="D1609" s="25">
        <f>'Daily Returns'!D1609</f>
        <v>-1.0468021881542399E-2</v>
      </c>
      <c r="E1609" s="25">
        <f>'Daily Returns'!E1609</f>
        <v>-2.3268088849791035E-2</v>
      </c>
    </row>
    <row r="1610" spans="1:5" ht="15" customHeight="1" x14ac:dyDescent="0.3">
      <c r="A1610" s="26">
        <f>'Daily Returns'!F1610</f>
        <v>6.171881859167669E-3</v>
      </c>
      <c r="B1610" s="26">
        <f>'Daily Returns'!B1610</f>
        <v>-9.7224530496925511E-3</v>
      </c>
      <c r="C1610" s="26">
        <f>'Daily Returns'!C1610</f>
        <v>-1.1243959940503643E-2</v>
      </c>
      <c r="D1610" s="26">
        <f>'Daily Returns'!D1610</f>
        <v>8.8725088725087557E-3</v>
      </c>
      <c r="E1610" s="26">
        <f>'Daily Returns'!E1610</f>
        <v>8.9615419256057326E-3</v>
      </c>
    </row>
    <row r="1611" spans="1:5" ht="15" customHeight="1" x14ac:dyDescent="0.3">
      <c r="A1611" s="25">
        <f>'Daily Returns'!F1611</f>
        <v>-4.0480884116902315E-4</v>
      </c>
      <c r="B1611" s="25">
        <f>'Daily Returns'!B1611</f>
        <v>4.4474280439708077E-3</v>
      </c>
      <c r="C1611" s="25">
        <f>'Daily Returns'!C1611</f>
        <v>1.5365025933809753E-2</v>
      </c>
      <c r="D1611" s="25">
        <f>'Daily Returns'!D1611</f>
        <v>-1.1026924638073303E-2</v>
      </c>
      <c r="E1611" s="25">
        <f>'Daily Returns'!E1611</f>
        <v>-2.78955590270029E-2</v>
      </c>
    </row>
    <row r="1612" spans="1:5" ht="15" customHeight="1" x14ac:dyDescent="0.3">
      <c r="A1612" s="26">
        <f>'Daily Returns'!F1612</f>
        <v>-1.845649935411342E-2</v>
      </c>
      <c r="B1612" s="26">
        <f>'Daily Returns'!B1612</f>
        <v>1.0860484544694691E-3</v>
      </c>
      <c r="C1612" s="26">
        <f>'Daily Returns'!C1612</f>
        <v>-2.5519697728904063E-2</v>
      </c>
      <c r="D1612" s="26">
        <f>'Daily Returns'!D1612</f>
        <v>1.0739448662699181E-2</v>
      </c>
      <c r="E1612" s="26">
        <f>'Daily Returns'!E1612</f>
        <v>-8.5399449035813303E-3</v>
      </c>
    </row>
    <row r="1613" spans="1:5" ht="15" customHeight="1" x14ac:dyDescent="0.3">
      <c r="A1613" s="25">
        <f>'Daily Returns'!F1613</f>
        <v>-2.6814533209276437E-3</v>
      </c>
      <c r="B1613" s="25">
        <f>'Daily Returns'!B1613</f>
        <v>-1.1099056997412989E-2</v>
      </c>
      <c r="C1613" s="25">
        <f>'Daily Returns'!C1613</f>
        <v>-2.4492541337417247E-2</v>
      </c>
      <c r="D1613" s="25">
        <f>'Daily Returns'!D1613</f>
        <v>-2.1859772604222998E-2</v>
      </c>
      <c r="E1613" s="25">
        <f>'Daily Returns'!E1613</f>
        <v>-3.1490228767250476E-3</v>
      </c>
    </row>
    <row r="1614" spans="1:5" ht="15" customHeight="1" x14ac:dyDescent="0.3">
      <c r="A1614" s="26">
        <f>'Daily Returns'!F1614</f>
        <v>-8.7148493140810877E-3</v>
      </c>
      <c r="B1614" s="26">
        <f>'Daily Returns'!B1614</f>
        <v>-1.3839662447257388E-2</v>
      </c>
      <c r="C1614" s="26">
        <f>'Daily Returns'!C1614</f>
        <v>2.7626214131651911E-2</v>
      </c>
      <c r="D1614" s="26">
        <f>'Daily Returns'!D1614</f>
        <v>-6.0887013076869542E-3</v>
      </c>
      <c r="E1614" s="26">
        <f>'Daily Returns'!E1614</f>
        <v>-1.1056396915358152E-2</v>
      </c>
    </row>
    <row r="1615" spans="1:5" ht="15" customHeight="1" x14ac:dyDescent="0.3">
      <c r="A1615" s="25">
        <f>'Daily Returns'!F1615</f>
        <v>-8.3804379781372562E-3</v>
      </c>
      <c r="B1615" s="25">
        <f>'Daily Returns'!B1615</f>
        <v>-1.3434879342803296E-2</v>
      </c>
      <c r="C1615" s="25">
        <f>'Daily Returns'!C1615</f>
        <v>1.8460241718815395E-2</v>
      </c>
      <c r="D1615" s="25">
        <f>'Daily Returns'!D1615</f>
        <v>-9.6762965541247106E-3</v>
      </c>
      <c r="E1615" s="25">
        <f>'Daily Returns'!E1615</f>
        <v>-4.0398346486282656E-3</v>
      </c>
    </row>
    <row r="1616" spans="1:5" ht="15" customHeight="1" x14ac:dyDescent="0.3">
      <c r="A1616" s="26">
        <f>'Daily Returns'!F1616</f>
        <v>5.7856231258824782E-3</v>
      </c>
      <c r="B1616" s="26">
        <f>'Daily Returns'!B1616</f>
        <v>-1.8908838580969787E-2</v>
      </c>
      <c r="C1616" s="26">
        <f>'Daily Returns'!C1616</f>
        <v>7.9030831007963522E-3</v>
      </c>
      <c r="D1616" s="26">
        <f>'Daily Returns'!D1616</f>
        <v>2.0385210178547764E-3</v>
      </c>
      <c r="E1616" s="26">
        <f>'Daily Returns'!E1616</f>
        <v>-1.7687010659371758E-2</v>
      </c>
    </row>
    <row r="1617" spans="1:5" ht="15" customHeight="1" x14ac:dyDescent="0.3">
      <c r="A1617" s="25">
        <f>'Daily Returns'!F1617</f>
        <v>3.7830702492080001E-3</v>
      </c>
      <c r="B1617" s="25">
        <f>'Daily Returns'!B1617</f>
        <v>-1.6797807444081034E-2</v>
      </c>
      <c r="C1617" s="25">
        <f>'Daily Returns'!C1617</f>
        <v>1.6881489244465572E-2</v>
      </c>
      <c r="D1617" s="25">
        <f>'Daily Returns'!D1617</f>
        <v>-2.644686075061389E-2</v>
      </c>
      <c r="E1617" s="25">
        <f>'Daily Returns'!E1617</f>
        <v>-1.6372977385125061E-2</v>
      </c>
    </row>
    <row r="1618" spans="1:5" ht="15" customHeight="1" x14ac:dyDescent="0.3">
      <c r="A1618" s="26">
        <f>'Daily Returns'!F1618</f>
        <v>-1.6783832976127906E-2</v>
      </c>
      <c r="B1618" s="26">
        <f>'Daily Returns'!B1618</f>
        <v>1.0160956748493929E-2</v>
      </c>
      <c r="C1618" s="26">
        <f>'Daily Returns'!C1618</f>
        <v>1.4253156890973669E-2</v>
      </c>
      <c r="D1618" s="26">
        <f>'Daily Returns'!D1618</f>
        <v>2.4138924917134992E-2</v>
      </c>
      <c r="E1618" s="26">
        <f>'Daily Returns'!E1618</f>
        <v>2.3723518500439252E-2</v>
      </c>
    </row>
    <row r="1619" spans="1:5" ht="15" customHeight="1" x14ac:dyDescent="0.3">
      <c r="A1619" s="25">
        <f>'Daily Returns'!F1619</f>
        <v>-1.1543536241541059E-3</v>
      </c>
      <c r="B1619" s="25">
        <f>'Daily Returns'!B1619</f>
        <v>-1.9138330069432132E-2</v>
      </c>
      <c r="C1619" s="25">
        <f>'Daily Returns'!C1619</f>
        <v>-2.7000555200552964E-3</v>
      </c>
      <c r="D1619" s="25">
        <f>'Daily Returns'!D1619</f>
        <v>5.2768592133961871E-3</v>
      </c>
      <c r="E1619" s="25">
        <f>'Daily Returns'!E1619</f>
        <v>8.4875071523936724E-3</v>
      </c>
    </row>
    <row r="1620" spans="1:5" ht="15" customHeight="1" x14ac:dyDescent="0.3">
      <c r="A1620" s="26">
        <f>'Daily Returns'!F1620</f>
        <v>6.7830152016510074E-3</v>
      </c>
      <c r="B1620" s="26">
        <f>'Daily Returns'!B1620</f>
        <v>5.4451402123606744E-4</v>
      </c>
      <c r="C1620" s="26">
        <f>'Daily Returns'!C1620</f>
        <v>-2.5309009934009634E-2</v>
      </c>
      <c r="D1620" s="26">
        <f>'Daily Returns'!D1620</f>
        <v>-7.2788353863381308E-3</v>
      </c>
      <c r="E1620" s="26">
        <f>'Daily Returns'!E1620</f>
        <v>8.4160756501182078E-3</v>
      </c>
    </row>
    <row r="1621" spans="1:5" ht="15" customHeight="1" x14ac:dyDescent="0.3">
      <c r="A1621" s="25">
        <f>'Daily Returns'!F1621</f>
        <v>2.4837469632422861E-3</v>
      </c>
      <c r="B1621" s="25">
        <f>'Daily Returns'!B1621</f>
        <v>-8.2539682539682236E-3</v>
      </c>
      <c r="C1621" s="25">
        <f>'Daily Returns'!C1621</f>
        <v>2.3226240991446094E-2</v>
      </c>
      <c r="D1621" s="25">
        <f>'Daily Returns'!D1621</f>
        <v>2.3829667230682427E-2</v>
      </c>
      <c r="E1621" s="25">
        <f>'Daily Returns'!E1621</f>
        <v>2.0442610652663097E-2</v>
      </c>
    </row>
    <row r="1622" spans="1:5" ht="15" customHeight="1" x14ac:dyDescent="0.3">
      <c r="A1622" s="26">
        <f>'Daily Returns'!F1622</f>
        <v>-1.6108561762259515E-3</v>
      </c>
      <c r="B1622" s="26">
        <f>'Daily Returns'!B1622</f>
        <v>3.402231571245655E-2</v>
      </c>
      <c r="C1622" s="26">
        <f>'Daily Returns'!C1622</f>
        <v>8.4650707221771929E-3</v>
      </c>
      <c r="D1622" s="26">
        <f>'Daily Returns'!D1622</f>
        <v>6.8861038424396806E-5</v>
      </c>
      <c r="E1622" s="26">
        <f>'Daily Returns'!E1622</f>
        <v>8.0867487594193134E-3</v>
      </c>
    </row>
    <row r="1623" spans="1:5" ht="15" customHeight="1" x14ac:dyDescent="0.3">
      <c r="A1623" s="25">
        <f>'Daily Returns'!F1623</f>
        <v>4.5250884985240114E-4</v>
      </c>
      <c r="B1623" s="25">
        <f>'Daily Returns'!B1623</f>
        <v>-2.458871395719088E-2</v>
      </c>
      <c r="C1623" s="25">
        <f>'Daily Returns'!C1623</f>
        <v>-2.367817112302259E-2</v>
      </c>
      <c r="D1623" s="25">
        <f>'Daily Returns'!D1623</f>
        <v>4.4068030021346474E-3</v>
      </c>
      <c r="E1623" s="25">
        <f>'Daily Returns'!E1623</f>
        <v>-5.2871467639015344E-3</v>
      </c>
    </row>
    <row r="1624" spans="1:5" ht="15" customHeight="1" x14ac:dyDescent="0.3">
      <c r="A1624" s="26">
        <f>'Daily Returns'!F1624</f>
        <v>-1.3056563846842341E-2</v>
      </c>
      <c r="B1624" s="26">
        <f>'Daily Returns'!B1624</f>
        <v>2.9923830250271882E-3</v>
      </c>
      <c r="C1624" s="26">
        <f>'Daily Returns'!C1624</f>
        <v>3.1047595616432834E-3</v>
      </c>
      <c r="D1624" s="26">
        <f>'Daily Returns'!D1624</f>
        <v>4.9359018303969208E-3</v>
      </c>
      <c r="E1624" s="26">
        <f>'Daily Returns'!E1624</f>
        <v>1.1455278592375367E-2</v>
      </c>
    </row>
    <row r="1625" spans="1:5" ht="15" customHeight="1" x14ac:dyDescent="0.3">
      <c r="A1625" s="25">
        <f>'Daily Returns'!F1625</f>
        <v>2.1748479041816291E-2</v>
      </c>
      <c r="B1625" s="25">
        <f>'Daily Returns'!B1625</f>
        <v>-4.3395714673176381E-3</v>
      </c>
      <c r="C1625" s="25">
        <f>'Daily Returns'!C1625</f>
        <v>-7.6725592703871196E-3</v>
      </c>
      <c r="D1625" s="25">
        <f>'Daily Returns'!D1625</f>
        <v>2.5445119039497848E-2</v>
      </c>
      <c r="E1625" s="25">
        <f>'Daily Returns'!E1625</f>
        <v>-4.1677992208028264E-3</v>
      </c>
    </row>
    <row r="1626" spans="1:5" ht="15" customHeight="1" x14ac:dyDescent="0.3">
      <c r="A1626" s="26">
        <f>'Daily Returns'!F1626</f>
        <v>1.8201121276662006E-3</v>
      </c>
      <c r="B1626" s="26">
        <f>'Daily Returns'!B1626</f>
        <v>-1.0351402887496601E-2</v>
      </c>
      <c r="C1626" s="26">
        <f>'Daily Returns'!C1626</f>
        <v>-1.4399892538115729E-3</v>
      </c>
      <c r="D1626" s="26">
        <f>'Daily Returns'!D1626</f>
        <v>2.8605641298563521E-3</v>
      </c>
      <c r="E1626" s="26">
        <f>'Daily Returns'!E1626</f>
        <v>3.3436448002911449E-2</v>
      </c>
    </row>
    <row r="1627" spans="1:5" ht="15" customHeight="1" x14ac:dyDescent="0.3">
      <c r="A1627" s="25">
        <f>'Daily Returns'!F1627</f>
        <v>-9.5197043171541488E-3</v>
      </c>
      <c r="B1627" s="25">
        <f>'Daily Returns'!B1627</f>
        <v>4.6793283787503913E-3</v>
      </c>
      <c r="C1627" s="25">
        <f>'Daily Returns'!C1627</f>
        <v>-5.1898226743325639E-3</v>
      </c>
      <c r="D1627" s="25">
        <f>'Daily Returns'!D1627</f>
        <v>-1.6384742951907123E-2</v>
      </c>
      <c r="E1627" s="25">
        <f>'Daily Returns'!E1627</f>
        <v>4.4460095963376302E-3</v>
      </c>
    </row>
    <row r="1628" spans="1:5" ht="15" customHeight="1" x14ac:dyDescent="0.3">
      <c r="A1628" s="26">
        <f>'Daily Returns'!F1628</f>
        <v>-2.0599409585952633E-2</v>
      </c>
      <c r="B1628" s="26">
        <f>'Daily Returns'!B1628</f>
        <v>2.4657534246574977E-3</v>
      </c>
      <c r="C1628" s="26">
        <f>'Daily Returns'!C1628</f>
        <v>1.0317503245348358E-2</v>
      </c>
      <c r="D1628" s="26">
        <f>'Daily Returns'!D1628</f>
        <v>1.8208794173186554E-3</v>
      </c>
      <c r="E1628" s="26">
        <f>'Daily Returns'!E1628</f>
        <v>1.3585765623630567E-3</v>
      </c>
    </row>
    <row r="1629" spans="1:5" ht="15" customHeight="1" x14ac:dyDescent="0.3">
      <c r="A1629" s="25">
        <f>'Daily Returns'!F1629</f>
        <v>-1.9748716237014442E-2</v>
      </c>
      <c r="B1629" s="25">
        <f>'Daily Returns'!B1629</f>
        <v>-1.4484831921289873E-2</v>
      </c>
      <c r="C1629" s="25">
        <f>'Daily Returns'!C1629</f>
        <v>-3.0810412902362895E-3</v>
      </c>
      <c r="D1629" s="25">
        <f>'Daily Returns'!D1629</f>
        <v>7.0010097610231706E-3</v>
      </c>
      <c r="E1629" s="25">
        <f>'Daily Returns'!E1629</f>
        <v>2.997943017199875E-2</v>
      </c>
    </row>
    <row r="1630" spans="1:5" ht="15" customHeight="1" x14ac:dyDescent="0.3">
      <c r="A1630" s="26">
        <f>'Daily Returns'!F1630</f>
        <v>-6.7612410575578477E-3</v>
      </c>
      <c r="B1630" s="26">
        <f>'Daily Returns'!B1630</f>
        <v>6.193381401367974E-3</v>
      </c>
      <c r="C1630" s="26">
        <f>'Daily Returns'!C1630</f>
        <v>-1.977584688419641E-2</v>
      </c>
      <c r="D1630" s="26">
        <f>'Daily Returns'!D1630</f>
        <v>0</v>
      </c>
      <c r="E1630" s="26">
        <f>'Daily Returns'!E1630</f>
        <v>1.6061867935752532E-2</v>
      </c>
    </row>
    <row r="1631" spans="1:5" ht="15" customHeight="1" x14ac:dyDescent="0.3">
      <c r="A1631" s="25">
        <f>'Daily Returns'!F1631</f>
        <v>1.2053386511692016E-2</v>
      </c>
      <c r="B1631" s="25">
        <f>'Daily Returns'!B1631</f>
        <v>5.787781350482404E-3</v>
      </c>
      <c r="C1631" s="25">
        <f>'Daily Returns'!C1631</f>
        <v>1.2466478021360866E-2</v>
      </c>
      <c r="D1631" s="25">
        <f>'Daily Returns'!D1631</f>
        <v>-9.8937094725582569E-3</v>
      </c>
      <c r="E1631" s="25">
        <f>'Daily Returns'!E1631</f>
        <v>-1.2796922047507537E-2</v>
      </c>
    </row>
    <row r="1632" spans="1:5" ht="15" customHeight="1" x14ac:dyDescent="0.3">
      <c r="A1632" s="26">
        <f>'Daily Returns'!F1632</f>
        <v>-6.1545181515554508E-3</v>
      </c>
      <c r="B1632" s="26">
        <f>'Daily Returns'!B1632</f>
        <v>1.8450858604311254E-2</v>
      </c>
      <c r="C1632" s="26">
        <f>'Daily Returns'!C1632</f>
        <v>9.1637131030004298E-3</v>
      </c>
      <c r="D1632" s="26">
        <f>'Daily Returns'!D1632</f>
        <v>-1.2288164202282232E-2</v>
      </c>
      <c r="E1632" s="26">
        <f>'Daily Returns'!E1632</f>
        <v>9.5314750487164278E-3</v>
      </c>
    </row>
    <row r="1633" spans="1:5" ht="15" customHeight="1" x14ac:dyDescent="0.3">
      <c r="A1633" s="25">
        <f>'Daily Returns'!F1633</f>
        <v>-2.6500848686218815E-3</v>
      </c>
      <c r="B1633" s="25">
        <f>'Daily Returns'!B1633</f>
        <v>-8.1614349775784439E-3</v>
      </c>
      <c r="C1633" s="25">
        <f>'Daily Returns'!C1633</f>
        <v>-2.4552476293374995E-2</v>
      </c>
      <c r="D1633" s="25">
        <f>'Daily Returns'!D1633</f>
        <v>-2.6317588351903714E-2</v>
      </c>
      <c r="E1633" s="25">
        <f>'Daily Returns'!E1633</f>
        <v>-2.3708614829423883E-2</v>
      </c>
    </row>
    <row r="1634" spans="1:5" ht="15" customHeight="1" x14ac:dyDescent="0.3">
      <c r="A1634" s="26">
        <f>'Daily Returns'!F1634</f>
        <v>-1.1160869643419832E-2</v>
      </c>
      <c r="B1634" s="26">
        <f>'Daily Returns'!B1634</f>
        <v>2.0707116375802442E-2</v>
      </c>
      <c r="C1634" s="26">
        <f>'Daily Returns'!C1634</f>
        <v>7.8111472382015323E-3</v>
      </c>
      <c r="D1634" s="26">
        <f>'Daily Returns'!D1634</f>
        <v>7.9331648413366717E-3</v>
      </c>
      <c r="E1634" s="26">
        <f>'Daily Returns'!E1634</f>
        <v>-4.2121550760766341E-3</v>
      </c>
    </row>
    <row r="1635" spans="1:5" ht="15" customHeight="1" x14ac:dyDescent="0.3">
      <c r="A1635" s="25">
        <f>'Daily Returns'!F1635</f>
        <v>1.721150760690783E-2</v>
      </c>
      <c r="B1635" s="25">
        <f>'Daily Returns'!B1635</f>
        <v>-2.39192062367112E-3</v>
      </c>
      <c r="C1635" s="25">
        <f>'Daily Returns'!C1635</f>
        <v>1.6251182908304535E-2</v>
      </c>
      <c r="D1635" s="25">
        <f>'Daily Returns'!D1635</f>
        <v>-1.2746395486522144E-2</v>
      </c>
      <c r="E1635" s="25">
        <f>'Daily Returns'!E1635</f>
        <v>3.7983425414364444E-3</v>
      </c>
    </row>
    <row r="1636" spans="1:5" ht="15" customHeight="1" x14ac:dyDescent="0.3">
      <c r="A1636" s="26">
        <f>'Daily Returns'!F1636</f>
        <v>2.5771396473005179E-2</v>
      </c>
      <c r="B1636" s="26">
        <f>'Daily Returns'!B1636</f>
        <v>-2.7084628363378004E-2</v>
      </c>
      <c r="C1636" s="26">
        <f>'Daily Returns'!C1636</f>
        <v>-2.0931730356376615E-3</v>
      </c>
      <c r="D1636" s="26">
        <f>'Daily Returns'!D1636</f>
        <v>-9.7361365881190581E-3</v>
      </c>
      <c r="E1636" s="26">
        <f>'Daily Returns'!E1636</f>
        <v>3.1389748882008502E-3</v>
      </c>
    </row>
    <row r="1637" spans="1:5" ht="15" customHeight="1" x14ac:dyDescent="0.3">
      <c r="A1637" s="25">
        <f>'Daily Returns'!F1637</f>
        <v>-3.0671829988587303E-2</v>
      </c>
      <c r="B1637" s="25">
        <f>'Daily Returns'!B1637</f>
        <v>7.5757575757575604E-3</v>
      </c>
      <c r="C1637" s="25">
        <f>'Daily Returns'!C1637</f>
        <v>3.9046953154412904E-3</v>
      </c>
      <c r="D1637" s="25">
        <f>'Daily Returns'!D1637</f>
        <v>8.4781989170703738E-3</v>
      </c>
      <c r="E1637" s="25">
        <f>'Daily Returns'!E1637</f>
        <v>-2.6576364181919694E-3</v>
      </c>
    </row>
    <row r="1638" spans="1:5" ht="15" customHeight="1" x14ac:dyDescent="0.3">
      <c r="A1638" s="26">
        <f>'Daily Returns'!F1638</f>
        <v>-3.8603404363624053E-3</v>
      </c>
      <c r="B1638" s="26">
        <f>'Daily Returns'!B1638</f>
        <v>-8.1529124014859513E-4</v>
      </c>
      <c r="C1638" s="26">
        <f>'Daily Returns'!C1638</f>
        <v>-1.2887343562489198E-2</v>
      </c>
      <c r="D1638" s="26">
        <f>'Daily Returns'!D1638</f>
        <v>1.7379018014835601E-2</v>
      </c>
      <c r="E1638" s="26">
        <f>'Daily Returns'!E1638</f>
        <v>-1.757854471998958E-2</v>
      </c>
    </row>
    <row r="1639" spans="1:5" ht="15" customHeight="1" x14ac:dyDescent="0.3">
      <c r="A1639" s="25">
        <f>'Daily Returns'!F1639</f>
        <v>5.8851660651002878E-3</v>
      </c>
      <c r="B1639" s="25">
        <f>'Daily Returns'!B1639</f>
        <v>-1.1876699909338189E-2</v>
      </c>
      <c r="C1639" s="25">
        <f>'Daily Returns'!C1639</f>
        <v>-3.0271288273301885E-2</v>
      </c>
      <c r="D1639" s="25">
        <f>'Daily Returns'!D1639</f>
        <v>-1.5901673494896133E-2</v>
      </c>
      <c r="E1639" s="25">
        <f>'Daily Returns'!E1639</f>
        <v>8.0059497768832973E-3</v>
      </c>
    </row>
    <row r="1640" spans="1:5" ht="15" customHeight="1" x14ac:dyDescent="0.3">
      <c r="A1640" s="26">
        <f>'Daily Returns'!F1640</f>
        <v>5.8944335703735445E-3</v>
      </c>
      <c r="B1640" s="26">
        <f>'Daily Returns'!B1640</f>
        <v>1.3212221304706964E-2</v>
      </c>
      <c r="C1640" s="26">
        <f>'Daily Returns'!C1640</f>
        <v>9.7972273370905971E-3</v>
      </c>
      <c r="D1640" s="26">
        <f>'Daily Returns'!D1640</f>
        <v>-5.1510019757267126E-3</v>
      </c>
      <c r="E1640" s="26">
        <f>'Daily Returns'!E1640</f>
        <v>1.0980426196779658E-2</v>
      </c>
    </row>
    <row r="1641" spans="1:5" ht="15" customHeight="1" x14ac:dyDescent="0.3">
      <c r="A1641" s="25">
        <f>'Daily Returns'!F1641</f>
        <v>-5.4857704525561549E-3</v>
      </c>
      <c r="B1641" s="25">
        <f>'Daily Returns'!B1641</f>
        <v>-6.2483020918229822E-3</v>
      </c>
      <c r="C1641" s="25">
        <f>'Daily Returns'!C1641</f>
        <v>-9.5331262280124265E-4</v>
      </c>
      <c r="D1641" s="25">
        <f>'Daily Returns'!D1641</f>
        <v>-5.8160153202356304E-3</v>
      </c>
      <c r="E1641" s="25">
        <f>'Daily Returns'!E1641</f>
        <v>-1.2277839787069568E-2</v>
      </c>
    </row>
    <row r="1642" spans="1:5" ht="15" customHeight="1" x14ac:dyDescent="0.3">
      <c r="A1642" s="26">
        <f>'Daily Returns'!F1642</f>
        <v>-5.0639828292232056E-3</v>
      </c>
      <c r="B1642" s="26">
        <f>'Daily Returns'!B1642</f>
        <v>1.4397667213413508E-2</v>
      </c>
      <c r="C1642" s="26">
        <f>'Daily Returns'!C1642</f>
        <v>8.1719153516058348E-3</v>
      </c>
      <c r="D1642" s="26">
        <f>'Daily Returns'!D1642</f>
        <v>8.3470072055362495E-3</v>
      </c>
      <c r="E1642" s="26">
        <f>'Daily Returns'!E1642</f>
        <v>4.3463143254480632E-5</v>
      </c>
    </row>
    <row r="1643" spans="1:5" ht="15" customHeight="1" x14ac:dyDescent="0.3">
      <c r="A1643" s="25">
        <f>'Daily Returns'!F1643</f>
        <v>7.9534440194322376E-3</v>
      </c>
      <c r="B1643" s="25">
        <f>'Daily Returns'!B1643</f>
        <v>-8.0848005749181826E-4</v>
      </c>
      <c r="C1643" s="25">
        <f>'Daily Returns'!C1643</f>
        <v>-3.5465773739919147E-3</v>
      </c>
      <c r="D1643" s="25">
        <f>'Daily Returns'!D1643</f>
        <v>-1.5989811801330061E-2</v>
      </c>
      <c r="E1643" s="25">
        <f>'Daily Returns'!E1643</f>
        <v>9.8222434699465032E-3</v>
      </c>
    </row>
    <row r="1644" spans="1:5" ht="15" customHeight="1" x14ac:dyDescent="0.3">
      <c r="A1644" s="26">
        <f>'Daily Returns'!F1644</f>
        <v>1.7523557130611683E-2</v>
      </c>
      <c r="B1644" s="26">
        <f>'Daily Returns'!B1644</f>
        <v>1.0698552548772793E-2</v>
      </c>
      <c r="C1644" s="26">
        <f>'Daily Returns'!C1644</f>
        <v>-3.9954716147558534E-3</v>
      </c>
      <c r="D1644" s="26">
        <f>'Daily Returns'!D1644</f>
        <v>-1.2223180903077486E-2</v>
      </c>
      <c r="E1644" s="26">
        <f>'Daily Returns'!E1644</f>
        <v>9.7697439208091676E-3</v>
      </c>
    </row>
    <row r="1645" spans="1:5" ht="15" customHeight="1" x14ac:dyDescent="0.3">
      <c r="A1645" s="25">
        <f>'Daily Returns'!F1645</f>
        <v>-1.9920860085179098E-2</v>
      </c>
      <c r="B1645" s="25">
        <f>'Daily Returns'!B1645</f>
        <v>9.7847358121330216E-3</v>
      </c>
      <c r="C1645" s="25">
        <f>'Daily Returns'!C1645</f>
        <v>3.4570420251002318E-3</v>
      </c>
      <c r="D1645" s="25">
        <f>'Daily Returns'!D1645</f>
        <v>7.0607075265686336E-3</v>
      </c>
      <c r="E1645" s="25">
        <f>'Daily Returns'!E1645</f>
        <v>7.1605148751172397E-3</v>
      </c>
    </row>
    <row r="1646" spans="1:5" ht="15" customHeight="1" x14ac:dyDescent="0.3">
      <c r="A1646" s="26">
        <f>'Daily Returns'!F1646</f>
        <v>-7.5678557423568419E-3</v>
      </c>
      <c r="B1646" s="26">
        <f>'Daily Returns'!B1646</f>
        <v>6.8710359408033928E-3</v>
      </c>
      <c r="C1646" s="26">
        <f>'Daily Returns'!C1646</f>
        <v>-5.2215714443581409E-4</v>
      </c>
      <c r="D1646" s="26">
        <f>'Daily Returns'!D1646</f>
        <v>-9.1073364654860201E-3</v>
      </c>
      <c r="E1646" s="26">
        <f>'Daily Returns'!E1646</f>
        <v>9.4794752433346625E-3</v>
      </c>
    </row>
    <row r="1647" spans="1:5" ht="15" customHeight="1" x14ac:dyDescent="0.3">
      <c r="A1647" s="25">
        <f>'Daily Returns'!F1647</f>
        <v>5.5341834957311478E-3</v>
      </c>
      <c r="B1647" s="25">
        <f>'Daily Returns'!B1647</f>
        <v>-1.399825021872261E-2</v>
      </c>
      <c r="C1647" s="25">
        <f>'Daily Returns'!C1647</f>
        <v>1.5874683155919032E-2</v>
      </c>
      <c r="D1647" s="25">
        <f>'Daily Returns'!D1647</f>
        <v>-1.5829017433802727E-2</v>
      </c>
      <c r="E1647" s="25">
        <f>'Daily Returns'!E1647</f>
        <v>1.1863838349962323E-2</v>
      </c>
    </row>
    <row r="1648" spans="1:5" ht="15" customHeight="1" x14ac:dyDescent="0.3">
      <c r="A1648" s="26">
        <f>'Daily Returns'!F1648</f>
        <v>-1.1291761315063192E-2</v>
      </c>
      <c r="B1648" s="26">
        <f>'Daily Returns'!B1648</f>
        <v>1.3043478260869554E-2</v>
      </c>
      <c r="C1648" s="26">
        <f>'Daily Returns'!C1648</f>
        <v>-6.8813705056133823E-3</v>
      </c>
      <c r="D1648" s="26">
        <f>'Daily Returns'!D1648</f>
        <v>2.2235398754818513E-4</v>
      </c>
      <c r="E1648" s="26">
        <f>'Daily Returns'!E1648</f>
        <v>1.4169117951692371E-2</v>
      </c>
    </row>
    <row r="1649" spans="1:5" ht="15" customHeight="1" x14ac:dyDescent="0.3">
      <c r="A1649" s="25">
        <f>'Daily Returns'!F1649</f>
        <v>-5.9264743258577715E-3</v>
      </c>
      <c r="B1649" s="25">
        <f>'Daily Returns'!B1649</f>
        <v>6.1312078479454476E-4</v>
      </c>
      <c r="C1649" s="25">
        <f>'Daily Returns'!C1649</f>
        <v>-2.4880474540049578E-2</v>
      </c>
      <c r="D1649" s="25">
        <f>'Daily Returns'!D1649</f>
        <v>-1.400518710633558E-2</v>
      </c>
      <c r="E1649" s="25">
        <f>'Daily Returns'!E1649</f>
        <v>9.1098492585482173E-3</v>
      </c>
    </row>
    <row r="1650" spans="1:5" ht="15" customHeight="1" x14ac:dyDescent="0.3">
      <c r="A1650" s="26">
        <f>'Daily Returns'!F1650</f>
        <v>1.534319803906712E-2</v>
      </c>
      <c r="B1650" s="26">
        <f>'Daily Returns'!B1650</f>
        <v>2.809873949579839E-2</v>
      </c>
      <c r="C1650" s="26">
        <f>'Daily Returns'!C1650</f>
        <v>3.135677036504185E-3</v>
      </c>
      <c r="D1650" s="26">
        <f>'Daily Returns'!D1650</f>
        <v>-3.9080114234180839E-3</v>
      </c>
      <c r="E1650" s="26">
        <f>'Daily Returns'!E1650</f>
        <v>-9.1490567565380102E-3</v>
      </c>
    </row>
    <row r="1651" spans="1:5" ht="15" customHeight="1" x14ac:dyDescent="0.3">
      <c r="A1651" s="25">
        <f>'Daily Returns'!F1651</f>
        <v>3.5323892089817741E-3</v>
      </c>
      <c r="B1651" s="25">
        <f>'Daily Returns'!B1651</f>
        <v>6.9816943380161187E-3</v>
      </c>
      <c r="C1651" s="25">
        <f>'Daily Returns'!C1651</f>
        <v>-2.2390902470449725E-2</v>
      </c>
      <c r="D1651" s="25">
        <f>'Daily Returns'!D1651</f>
        <v>2.0597555454957131E-2</v>
      </c>
      <c r="E1651" s="25">
        <f>'Daily Returns'!E1651</f>
        <v>6.8230102958000329E-3</v>
      </c>
    </row>
    <row r="1652" spans="1:5" ht="15" customHeight="1" x14ac:dyDescent="0.3">
      <c r="A1652" s="26">
        <f>'Daily Returns'!F1652</f>
        <v>-5.6623672090013368E-3</v>
      </c>
      <c r="B1652" s="26">
        <f>'Daily Returns'!B1652</f>
        <v>1.0653589244948044E-2</v>
      </c>
      <c r="C1652" s="26">
        <f>'Daily Returns'!C1652</f>
        <v>-4.4099866485591346E-2</v>
      </c>
      <c r="D1652" s="26">
        <f>'Daily Returns'!D1652</f>
        <v>-2.4395653138169029E-3</v>
      </c>
      <c r="E1652" s="26">
        <f>'Daily Returns'!E1652</f>
        <v>-1.2133262995576873E-2</v>
      </c>
    </row>
    <row r="1653" spans="1:5" ht="15" customHeight="1" x14ac:dyDescent="0.3">
      <c r="A1653" s="25">
        <f>'Daily Returns'!F1653</f>
        <v>5.7366055441033939E-3</v>
      </c>
      <c r="B1653" s="25">
        <f>'Daily Returns'!B1653</f>
        <v>-1.020664268384505E-2</v>
      </c>
      <c r="C1653" s="25">
        <f>'Daily Returns'!C1653</f>
        <v>-1.8748089223520437E-2</v>
      </c>
      <c r="D1653" s="25">
        <f>'Daily Returns'!D1653</f>
        <v>-1.7044612420334206E-3</v>
      </c>
      <c r="E1653" s="25">
        <f>'Daily Returns'!E1653</f>
        <v>-1.055701610253037E-2</v>
      </c>
    </row>
    <row r="1654" spans="1:5" ht="15" customHeight="1" x14ac:dyDescent="0.3">
      <c r="A1654" s="26">
        <f>'Daily Returns'!F1654</f>
        <v>-1.5088544448019351E-2</v>
      </c>
      <c r="B1654" s="26">
        <f>'Daily Returns'!B1654</f>
        <v>-5.3249936607217942E-3</v>
      </c>
      <c r="C1654" s="26">
        <f>'Daily Returns'!C1654</f>
        <v>-7.1415698624530313E-3</v>
      </c>
      <c r="D1654" s="26">
        <f>'Daily Returns'!D1654</f>
        <v>-7.0521861777152178E-3</v>
      </c>
      <c r="E1654" s="26">
        <f>'Daily Returns'!E1654</f>
        <v>6.9332004815875264E-3</v>
      </c>
    </row>
    <row r="1655" spans="1:5" ht="15" customHeight="1" x14ac:dyDescent="0.3">
      <c r="A1655" s="25">
        <f>'Daily Returns'!F1655</f>
        <v>2.2058476853753692E-3</v>
      </c>
      <c r="B1655" s="25">
        <f>'Daily Returns'!B1655</f>
        <v>1.614547926580538E-3</v>
      </c>
      <c r="C1655" s="25">
        <f>'Daily Returns'!C1655</f>
        <v>-1.3444457776095884E-2</v>
      </c>
      <c r="D1655" s="25">
        <f>'Daily Returns'!D1655</f>
        <v>-2.3549641148325192E-2</v>
      </c>
      <c r="E1655" s="25">
        <f>'Daily Returns'!E1655</f>
        <v>1.6079821885050499E-3</v>
      </c>
    </row>
    <row r="1656" spans="1:5" ht="15" customHeight="1" x14ac:dyDescent="0.3">
      <c r="A1656" s="26">
        <f>'Daily Returns'!F1656</f>
        <v>5.4646288525524523E-3</v>
      </c>
      <c r="B1656" s="26">
        <f>'Daily Returns'!B1656</f>
        <v>-1.5864935946381643E-2</v>
      </c>
      <c r="C1656" s="26">
        <f>'Daily Returns'!C1656</f>
        <v>-2.6510036766654987E-2</v>
      </c>
      <c r="D1656" s="26">
        <f>'Daily Returns'!D1656</f>
        <v>3.2156802695045361E-3</v>
      </c>
      <c r="E1656" s="26">
        <f>'Daily Returns'!E1656</f>
        <v>-1.2349236405548924E-2</v>
      </c>
    </row>
    <row r="1657" spans="1:5" ht="15" customHeight="1" x14ac:dyDescent="0.3">
      <c r="A1657" s="25">
        <f>'Daily Returns'!F1657</f>
        <v>1.3967920826102955E-2</v>
      </c>
      <c r="B1657" s="25">
        <f>'Daily Returns'!B1657</f>
        <v>-1.5948275862068918E-2</v>
      </c>
      <c r="C1657" s="25">
        <f>'Daily Returns'!C1657</f>
        <v>-3.3667552935899557E-3</v>
      </c>
      <c r="D1657" s="25">
        <f>'Daily Returns'!D1657</f>
        <v>1.6408456078760632E-2</v>
      </c>
      <c r="E1657" s="25">
        <f>'Daily Returns'!E1657</f>
        <v>1.1086566915350296E-2</v>
      </c>
    </row>
    <row r="1658" spans="1:5" ht="15" customHeight="1" x14ac:dyDescent="0.3">
      <c r="A1658" s="26">
        <f>'Daily Returns'!F1658</f>
        <v>7.5976515468483257E-3</v>
      </c>
      <c r="B1658" s="26">
        <f>'Daily Returns'!B1658</f>
        <v>-1.1388523872098962E-3</v>
      </c>
      <c r="C1658" s="26">
        <f>'Daily Returns'!C1658</f>
        <v>2.2052655093388746E-2</v>
      </c>
      <c r="D1658" s="26">
        <f>'Daily Returns'!D1658</f>
        <v>2.0273314311458089E-2</v>
      </c>
      <c r="E1658" s="26">
        <f>'Daily Returns'!E1658</f>
        <v>-1.3809307885733106E-2</v>
      </c>
    </row>
    <row r="1659" spans="1:5" ht="15" customHeight="1" x14ac:dyDescent="0.3">
      <c r="A1659" s="25">
        <f>'Daily Returns'!F1659</f>
        <v>1.8999550699301988E-3</v>
      </c>
      <c r="B1659" s="25">
        <f>'Daily Returns'!B1659</f>
        <v>-7.8933520435001928E-4</v>
      </c>
      <c r="C1659" s="25">
        <f>'Daily Returns'!C1659</f>
        <v>1.5224227938864033E-2</v>
      </c>
      <c r="D1659" s="25">
        <f>'Daily Returns'!D1659</f>
        <v>4.5334118339711488E-2</v>
      </c>
      <c r="E1659" s="25">
        <f>'Daily Returns'!E1659</f>
        <v>9.195786657749493E-3</v>
      </c>
    </row>
    <row r="1660" spans="1:5" ht="15" customHeight="1" x14ac:dyDescent="0.3">
      <c r="A1660" s="26">
        <f>'Daily Returns'!F1660</f>
        <v>-1.8644709390861086E-3</v>
      </c>
      <c r="B1660" s="26">
        <f>'Daily Returns'!B1660</f>
        <v>3.1598349863951498E-3</v>
      </c>
      <c r="C1660" s="26">
        <f>'Daily Returns'!C1660</f>
        <v>7.4034836643213197E-4</v>
      </c>
      <c r="D1660" s="26">
        <f>'Daily Returns'!D1660</f>
        <v>-4.2945649112924901E-3</v>
      </c>
      <c r="E1660" s="26">
        <f>'Daily Returns'!E1660</f>
        <v>-2.4685222001325415E-2</v>
      </c>
    </row>
    <row r="1661" spans="1:5" ht="15" customHeight="1" x14ac:dyDescent="0.3">
      <c r="A1661" s="25">
        <f>'Daily Returns'!F1661</f>
        <v>-2.4892580156243003E-3</v>
      </c>
      <c r="B1661" s="25">
        <f>'Daily Returns'!B1661</f>
        <v>1.5749409397147581E-2</v>
      </c>
      <c r="C1661" s="25">
        <f>'Daily Returns'!C1661</f>
        <v>1.684207267999762E-2</v>
      </c>
      <c r="D1661" s="25">
        <f>'Daily Returns'!D1661</f>
        <v>3.606024181573859E-3</v>
      </c>
      <c r="E1661" s="25">
        <f>'Daily Returns'!E1661</f>
        <v>2.5479870901987431E-2</v>
      </c>
    </row>
    <row r="1662" spans="1:5" ht="15" customHeight="1" x14ac:dyDescent="0.3">
      <c r="A1662" s="26">
        <f>'Daily Returns'!F1662</f>
        <v>1.4229984448884419E-2</v>
      </c>
      <c r="B1662" s="26">
        <f>'Daily Returns'!B1662</f>
        <v>-5.2545438883624725E-3</v>
      </c>
      <c r="C1662" s="26">
        <f>'Daily Returns'!C1662</f>
        <v>-7.1719720792327571E-3</v>
      </c>
      <c r="D1662" s="26">
        <f>'Daily Returns'!D1662</f>
        <v>-1.6908552909680186E-2</v>
      </c>
      <c r="E1662" s="26">
        <f>'Daily Returns'!E1662</f>
        <v>9.6902434984263847E-3</v>
      </c>
    </row>
    <row r="1663" spans="1:5" ht="15" customHeight="1" x14ac:dyDescent="0.3">
      <c r="A1663" s="25">
        <f>'Daily Returns'!F1663</f>
        <v>1.4377045111559225E-2</v>
      </c>
      <c r="B1663" s="25">
        <f>'Daily Returns'!B1663</f>
        <v>9.7852441981295061E-3</v>
      </c>
      <c r="C1663" s="25">
        <f>'Daily Returns'!C1663</f>
        <v>-1.4962669978077154E-2</v>
      </c>
      <c r="D1663" s="25">
        <f>'Daily Returns'!D1663</f>
        <v>2.9525584061917763E-2</v>
      </c>
      <c r="E1663" s="25">
        <f>'Daily Returns'!E1663</f>
        <v>9.2281191042572399E-3</v>
      </c>
    </row>
    <row r="1664" spans="1:5" ht="15" customHeight="1" x14ac:dyDescent="0.3">
      <c r="A1664" s="26">
        <f>'Daily Returns'!F1664</f>
        <v>6.4574142706587383E-3</v>
      </c>
      <c r="B1664" s="26">
        <f>'Daily Returns'!B1664</f>
        <v>-1.7151187719749836E-3</v>
      </c>
      <c r="C1664" s="26">
        <f>'Daily Returns'!C1664</f>
        <v>1.2562837532877881E-2</v>
      </c>
      <c r="D1664" s="26">
        <f>'Daily Returns'!D1664</f>
        <v>1.6010023666991589E-2</v>
      </c>
      <c r="E1664" s="26">
        <f>'Daily Returns'!E1664</f>
        <v>8.1277685211532109E-4</v>
      </c>
    </row>
    <row r="1665" spans="1:5" ht="15" customHeight="1" x14ac:dyDescent="0.3">
      <c r="A1665" s="25">
        <f>'Daily Returns'!F1665</f>
        <v>7.5652011922504813E-4</v>
      </c>
      <c r="B1665" s="25">
        <f>'Daily Returns'!B1665</f>
        <v>-2.3193883686968134E-3</v>
      </c>
      <c r="C1665" s="25">
        <f>'Daily Returns'!C1665</f>
        <v>-1.8515159805841362E-2</v>
      </c>
      <c r="D1665" s="25">
        <f>'Daily Returns'!D1665</f>
        <v>1.5552206083858466E-2</v>
      </c>
      <c r="E1665" s="25">
        <f>'Daily Returns'!E1665</f>
        <v>-2.4607138506517245E-2</v>
      </c>
    </row>
    <row r="1666" spans="1:5" ht="15" customHeight="1" x14ac:dyDescent="0.3">
      <c r="A1666" s="26">
        <f>'Daily Returns'!F1666</f>
        <v>-9.3859693700425427E-3</v>
      </c>
      <c r="B1666" s="26">
        <f>'Daily Returns'!B1666</f>
        <v>3.8746340623385814E-3</v>
      </c>
      <c r="C1666" s="26">
        <f>'Daily Returns'!C1666</f>
        <v>6.4865101886129265E-3</v>
      </c>
      <c r="D1666" s="26">
        <f>'Daily Returns'!D1666</f>
        <v>9.7820953922958722E-3</v>
      </c>
      <c r="E1666" s="26">
        <f>'Daily Returns'!E1666</f>
        <v>-3.109778943424503E-2</v>
      </c>
    </row>
    <row r="1667" spans="1:5" ht="15" customHeight="1" x14ac:dyDescent="0.3">
      <c r="A1667" s="25">
        <f>'Daily Returns'!F1667</f>
        <v>-1.497019997034741E-2</v>
      </c>
      <c r="B1667" s="25">
        <f>'Daily Returns'!B1667</f>
        <v>-2.8390084912942811E-2</v>
      </c>
      <c r="C1667" s="25">
        <f>'Daily Returns'!C1667</f>
        <v>1.4003466635971262E-4</v>
      </c>
      <c r="D1667" s="25">
        <f>'Daily Returns'!D1667</f>
        <v>-1.6702298236237305E-3</v>
      </c>
      <c r="E1667" s="25">
        <f>'Daily Returns'!E1667</f>
        <v>1.8905216120993285E-3</v>
      </c>
    </row>
    <row r="1668" spans="1:5" ht="15" customHeight="1" x14ac:dyDescent="0.3">
      <c r="A1668" s="26">
        <f>'Daily Returns'!F1668</f>
        <v>-4.8037256201053482E-3</v>
      </c>
      <c r="B1668" s="26">
        <f>'Daily Returns'!B1668</f>
        <v>1.2358757062146944E-3</v>
      </c>
      <c r="C1668" s="26">
        <f>'Daily Returns'!C1668</f>
        <v>-5.8028463505852912E-3</v>
      </c>
      <c r="D1668" s="26">
        <f>'Daily Returns'!D1668</f>
        <v>-3.9617212072542429E-2</v>
      </c>
      <c r="E1668" s="26">
        <f>'Daily Returns'!E1668</f>
        <v>-6.5614546702118578E-3</v>
      </c>
    </row>
    <row r="1669" spans="1:5" ht="15" customHeight="1" x14ac:dyDescent="0.3">
      <c r="A1669" s="25">
        <f>'Daily Returns'!F1669</f>
        <v>9.1516012139260736E-3</v>
      </c>
      <c r="B1669" s="25">
        <f>'Daily Returns'!B1669</f>
        <v>-8.4641156762476459E-3</v>
      </c>
      <c r="C1669" s="25">
        <f>'Daily Returns'!C1669</f>
        <v>-7.4828888770658861E-3</v>
      </c>
      <c r="D1669" s="25">
        <f>'Daily Returns'!D1669</f>
        <v>2.0137969479478886E-2</v>
      </c>
      <c r="E1669" s="25">
        <f>'Daily Returns'!E1669</f>
        <v>6.6911288581911633E-3</v>
      </c>
    </row>
    <row r="1670" spans="1:5" ht="15" customHeight="1" x14ac:dyDescent="0.3">
      <c r="A1670" s="26">
        <f>'Daily Returns'!F1670</f>
        <v>2.1707524350684433E-3</v>
      </c>
      <c r="B1670" s="26">
        <f>'Daily Returns'!B1670</f>
        <v>-1.2626711719722458E-2</v>
      </c>
      <c r="C1670" s="26">
        <f>'Daily Returns'!C1670</f>
        <v>2.0653469467550402E-2</v>
      </c>
      <c r="D1670" s="26">
        <f>'Daily Returns'!D1670</f>
        <v>1.0860655737704941E-2</v>
      </c>
      <c r="E1670" s="26">
        <f>'Daily Returns'!E1670</f>
        <v>2.00686106346484E-2</v>
      </c>
    </row>
    <row r="1671" spans="1:5" ht="15" customHeight="1" x14ac:dyDescent="0.3">
      <c r="A1671" s="25">
        <f>'Daily Returns'!F1671</f>
        <v>1.4826490410658718E-2</v>
      </c>
      <c r="B1671" s="25">
        <f>'Daily Returns'!B1671</f>
        <v>-2.5756484149855902E-2</v>
      </c>
      <c r="C1671" s="25">
        <f>'Daily Returns'!C1671</f>
        <v>-2.74400039544253E-2</v>
      </c>
      <c r="D1671" s="25">
        <f>'Daily Returns'!D1671</f>
        <v>4.459760794648264E-3</v>
      </c>
      <c r="E1671" s="25">
        <f>'Daily Returns'!E1671</f>
        <v>8.3235244661174473E-3</v>
      </c>
    </row>
    <row r="1672" spans="1:5" ht="15" customHeight="1" x14ac:dyDescent="0.3">
      <c r="A1672" s="26">
        <f>'Daily Returns'!F1672</f>
        <v>-1.7799157518995962E-3</v>
      </c>
      <c r="B1672" s="26">
        <f>'Daily Returns'!B1672</f>
        <v>-5.8236272878536667E-3</v>
      </c>
      <c r="C1672" s="26">
        <f>'Daily Returns'!C1672</f>
        <v>5.3397965731275601E-3</v>
      </c>
      <c r="D1672" s="26">
        <f>'Daily Returns'!D1672</f>
        <v>-1.2579885637403327E-2</v>
      </c>
      <c r="E1672" s="26">
        <f>'Daily Returns'!E1672</f>
        <v>-1.7635287250896432E-2</v>
      </c>
    </row>
    <row r="1673" spans="1:5" ht="15" customHeight="1" x14ac:dyDescent="0.3">
      <c r="A1673" s="25">
        <f>'Daily Returns'!F1673</f>
        <v>-1.8096768061405619E-2</v>
      </c>
      <c r="B1673" s="25">
        <f>'Daily Returns'!B1673</f>
        <v>-2.5755462575546222E-2</v>
      </c>
      <c r="C1673" s="25">
        <f>'Daily Returns'!C1673</f>
        <v>-4.493075544967029E-3</v>
      </c>
      <c r="D1673" s="25">
        <f>'Daily Returns'!D1673</f>
        <v>1.403460961983923E-2</v>
      </c>
      <c r="E1673" s="25">
        <f>'Daily Returns'!E1673</f>
        <v>1.2434749395238327E-2</v>
      </c>
    </row>
    <row r="1674" spans="1:5" ht="15" customHeight="1" x14ac:dyDescent="0.3">
      <c r="A1674" s="26">
        <f>'Daily Returns'!F1674</f>
        <v>-7.4555039267826684E-3</v>
      </c>
      <c r="B1674" s="26">
        <f>'Daily Returns'!B1674</f>
        <v>1.2406947890818832E-2</v>
      </c>
      <c r="C1674" s="26">
        <f>'Daily Returns'!C1674</f>
        <v>-1.2483138400012672E-2</v>
      </c>
      <c r="D1674" s="26">
        <f>'Daily Returns'!D1674</f>
        <v>5.1061542596075715E-3</v>
      </c>
      <c r="E1674" s="26">
        <f>'Daily Returns'!E1674</f>
        <v>-1.1024480214621041E-2</v>
      </c>
    </row>
    <row r="1675" spans="1:5" ht="15" customHeight="1" x14ac:dyDescent="0.3">
      <c r="A1675" s="25">
        <f>'Daily Returns'!F1675</f>
        <v>9.8093441322191777E-3</v>
      </c>
      <c r="B1675" s="25">
        <f>'Daily Returns'!B1675</f>
        <v>-3.0165912518853055E-3</v>
      </c>
      <c r="C1675" s="25">
        <f>'Daily Returns'!C1675</f>
        <v>1.2824138950669752E-3</v>
      </c>
      <c r="D1675" s="25">
        <f>'Daily Returns'!D1675</f>
        <v>3.5427807486631095E-3</v>
      </c>
      <c r="E1675" s="25">
        <f>'Daily Returns'!E1675</f>
        <v>8.053236129360427E-3</v>
      </c>
    </row>
    <row r="1676" spans="1:5" ht="15" customHeight="1" x14ac:dyDescent="0.3">
      <c r="A1676" s="26">
        <f>'Daily Returns'!F1676</f>
        <v>3.1472057284695856E-3</v>
      </c>
      <c r="B1676" s="26">
        <f>'Daily Returns'!B1676</f>
        <v>-2.2976550680786752E-2</v>
      </c>
      <c r="C1676" s="26">
        <f>'Daily Returns'!C1676</f>
        <v>6.1663205266891691E-3</v>
      </c>
      <c r="D1676" s="26">
        <f>'Daily Returns'!D1676</f>
        <v>-1.7051888363418387E-2</v>
      </c>
      <c r="E1676" s="26">
        <f>'Daily Returns'!E1676</f>
        <v>1.1773115250388861E-2</v>
      </c>
    </row>
    <row r="1677" spans="1:5" ht="15" customHeight="1" x14ac:dyDescent="0.3">
      <c r="A1677" s="25">
        <f>'Daily Returns'!F1677</f>
        <v>1.74454150871656E-3</v>
      </c>
      <c r="B1677" s="25">
        <f>'Daily Returns'!B1677</f>
        <v>-9.000290331946121E-3</v>
      </c>
      <c r="C1677" s="25">
        <f>'Daily Returns'!C1677</f>
        <v>-4.625907634980214E-4</v>
      </c>
      <c r="D1677" s="25">
        <f>'Daily Returns'!D1677</f>
        <v>-1.7212170495358083E-2</v>
      </c>
      <c r="E1677" s="25">
        <f>'Daily Returns'!E1677</f>
        <v>-9.3504550554793665E-3</v>
      </c>
    </row>
    <row r="1678" spans="1:5" ht="15" customHeight="1" x14ac:dyDescent="0.3">
      <c r="A1678" s="26">
        <f>'Daily Returns'!F1678</f>
        <v>-1.5702855062828703E-4</v>
      </c>
      <c r="B1678" s="26">
        <f>'Daily Returns'!B1678</f>
        <v>1.0742187499999944E-2</v>
      </c>
      <c r="C1678" s="26">
        <f>'Daily Returns'!C1678</f>
        <v>4.9184984695521813E-3</v>
      </c>
      <c r="D1678" s="26">
        <f>'Daily Returns'!D1678</f>
        <v>-1.0342687719782505E-3</v>
      </c>
      <c r="E1678" s="26">
        <f>'Daily Returns'!E1678</f>
        <v>2.8064434935816753E-2</v>
      </c>
    </row>
    <row r="1679" spans="1:5" ht="15" customHeight="1" x14ac:dyDescent="0.3">
      <c r="A1679" s="25">
        <f>'Daily Returns'!F1679</f>
        <v>-5.3799240203048935E-3</v>
      </c>
      <c r="B1679" s="25">
        <f>'Daily Returns'!B1679</f>
        <v>-7.9227053140095965E-3</v>
      </c>
      <c r="C1679" s="25">
        <f>'Daily Returns'!C1679</f>
        <v>2.554883626384797E-2</v>
      </c>
      <c r="D1679" s="25">
        <f>'Daily Returns'!D1679</f>
        <v>-1.3114301490888855E-3</v>
      </c>
      <c r="E1679" s="25">
        <f>'Daily Returns'!E1679</f>
        <v>-5.9574815358876222E-3</v>
      </c>
    </row>
    <row r="1680" spans="1:5" ht="15" customHeight="1" x14ac:dyDescent="0.3">
      <c r="A1680" s="26">
        <f>'Daily Returns'!F1680</f>
        <v>7.5970231342699021E-3</v>
      </c>
      <c r="B1680" s="26">
        <f>'Daily Returns'!B1680</f>
        <v>-3.6034281262174186E-3</v>
      </c>
      <c r="C1680" s="26">
        <f>'Daily Returns'!C1680</f>
        <v>-1.0003344771626482E-2</v>
      </c>
      <c r="D1680" s="26">
        <f>'Daily Returns'!D1680</f>
        <v>-1.5965166908563151E-2</v>
      </c>
      <c r="E1680" s="26">
        <f>'Daily Returns'!E1680</f>
        <v>1.0262304503099215E-3</v>
      </c>
    </row>
    <row r="1681" spans="1:5" ht="15" customHeight="1" x14ac:dyDescent="0.3">
      <c r="A1681" s="25">
        <f>'Daily Returns'!F1681</f>
        <v>-5.6310648082239147E-3</v>
      </c>
      <c r="B1681" s="25">
        <f>'Daily Returns'!B1681</f>
        <v>-4.7893656534064031E-3</v>
      </c>
      <c r="C1681" s="25">
        <f>'Daily Returns'!C1681</f>
        <v>7.967790979221883E-3</v>
      </c>
      <c r="D1681" s="25">
        <f>'Daily Returns'!D1681</f>
        <v>2.7742660486023439E-2</v>
      </c>
      <c r="E1681" s="25">
        <f>'Daily Returns'!E1681</f>
        <v>2.4481259739194614E-2</v>
      </c>
    </row>
    <row r="1682" spans="1:5" ht="15" customHeight="1" x14ac:dyDescent="0.3">
      <c r="A1682" s="26">
        <f>'Daily Returns'!F1682</f>
        <v>4.8159027515376346E-3</v>
      </c>
      <c r="B1682" s="26">
        <f>'Daily Returns'!B1682</f>
        <v>-1.4731879787860094E-3</v>
      </c>
      <c r="C1682" s="26">
        <f>'Daily Returns'!C1682</f>
        <v>-3.0070544274058243E-2</v>
      </c>
      <c r="D1682" s="26">
        <f>'Daily Returns'!D1682</f>
        <v>-6.560513906922763E-3</v>
      </c>
      <c r="E1682" s="26">
        <f>'Daily Returns'!E1682</f>
        <v>4.0427490693671327E-3</v>
      </c>
    </row>
    <row r="1683" spans="1:5" ht="15" customHeight="1" x14ac:dyDescent="0.3">
      <c r="A1683" s="25">
        <f>'Daily Returns'!F1683</f>
        <v>5.6822981201551338E-4</v>
      </c>
      <c r="B1683" s="25">
        <f>'Daily Returns'!B1683</f>
        <v>-2.3212353693321523E-2</v>
      </c>
      <c r="C1683" s="25">
        <f>'Daily Returns'!C1683</f>
        <v>8.6554460514527663E-3</v>
      </c>
      <c r="D1683" s="25">
        <f>'Daily Returns'!D1683</f>
        <v>-6.1910985760475616E-4</v>
      </c>
      <c r="E1683" s="25">
        <f>'Daily Returns'!E1683</f>
        <v>-1.5268697177483704E-2</v>
      </c>
    </row>
    <row r="1684" spans="1:5" ht="15" customHeight="1" x14ac:dyDescent="0.3">
      <c r="A1684" s="26">
        <f>'Daily Returns'!F1684</f>
        <v>-1.7879158734475573E-2</v>
      </c>
      <c r="B1684" s="26">
        <f>'Daily Returns'!B1684</f>
        <v>-3.0208438223744974E-4</v>
      </c>
      <c r="C1684" s="26">
        <f>'Daily Returns'!C1684</f>
        <v>-3.2335633277817383E-2</v>
      </c>
      <c r="D1684" s="26">
        <f>'Daily Returns'!D1684</f>
        <v>4.5429515418501966E-3</v>
      </c>
      <c r="E1684" s="26">
        <f>'Daily Returns'!E1684</f>
        <v>-6.1131128294400674E-3</v>
      </c>
    </row>
    <row r="1685" spans="1:5" ht="15" customHeight="1" x14ac:dyDescent="0.3">
      <c r="A1685" s="25">
        <f>'Daily Returns'!F1685</f>
        <v>1.7779467452480775E-2</v>
      </c>
      <c r="B1685" s="25">
        <f>'Daily Returns'!B1685</f>
        <v>-7.453666398066024E-3</v>
      </c>
      <c r="C1685" s="25">
        <f>'Daily Returns'!C1685</f>
        <v>1.1733195205748892E-2</v>
      </c>
      <c r="D1685" s="25">
        <f>'Daily Returns'!D1685</f>
        <v>2.3571330683842661E-2</v>
      </c>
      <c r="E1685" s="25">
        <f>'Daily Returns'!E1685</f>
        <v>4.8472505091649602E-3</v>
      </c>
    </row>
    <row r="1686" spans="1:5" ht="15" customHeight="1" x14ac:dyDescent="0.3">
      <c r="A1686" s="26">
        <f>'Daily Returns'!F1686</f>
        <v>-2.5314260158722035E-3</v>
      </c>
      <c r="B1686" s="26">
        <f>'Daily Returns'!B1686</f>
        <v>4.13030241526283E-2</v>
      </c>
      <c r="C1686" s="26">
        <f>'Daily Returns'!C1686</f>
        <v>-7.7865014532859161E-3</v>
      </c>
      <c r="D1686" s="26">
        <f>'Daily Returns'!D1686</f>
        <v>-1.1848975766501419E-2</v>
      </c>
      <c r="E1686" s="26">
        <f>'Daily Returns'!E1686</f>
        <v>-7.9046576675178906E-3</v>
      </c>
    </row>
    <row r="1687" spans="1:5" ht="15" customHeight="1" x14ac:dyDescent="0.3">
      <c r="A1687" s="25">
        <f>'Daily Returns'!F1687</f>
        <v>9.8504130589242116E-3</v>
      </c>
      <c r="B1687" s="25">
        <f>'Daily Returns'!B1687</f>
        <v>-2.6313224831887344E-3</v>
      </c>
      <c r="C1687" s="25">
        <f>'Daily Returns'!C1687</f>
        <v>3.4910910230954301E-3</v>
      </c>
      <c r="D1687" s="25">
        <f>'Daily Returns'!D1687</f>
        <v>-2.5066052435472157E-3</v>
      </c>
      <c r="E1687" s="25">
        <f>'Daily Returns'!E1687</f>
        <v>-9.1117103865327211E-3</v>
      </c>
    </row>
    <row r="1688" spans="1:5" ht="15" customHeight="1" x14ac:dyDescent="0.3">
      <c r="A1688" s="26">
        <f>'Daily Returns'!F1688</f>
        <v>7.0185850511528822E-3</v>
      </c>
      <c r="B1688" s="26">
        <f>'Daily Returns'!B1688</f>
        <v>-6.0582372483877715E-3</v>
      </c>
      <c r="C1688" s="26">
        <f>'Daily Returns'!C1688</f>
        <v>-2.5078349502240631E-2</v>
      </c>
      <c r="D1688" s="26">
        <f>'Daily Returns'!D1688</f>
        <v>-1.9695734854659096E-2</v>
      </c>
      <c r="E1688" s="26">
        <f>'Daily Returns'!E1688</f>
        <v>1.8390994185806805E-2</v>
      </c>
    </row>
    <row r="1689" spans="1:5" ht="15" customHeight="1" x14ac:dyDescent="0.3">
      <c r="A1689" s="25">
        <f>'Daily Returns'!F1689</f>
        <v>7.6182429537842439E-5</v>
      </c>
      <c r="B1689" s="25">
        <f>'Daily Returns'!B1689</f>
        <v>1.4058198977585597E-2</v>
      </c>
      <c r="C1689" s="25">
        <f>'Daily Returns'!C1689</f>
        <v>1.0181225819589285E-3</v>
      </c>
      <c r="D1689" s="25">
        <f>'Daily Returns'!D1689</f>
        <v>1.690453096854647E-2</v>
      </c>
      <c r="E1689" s="25">
        <f>'Daily Returns'!E1689</f>
        <v>-3.1987690812648986E-3</v>
      </c>
    </row>
    <row r="1690" spans="1:5" ht="15" customHeight="1" x14ac:dyDescent="0.3">
      <c r="A1690" s="26">
        <f>'Daily Returns'!F1690</f>
        <v>-4.8678540411141559E-3</v>
      </c>
      <c r="B1690" s="26">
        <f>'Daily Returns'!B1690</f>
        <v>-1.8419777023752973E-3</v>
      </c>
      <c r="C1690" s="26">
        <f>'Daily Returns'!C1690</f>
        <v>1.5129586895916942E-2</v>
      </c>
      <c r="D1690" s="26">
        <f>'Daily Returns'!D1690</f>
        <v>7.1535631557433669E-3</v>
      </c>
      <c r="E1690" s="26">
        <f>'Daily Returns'!E1690</f>
        <v>3.3308960922901892E-2</v>
      </c>
    </row>
    <row r="1691" spans="1:5" ht="15" customHeight="1" x14ac:dyDescent="0.3">
      <c r="A1691" s="25">
        <f>'Daily Returns'!F1691</f>
        <v>2.6434760474754741E-3</v>
      </c>
      <c r="B1691" s="25">
        <f>'Daily Returns'!B1691</f>
        <v>3.7878787878787936E-3</v>
      </c>
      <c r="C1691" s="25">
        <f>'Daily Returns'!C1691</f>
        <v>1.1530387992628406E-2</v>
      </c>
      <c r="D1691" s="25">
        <f>'Daily Returns'!D1691</f>
        <v>2.8411012649664307E-3</v>
      </c>
      <c r="E1691" s="25">
        <f>'Daily Returns'!E1691</f>
        <v>-2.5552323295856818E-3</v>
      </c>
    </row>
    <row r="1692" spans="1:5" ht="15" customHeight="1" x14ac:dyDescent="0.3">
      <c r="A1692" s="26">
        <f>'Daily Returns'!F1692</f>
        <v>-5.6941372450597869E-3</v>
      </c>
      <c r="B1692" s="26">
        <f>'Daily Returns'!B1692</f>
        <v>-1.1804547653604247E-2</v>
      </c>
      <c r="C1692" s="26">
        <f>'Daily Returns'!C1692</f>
        <v>2.8903329728531893E-4</v>
      </c>
      <c r="D1692" s="26">
        <f>'Daily Returns'!D1692</f>
        <v>4.9241146711635061E-3</v>
      </c>
      <c r="E1692" s="26">
        <f>'Daily Returns'!E1692</f>
        <v>-1.8799511291530294E-2</v>
      </c>
    </row>
    <row r="1693" spans="1:5" ht="15" customHeight="1" x14ac:dyDescent="0.3">
      <c r="A1693" s="25">
        <f>'Daily Returns'!F1693</f>
        <v>-9.1416920972817485E-3</v>
      </c>
      <c r="B1693" s="25">
        <f>'Daily Returns'!B1693</f>
        <v>2.193283070596308E-2</v>
      </c>
      <c r="C1693" s="25">
        <f>'Daily Returns'!C1693</f>
        <v>4.8050075971066652E-4</v>
      </c>
      <c r="D1693" s="25">
        <f>'Daily Returns'!D1693</f>
        <v>2.899718082964171E-2</v>
      </c>
      <c r="E1693" s="25">
        <f>'Daily Returns'!E1693</f>
        <v>-4.1773778920309304E-3</v>
      </c>
    </row>
    <row r="1694" spans="1:5" ht="15" customHeight="1" x14ac:dyDescent="0.3">
      <c r="A1694" s="26">
        <f>'Daily Returns'!F1694</f>
        <v>-5.4372096733335557E-3</v>
      </c>
      <c r="B1694" s="26">
        <f>'Daily Returns'!B1694</f>
        <v>-8.431541630736894E-3</v>
      </c>
      <c r="C1694" s="26">
        <f>'Daily Returns'!C1694</f>
        <v>2.0800882658359266E-2</v>
      </c>
      <c r="D1694" s="26">
        <f>'Daily Returns'!D1694</f>
        <v>-1.369863013698682E-3</v>
      </c>
      <c r="E1694" s="26">
        <f>'Daily Returns'!E1694</f>
        <v>1.8070345272668677E-2</v>
      </c>
    </row>
    <row r="1695" spans="1:5" ht="15" customHeight="1" x14ac:dyDescent="0.3">
      <c r="A1695" s="25">
        <f>'Daily Returns'!F1695</f>
        <v>-1.862495461207956E-2</v>
      </c>
      <c r="B1695" s="25">
        <f>'Daily Returns'!B1695</f>
        <v>5.507778529326577E-3</v>
      </c>
      <c r="C1695" s="25">
        <f>'Daily Returns'!C1695</f>
        <v>1.3577264201926452E-2</v>
      </c>
      <c r="D1695" s="25">
        <f>'Daily Returns'!D1695</f>
        <v>-8.7530210987001329E-3</v>
      </c>
      <c r="E1695" s="25">
        <f>'Daily Returns'!E1695</f>
        <v>-1.0459587955626048E-2</v>
      </c>
    </row>
    <row r="1696" spans="1:5" ht="15" customHeight="1" x14ac:dyDescent="0.3">
      <c r="A1696" s="26">
        <f>'Daily Returns'!F1696</f>
        <v>-1.1088769948837408E-2</v>
      </c>
      <c r="B1696" s="26">
        <f>'Daily Returns'!B1696</f>
        <v>1.6048433596002321E-2</v>
      </c>
      <c r="C1696" s="26">
        <f>'Daily Returns'!C1696</f>
        <v>-1.0425258984885815E-2</v>
      </c>
      <c r="D1696" s="26">
        <f>'Daily Returns'!D1696</f>
        <v>-8.7644151565074956E-3</v>
      </c>
      <c r="E1696" s="26">
        <f>'Daily Returns'!E1696</f>
        <v>2.1620755925688684E-2</v>
      </c>
    </row>
    <row r="1697" spans="1:5" ht="15" customHeight="1" x14ac:dyDescent="0.3">
      <c r="A1697" s="25">
        <f>'Daily Returns'!F1697</f>
        <v>-1.2641567397319448E-3</v>
      </c>
      <c r="B1697" s="25">
        <f>'Daily Returns'!B1697</f>
        <v>-3.8778019483591297E-3</v>
      </c>
      <c r="C1697" s="25">
        <f>'Daily Returns'!C1697</f>
        <v>-9.6318106472867929E-3</v>
      </c>
      <c r="D1697" s="25">
        <f>'Daily Returns'!D1697</f>
        <v>1.6620130301821568E-2</v>
      </c>
      <c r="E1697" s="25">
        <f>'Daily Returns'!E1697</f>
        <v>5.8786643674559372E-4</v>
      </c>
    </row>
    <row r="1698" spans="1:5" ht="15" customHeight="1" x14ac:dyDescent="0.3">
      <c r="A1698" s="26">
        <f>'Daily Returns'!F1698</f>
        <v>6.6522991470882014E-3</v>
      </c>
      <c r="B1698" s="26">
        <f>'Daily Returns'!B1698</f>
        <v>2.8484618306115782E-4</v>
      </c>
      <c r="C1698" s="26">
        <f>'Daily Returns'!C1698</f>
        <v>-1.1396002278560451E-2</v>
      </c>
      <c r="D1698" s="26">
        <f>'Daily Returns'!D1698</f>
        <v>9.6782631441277682E-3</v>
      </c>
      <c r="E1698" s="26">
        <f>'Daily Returns'!E1698</f>
        <v>7.9511182484037941E-3</v>
      </c>
    </row>
    <row r="1699" spans="1:5" ht="15" customHeight="1" x14ac:dyDescent="0.3">
      <c r="A1699" s="25">
        <f>'Daily Returns'!F1699</f>
        <v>-2.260455539174307E-2</v>
      </c>
      <c r="B1699" s="25">
        <f>'Daily Returns'!B1699</f>
        <v>8.4480303749406797E-3</v>
      </c>
      <c r="C1699" s="25">
        <f>'Daily Returns'!C1699</f>
        <v>-3.5608270182646901E-5</v>
      </c>
      <c r="D1699" s="25">
        <f>'Daily Returns'!D1699</f>
        <v>7.9663212435232503E-3</v>
      </c>
      <c r="E1699" s="25">
        <f>'Daily Returns'!E1699</f>
        <v>-1.3250952047874284E-2</v>
      </c>
    </row>
    <row r="1700" spans="1:5" ht="15" customHeight="1" x14ac:dyDescent="0.3">
      <c r="A1700" s="26">
        <f>'Daily Returns'!F1700</f>
        <v>5.7773399865000121E-3</v>
      </c>
      <c r="B1700" s="26">
        <f>'Daily Returns'!B1700</f>
        <v>9.7891566265060834E-3</v>
      </c>
      <c r="C1700" s="26">
        <f>'Daily Returns'!C1700</f>
        <v>-1.987659676406418E-2</v>
      </c>
      <c r="D1700" s="26">
        <f>'Daily Returns'!D1700</f>
        <v>-9.8310094454796704E-3</v>
      </c>
      <c r="E1700" s="26">
        <f>'Daily Returns'!E1700</f>
        <v>1.102666089079672E-3</v>
      </c>
    </row>
    <row r="1701" spans="1:5" ht="15" customHeight="1" x14ac:dyDescent="0.3">
      <c r="A1701" s="25">
        <f>'Daily Returns'!F1701</f>
        <v>1.5396859256010777E-2</v>
      </c>
      <c r="B1701" s="25">
        <f>'Daily Returns'!B1701</f>
        <v>-1.482102908277408E-2</v>
      </c>
      <c r="C1701" s="25">
        <f>'Daily Returns'!C1701</f>
        <v>-3.74744852460316E-2</v>
      </c>
      <c r="D1701" s="25">
        <f>'Daily Returns'!D1701</f>
        <v>9.0201168072681047E-3</v>
      </c>
      <c r="E1701" s="25">
        <f>'Daily Returns'!E1701</f>
        <v>3.5403800007868851E-4</v>
      </c>
    </row>
    <row r="1702" spans="1:5" ht="15" customHeight="1" x14ac:dyDescent="0.3">
      <c r="A1702" s="26">
        <f>'Daily Returns'!F1702</f>
        <v>1.0343716692365681E-2</v>
      </c>
      <c r="B1702" s="26">
        <f>'Daily Returns'!B1702</f>
        <v>2.8384899233607451E-3</v>
      </c>
      <c r="C1702" s="26">
        <f>'Daily Returns'!C1702</f>
        <v>-3.2564683274997537E-3</v>
      </c>
      <c r="D1702" s="26">
        <f>'Daily Returns'!D1702</f>
        <v>9.8398610843141113E-3</v>
      </c>
      <c r="E1702" s="26">
        <f>'Daily Returns'!E1702</f>
        <v>2.0290994887927519E-2</v>
      </c>
    </row>
    <row r="1703" spans="1:5" ht="15" customHeight="1" x14ac:dyDescent="0.3">
      <c r="A1703" s="25">
        <f>'Daily Returns'!F1703</f>
        <v>1.5745383581852623E-2</v>
      </c>
      <c r="B1703" s="25">
        <f>'Daily Returns'!B1703</f>
        <v>-1.2737050665157037E-2</v>
      </c>
      <c r="C1703" s="25">
        <f>'Daily Returns'!C1703</f>
        <v>5.0573034829638945E-3</v>
      </c>
      <c r="D1703" s="25">
        <f>'Daily Returns'!D1703</f>
        <v>2.1016431027893519E-3</v>
      </c>
      <c r="E1703" s="25">
        <f>'Daily Returns'!E1703</f>
        <v>-8.2864410699143506E-3</v>
      </c>
    </row>
    <row r="1704" spans="1:5" ht="15" customHeight="1" x14ac:dyDescent="0.3">
      <c r="A1704" s="26">
        <f>'Daily Returns'!F1704</f>
        <v>-1.331245881848182E-2</v>
      </c>
      <c r="B1704" s="26">
        <f>'Daily Returns'!B1704</f>
        <v>-1.0034403669724743E-2</v>
      </c>
      <c r="C1704" s="26">
        <f>'Daily Returns'!C1704</f>
        <v>3.8843597999587897E-3</v>
      </c>
      <c r="D1704" s="26">
        <f>'Daily Returns'!D1704</f>
        <v>-1.7159199237367767E-3</v>
      </c>
      <c r="E1704" s="26">
        <f>'Daily Returns'!E1704</f>
        <v>-2.906999339318328E-2</v>
      </c>
    </row>
    <row r="1705" spans="1:5" ht="15" customHeight="1" x14ac:dyDescent="0.3">
      <c r="A1705" s="25">
        <f>'Daily Returns'!F1705</f>
        <v>-1.0629268126838027E-2</v>
      </c>
      <c r="B1705" s="25">
        <f>'Daily Returns'!B1705</f>
        <v>-8.6880973066898893E-3</v>
      </c>
      <c r="C1705" s="25">
        <f>'Daily Returns'!C1705</f>
        <v>1.9732217801647498E-2</v>
      </c>
      <c r="D1705" s="25">
        <f>'Daily Returns'!D1705</f>
        <v>7.8940667175960051E-3</v>
      </c>
      <c r="E1705" s="25">
        <f>'Daily Returns'!E1705</f>
        <v>-2.0373854220870204E-2</v>
      </c>
    </row>
    <row r="1706" spans="1:5" ht="15" customHeight="1" x14ac:dyDescent="0.3">
      <c r="A1706" s="26">
        <f>'Daily Returns'!F1706</f>
        <v>-1.563986622460152E-2</v>
      </c>
      <c r="B1706" s="26">
        <f>'Daily Returns'!B1706</f>
        <v>1.7138961924238048E-2</v>
      </c>
      <c r="C1706" s="26">
        <f>'Daily Returns'!C1706</f>
        <v>-2.2204599524187196E-2</v>
      </c>
      <c r="D1706" s="26">
        <f>'Daily Returns'!D1706</f>
        <v>6.6953006568974379E-3</v>
      </c>
      <c r="E1706" s="26">
        <f>'Daily Returns'!E1706</f>
        <v>-1.23396257252595E-2</v>
      </c>
    </row>
    <row r="1707" spans="1:5" ht="15" customHeight="1" x14ac:dyDescent="0.3">
      <c r="A1707" s="25">
        <f>'Daily Returns'!F1707</f>
        <v>1.5838969092449594E-2</v>
      </c>
      <c r="B1707" s="25">
        <f>'Daily Returns'!B1707</f>
        <v>2.2498803255145947E-2</v>
      </c>
      <c r="C1707" s="25">
        <f>'Daily Returns'!C1707</f>
        <v>-8.4559289031247015E-3</v>
      </c>
      <c r="D1707" s="25">
        <f>'Daily Returns'!D1707</f>
        <v>-7.2154599071402037E-3</v>
      </c>
      <c r="E1707" s="25">
        <f>'Daily Returns'!E1707</f>
        <v>1.2493794472943945E-2</v>
      </c>
    </row>
    <row r="1708" spans="1:5" ht="15" customHeight="1" x14ac:dyDescent="0.3">
      <c r="A1708" s="26">
        <f>'Daily Returns'!F1708</f>
        <v>2.5110954472055934E-2</v>
      </c>
      <c r="B1708" s="26">
        <f>'Daily Returns'!B1708</f>
        <v>3.6423220973782776E-2</v>
      </c>
      <c r="C1708" s="26">
        <f>'Daily Returns'!C1708</f>
        <v>-2.4845556514236335E-2</v>
      </c>
      <c r="D1708" s="26">
        <f>'Daily Returns'!D1708</f>
        <v>-4.4871389749098125E-3</v>
      </c>
      <c r="E1708" s="26">
        <f>'Daily Returns'!E1708</f>
        <v>-1.6425594508457996E-2</v>
      </c>
    </row>
    <row r="1709" spans="1:5" ht="15" customHeight="1" x14ac:dyDescent="0.3">
      <c r="A1709" s="25">
        <f>'Daily Returns'!F1709</f>
        <v>-1.7862792436298486E-2</v>
      </c>
      <c r="B1709" s="25">
        <f>'Daily Returns'!B1709</f>
        <v>-4.5171198843614742E-4</v>
      </c>
      <c r="C1709" s="25">
        <f>'Daily Returns'!C1709</f>
        <v>4.9300834185686251E-3</v>
      </c>
      <c r="D1709" s="25">
        <f>'Daily Returns'!D1709</f>
        <v>-2.6599796851193482E-2</v>
      </c>
      <c r="E1709" s="25">
        <f>'Daily Returns'!E1709</f>
        <v>-1.8029245596543717E-2</v>
      </c>
    </row>
    <row r="1710" spans="1:5" ht="15" customHeight="1" x14ac:dyDescent="0.3">
      <c r="A1710" s="26">
        <f>'Daily Returns'!F1710</f>
        <v>-1.5154294925774096E-3</v>
      </c>
      <c r="B1710" s="26">
        <f>'Daily Returns'!B1710</f>
        <v>-1.1388286334056445E-2</v>
      </c>
      <c r="C1710" s="26">
        <f>'Daily Returns'!C1710</f>
        <v>-1.2467247062800987E-3</v>
      </c>
      <c r="D1710" s="26">
        <f>'Daily Returns'!D1710</f>
        <v>9.7828213656818621E-3</v>
      </c>
      <c r="E1710" s="26">
        <f>'Daily Returns'!E1710</f>
        <v>-5.2880954395464934E-3</v>
      </c>
    </row>
    <row r="1711" spans="1:5" ht="15" customHeight="1" x14ac:dyDescent="0.3">
      <c r="A1711" s="25">
        <f>'Daily Returns'!F1711</f>
        <v>-1.4836611970911814E-2</v>
      </c>
      <c r="B1711" s="25">
        <f>'Daily Returns'!B1711</f>
        <v>-1.3073688059974335E-2</v>
      </c>
      <c r="C1711" s="25">
        <f>'Daily Returns'!C1711</f>
        <v>-7.8881483832292706E-3</v>
      </c>
      <c r="D1711" s="25">
        <f>'Daily Returns'!D1711</f>
        <v>-1.3563262933540524E-3</v>
      </c>
      <c r="E1711" s="25">
        <f>'Daily Returns'!E1711</f>
        <v>8.5059328881938637E-5</v>
      </c>
    </row>
    <row r="1712" spans="1:5" ht="15" customHeight="1" x14ac:dyDescent="0.3">
      <c r="A1712" s="26">
        <f>'Daily Returns'!F1712</f>
        <v>-2.0945392573560397E-2</v>
      </c>
      <c r="B1712" s="26">
        <f>'Daily Returns'!B1712</f>
        <v>2.2603056970819803E-2</v>
      </c>
      <c r="C1712" s="26">
        <f>'Daily Returns'!C1712</f>
        <v>1.325736707978951E-3</v>
      </c>
      <c r="D1712" s="26">
        <f>'Daily Returns'!D1712</f>
        <v>2.4835079549864206E-2</v>
      </c>
      <c r="E1712" s="26">
        <f>'Daily Returns'!E1712</f>
        <v>-1.1482032745056782E-3</v>
      </c>
    </row>
    <row r="1713" spans="1:5" ht="15" customHeight="1" x14ac:dyDescent="0.3">
      <c r="A1713" s="25">
        <f>'Daily Returns'!F1713</f>
        <v>-1.0450361337428708E-2</v>
      </c>
      <c r="B1713" s="25">
        <f>'Daily Returns'!B1713</f>
        <v>-2.1016396412718609E-2</v>
      </c>
      <c r="C1713" s="25">
        <f>'Daily Returns'!C1713</f>
        <v>-1.187323853673437E-2</v>
      </c>
      <c r="D1713" s="25">
        <f>'Daily Returns'!D1713</f>
        <v>-2.7704152467499778E-2</v>
      </c>
      <c r="E1713" s="25">
        <f>'Daily Returns'!E1713</f>
        <v>-2.3799386920980943E-2</v>
      </c>
    </row>
    <row r="1714" spans="1:5" ht="15" customHeight="1" x14ac:dyDescent="0.3">
      <c r="A1714" s="26">
        <f>'Daily Returns'!F1714</f>
        <v>1.7056908457981527E-2</v>
      </c>
      <c r="B1714" s="26">
        <f>'Daily Returns'!B1714</f>
        <v>-4.0714351809012471E-3</v>
      </c>
      <c r="C1714" s="26">
        <f>'Daily Returns'!C1714</f>
        <v>-1.7429350422622229E-2</v>
      </c>
      <c r="D1714" s="26">
        <f>'Daily Returns'!D1714</f>
        <v>3.0505614331148108E-3</v>
      </c>
      <c r="E1714" s="26">
        <f>'Daily Returns'!E1714</f>
        <v>-5.4516114963583237E-3</v>
      </c>
    </row>
    <row r="1715" spans="1:5" ht="15" customHeight="1" x14ac:dyDescent="0.3">
      <c r="A1715" s="25">
        <f>'Daily Returns'!F1715</f>
        <v>-5.3303677493542921E-3</v>
      </c>
      <c r="B1715" s="25">
        <f>'Daily Returns'!B1715</f>
        <v>-7.5257827743194488E-3</v>
      </c>
      <c r="C1715" s="25">
        <f>'Daily Returns'!C1715</f>
        <v>2.8472300926044445E-2</v>
      </c>
      <c r="D1715" s="25">
        <f>'Daily Returns'!D1715</f>
        <v>9.7709330917563047E-3</v>
      </c>
      <c r="E1715" s="25">
        <f>'Daily Returns'!E1715</f>
        <v>1.8461673390633256E-2</v>
      </c>
    </row>
    <row r="1716" spans="1:5" ht="15" customHeight="1" x14ac:dyDescent="0.3">
      <c r="A1716" s="26">
        <f>'Daily Returns'!F1716</f>
        <v>9.4423028605717801E-3</v>
      </c>
      <c r="B1716" s="26">
        <f>'Daily Returns'!B1716</f>
        <v>2.4527242089496394E-2</v>
      </c>
      <c r="C1716" s="26">
        <f>'Daily Returns'!C1716</f>
        <v>1.4887120223804501E-2</v>
      </c>
      <c r="D1716" s="26">
        <f>'Daily Returns'!D1716</f>
        <v>-1.0637616148670457E-2</v>
      </c>
      <c r="E1716" s="26">
        <f>'Daily Returns'!E1716</f>
        <v>7.9224973089343526E-3</v>
      </c>
    </row>
    <row r="1717" spans="1:5" ht="15" customHeight="1" x14ac:dyDescent="0.3">
      <c r="A1717" s="25">
        <f>'Daily Returns'!F1717</f>
        <v>7.7930235440739999E-3</v>
      </c>
      <c r="B1717" s="25">
        <f>'Daily Returns'!B1717</f>
        <v>-1.3706140350877194E-2</v>
      </c>
      <c r="C1717" s="25">
        <f>'Daily Returns'!C1717</f>
        <v>-2.6514421813979309E-3</v>
      </c>
      <c r="D1717" s="25">
        <f>'Daily Returns'!D1717</f>
        <v>8.031608264784048E-3</v>
      </c>
      <c r="E1717" s="25">
        <f>'Daily Returns'!E1717</f>
        <v>7.6893502499038105E-3</v>
      </c>
    </row>
    <row r="1718" spans="1:5" ht="15" customHeight="1" x14ac:dyDescent="0.3">
      <c r="A1718" s="26">
        <f>'Daily Returns'!F1718</f>
        <v>-9.1115925384560575E-3</v>
      </c>
      <c r="B1718" s="26">
        <f>'Daily Returns'!B1718</f>
        <v>1.5564202334630413E-2</v>
      </c>
      <c r="C1718" s="26">
        <f>'Daily Returns'!C1718</f>
        <v>-2.6595445797687786E-2</v>
      </c>
      <c r="D1718" s="26">
        <f>'Daily Returns'!D1718</f>
        <v>4.8191222771959133E-3</v>
      </c>
      <c r="E1718" s="26">
        <f>'Daily Returns'!E1718</f>
        <v>-1.3862393488490322E-2</v>
      </c>
    </row>
    <row r="1719" spans="1:5" ht="15" customHeight="1" x14ac:dyDescent="0.3">
      <c r="A1719" s="25">
        <f>'Daily Returns'!F1719</f>
        <v>1.5482214002699892E-2</v>
      </c>
      <c r="B1719" s="25">
        <f>'Daily Returns'!B1719</f>
        <v>1.8518518518518528E-2</v>
      </c>
      <c r="C1719" s="25">
        <f>'Daily Returns'!C1719</f>
        <v>-3.1821051682150857E-3</v>
      </c>
      <c r="D1719" s="25">
        <f>'Daily Returns'!D1719</f>
        <v>8.7607110883745013E-3</v>
      </c>
      <c r="E1719" s="25">
        <f>'Daily Returns'!E1719</f>
        <v>-4.8577078497119572E-3</v>
      </c>
    </row>
    <row r="1720" spans="1:5" ht="15" customHeight="1" x14ac:dyDescent="0.3">
      <c r="A1720" s="26">
        <f>'Daily Returns'!F1720</f>
        <v>-1.2046916611904657E-2</v>
      </c>
      <c r="B1720" s="26">
        <f>'Daily Returns'!B1720</f>
        <v>-1.9704433497536845E-3</v>
      </c>
      <c r="C1720" s="26">
        <f>'Daily Returns'!C1720</f>
        <v>1.0724122580014735E-2</v>
      </c>
      <c r="D1720" s="26">
        <f>'Daily Returns'!D1720</f>
        <v>-3.2963549920761344E-3</v>
      </c>
      <c r="E1720" s="26">
        <f>'Daily Returns'!E1720</f>
        <v>-2.3111149509698139E-2</v>
      </c>
    </row>
    <row r="1721" spans="1:5" ht="15" customHeight="1" x14ac:dyDescent="0.3">
      <c r="A1721" s="25">
        <f>'Daily Returns'!F1721</f>
        <v>-5.5486102615971743E-3</v>
      </c>
      <c r="B1721" s="25">
        <f>'Daily Returns'!B1721</f>
        <v>6.7306829399623076E-3</v>
      </c>
      <c r="C1721" s="25">
        <f>'Daily Returns'!C1721</f>
        <v>3.5916864812216031E-3</v>
      </c>
      <c r="D1721" s="25">
        <f>'Daily Returns'!D1721</f>
        <v>-4.9608853272276175E-2</v>
      </c>
      <c r="E1721" s="25">
        <f>'Daily Returns'!E1721</f>
        <v>1.123198018926338E-2</v>
      </c>
    </row>
    <row r="1722" spans="1:5" ht="15" customHeight="1" x14ac:dyDescent="0.3">
      <c r="A1722" s="26">
        <f>'Daily Returns'!F1722</f>
        <v>5.392550040104061E-3</v>
      </c>
      <c r="B1722" s="26">
        <f>'Daily Returns'!B1722</f>
        <v>-2.0948475664111326E-2</v>
      </c>
      <c r="C1722" s="26">
        <f>'Daily Returns'!C1722</f>
        <v>1.8393700113109562E-2</v>
      </c>
      <c r="D1722" s="26">
        <f>'Daily Returns'!D1722</f>
        <v>1.6730241584688482E-3</v>
      </c>
      <c r="E1722" s="26">
        <f>'Daily Returns'!E1722</f>
        <v>1.6442189959769069E-2</v>
      </c>
    </row>
    <row r="1723" spans="1:5" ht="15" customHeight="1" x14ac:dyDescent="0.3">
      <c r="A1723" s="25">
        <f>'Daily Returns'!F1723</f>
        <v>-3.0858757174546765E-3</v>
      </c>
      <c r="B1723" s="25">
        <f>'Daily Returns'!B1723</f>
        <v>-9.1049804242915701E-4</v>
      </c>
      <c r="C1723" s="25">
        <f>'Daily Returns'!C1723</f>
        <v>2.2234368321105497E-2</v>
      </c>
      <c r="D1723" s="25">
        <f>'Daily Returns'!D1723</f>
        <v>1.8706574024585857E-3</v>
      </c>
      <c r="E1723" s="25">
        <f>'Daily Returns'!E1723</f>
        <v>-3.9149888143176588E-3</v>
      </c>
    </row>
    <row r="1724" spans="1:5" ht="15" customHeight="1" x14ac:dyDescent="0.3">
      <c r="A1724" s="26">
        <f>'Daily Returns'!F1724</f>
        <v>-2.5051192999954465E-3</v>
      </c>
      <c r="B1724" s="26">
        <f>'Daily Returns'!B1724</f>
        <v>-2.642850633372881E-3</v>
      </c>
      <c r="C1724" s="26">
        <f>'Daily Returns'!C1724</f>
        <v>-8.9457088017553036E-4</v>
      </c>
      <c r="D1724" s="26">
        <f>'Daily Returns'!D1724</f>
        <v>-1.1136303014137209E-2</v>
      </c>
      <c r="E1724" s="26">
        <f>'Daily Returns'!E1724</f>
        <v>-6.6945968125081473E-3</v>
      </c>
    </row>
    <row r="1725" spans="1:5" ht="15" customHeight="1" x14ac:dyDescent="0.3">
      <c r="A1725" s="25">
        <f>'Daily Returns'!F1725</f>
        <v>9.5316768252792054E-3</v>
      </c>
      <c r="B1725" s="25">
        <f>'Daily Returns'!B1725</f>
        <v>-3.5453216374268966E-2</v>
      </c>
      <c r="C1725" s="25">
        <f>'Daily Returns'!C1725</f>
        <v>-7.6604036377483043E-3</v>
      </c>
      <c r="D1725" s="25">
        <f>'Daily Returns'!D1725</f>
        <v>-2.0432935464292947E-2</v>
      </c>
      <c r="E1725" s="25">
        <f>'Daily Returns'!E1725</f>
        <v>-1.5262196712757593E-2</v>
      </c>
    </row>
    <row r="1726" spans="1:5" ht="15" customHeight="1" x14ac:dyDescent="0.3">
      <c r="A1726" s="26">
        <f>'Daily Returns'!F1726</f>
        <v>1.3394096625286985E-2</v>
      </c>
      <c r="B1726" s="26">
        <f>'Daily Returns'!B1726</f>
        <v>6.0629026146267577E-3</v>
      </c>
      <c r="C1726" s="26">
        <f>'Daily Returns'!C1726</f>
        <v>-8.1274674521028267E-3</v>
      </c>
      <c r="D1726" s="26">
        <f>'Daily Returns'!D1726</f>
        <v>8.605259534627565E-3</v>
      </c>
      <c r="E1726" s="26">
        <f>'Daily Returns'!E1726</f>
        <v>-1.8103943127124856E-3</v>
      </c>
    </row>
    <row r="1727" spans="1:5" ht="15" customHeight="1" x14ac:dyDescent="0.3">
      <c r="A1727" s="25">
        <f>'Daily Returns'!F1727</f>
        <v>-2.0134480179974518E-2</v>
      </c>
      <c r="B1727" s="25">
        <f>'Daily Returns'!B1727</f>
        <v>5.2730696798493617E-3</v>
      </c>
      <c r="C1727" s="25">
        <f>'Daily Returns'!C1727</f>
        <v>-6.6953627380931758E-3</v>
      </c>
      <c r="D1727" s="25">
        <f>'Daily Returns'!D1727</f>
        <v>6.6207084840625144E-3</v>
      </c>
      <c r="E1727" s="25">
        <f>'Daily Returns'!E1727</f>
        <v>3.2026895514465227E-2</v>
      </c>
    </row>
    <row r="1728" spans="1:5" ht="15" customHeight="1" x14ac:dyDescent="0.3">
      <c r="A1728" s="26">
        <f>'Daily Returns'!F1728</f>
        <v>6.7615897000322233E-4</v>
      </c>
      <c r="B1728" s="26">
        <f>'Daily Returns'!B1728</f>
        <v>-2.3229674035219219E-2</v>
      </c>
      <c r="C1728" s="26">
        <f>'Daily Returns'!C1728</f>
        <v>1.6547716794037718E-2</v>
      </c>
      <c r="D1728" s="26">
        <f>'Daily Returns'!D1728</f>
        <v>2.5291564957960526E-2</v>
      </c>
      <c r="E1728" s="26">
        <f>'Daily Returns'!E1728</f>
        <v>-1.3116159451350203E-2</v>
      </c>
    </row>
    <row r="1729" spans="1:5" ht="15" customHeight="1" x14ac:dyDescent="0.3">
      <c r="A1729" s="25">
        <f>'Daily Returns'!F1729</f>
        <v>1.4676775871930803E-2</v>
      </c>
      <c r="B1729" s="25">
        <f>'Daily Returns'!B1729</f>
        <v>-1.9179133103183737E-2</v>
      </c>
      <c r="C1729" s="25">
        <f>'Daily Returns'!C1729</f>
        <v>-6.8861965413688922E-3</v>
      </c>
      <c r="D1729" s="25">
        <f>'Daily Returns'!D1729</f>
        <v>-1.2300773758349405E-2</v>
      </c>
      <c r="E1729" s="25">
        <f>'Daily Returns'!E1729</f>
        <v>4.6473245309242234E-3</v>
      </c>
    </row>
    <row r="1730" spans="1:5" ht="15" customHeight="1" x14ac:dyDescent="0.3">
      <c r="A1730" s="26">
        <f>'Daily Returns'!F1730</f>
        <v>1.8259175090032154E-2</v>
      </c>
      <c r="B1730" s="26">
        <f>'Daily Returns'!B1730</f>
        <v>-1.0070394994133761E-2</v>
      </c>
      <c r="C1730" s="26">
        <f>'Daily Returns'!C1730</f>
        <v>-2.9049580313852224E-2</v>
      </c>
      <c r="D1730" s="26">
        <f>'Daily Returns'!D1730</f>
        <v>1.9082691663876761E-2</v>
      </c>
      <c r="E1730" s="26">
        <f>'Daily Returns'!E1730</f>
        <v>1.7638666724309301E-2</v>
      </c>
    </row>
    <row r="1731" spans="1:5" ht="15" customHeight="1" x14ac:dyDescent="0.3">
      <c r="A1731" s="25">
        <f>'Daily Returns'!F1731</f>
        <v>-2.8222015894126717E-2</v>
      </c>
      <c r="B1731" s="25">
        <f>'Daily Returns'!B1731</f>
        <v>-7.0123456790122836E-3</v>
      </c>
      <c r="C1731" s="25">
        <f>'Daily Returns'!C1731</f>
        <v>8.795197542928835E-3</v>
      </c>
      <c r="D1731" s="25">
        <f>'Daily Returns'!D1731</f>
        <v>6.5703022339042537E-4</v>
      </c>
      <c r="E1731" s="25">
        <f>'Daily Returns'!E1731</f>
        <v>-1.3594460257444802E-3</v>
      </c>
    </row>
    <row r="1732" spans="1:5" ht="15" customHeight="1" x14ac:dyDescent="0.3">
      <c r="A1732" s="26">
        <f>'Daily Returns'!F1732</f>
        <v>-8.3635839958684215E-3</v>
      </c>
      <c r="B1732" s="26">
        <f>'Daily Returns'!B1732</f>
        <v>-3.9785160135270108E-3</v>
      </c>
      <c r="C1732" s="26">
        <f>'Daily Returns'!C1732</f>
        <v>-1.1496944793373579E-3</v>
      </c>
      <c r="D1732" s="26">
        <f>'Daily Returns'!D1732</f>
        <v>-7.4195666447801952E-3</v>
      </c>
      <c r="E1732" s="26">
        <f>'Daily Returns'!E1732</f>
        <v>-2.4290636831581995E-2</v>
      </c>
    </row>
    <row r="1733" spans="1:5" ht="15" customHeight="1" x14ac:dyDescent="0.3">
      <c r="A1733" s="25">
        <f>'Daily Returns'!F1733</f>
        <v>1.3078349912463969E-3</v>
      </c>
      <c r="B1733" s="25">
        <f>'Daily Returns'!B1733</f>
        <v>-1.2981825444377842E-2</v>
      </c>
      <c r="C1733" s="25">
        <f>'Daily Returns'!C1733</f>
        <v>-7.645031795090405E-3</v>
      </c>
      <c r="D1733" s="25">
        <f>'Daily Returns'!D1733</f>
        <v>8.2688364093404781E-3</v>
      </c>
      <c r="E1733" s="25">
        <f>'Daily Returns'!E1733</f>
        <v>6.8887338681547956E-3</v>
      </c>
    </row>
    <row r="1734" spans="1:5" ht="15" customHeight="1" x14ac:dyDescent="0.3">
      <c r="A1734" s="26">
        <f>'Daily Returns'!F1734</f>
        <v>-4.3912987029353697E-3</v>
      </c>
      <c r="B1734" s="26">
        <f>'Daily Returns'!B1734</f>
        <v>-1.3658437879401138E-2</v>
      </c>
      <c r="C1734" s="26">
        <f>'Daily Returns'!C1734</f>
        <v>-3.4037617509969975E-2</v>
      </c>
      <c r="D1734" s="26">
        <f>'Daily Returns'!D1734</f>
        <v>1.4171368586799798E-2</v>
      </c>
      <c r="E1734" s="26">
        <f>'Daily Returns'!E1734</f>
        <v>2.9314973586212913E-2</v>
      </c>
    </row>
    <row r="1735" spans="1:5" ht="15" customHeight="1" x14ac:dyDescent="0.3">
      <c r="A1735" s="25">
        <f>'Daily Returns'!F1735</f>
        <v>8.5253610855814035E-3</v>
      </c>
      <c r="B1735" s="25">
        <f>'Daily Returns'!B1735</f>
        <v>4.6158580367217442E-3</v>
      </c>
      <c r="C1735" s="25">
        <f>'Daily Returns'!C1735</f>
        <v>2.1235592780639561E-2</v>
      </c>
      <c r="D1735" s="25">
        <f>'Daily Returns'!D1735</f>
        <v>-7.8923534739293484E-3</v>
      </c>
      <c r="E1735" s="25">
        <f>'Daily Returns'!E1735</f>
        <v>3.3654452904799247E-3</v>
      </c>
    </row>
    <row r="1736" spans="1:5" ht="15" customHeight="1" x14ac:dyDescent="0.3">
      <c r="A1736" s="26">
        <f>'Daily Returns'!F1736</f>
        <v>5.842134655396204E-3</v>
      </c>
      <c r="B1736" s="26">
        <f>'Daily Returns'!B1736</f>
        <v>-6.2283030426791858E-3</v>
      </c>
      <c r="C1736" s="26">
        <f>'Daily Returns'!C1736</f>
        <v>1.2875598780664835E-2</v>
      </c>
      <c r="D1736" s="26">
        <f>'Daily Returns'!D1736</f>
        <v>2.5169535732915915E-2</v>
      </c>
      <c r="E1736" s="26">
        <f>'Daily Returns'!E1736</f>
        <v>-2.5156177938032902E-4</v>
      </c>
    </row>
    <row r="1737" spans="1:5" ht="15" customHeight="1" x14ac:dyDescent="0.3">
      <c r="A1737" s="25">
        <f>'Daily Returns'!F1737</f>
        <v>6.5171187766783888E-3</v>
      </c>
      <c r="B1737" s="25">
        <f>'Daily Returns'!B1737</f>
        <v>-1.2329189355800324E-3</v>
      </c>
      <c r="C1737" s="25">
        <f>'Daily Returns'!C1737</f>
        <v>-1.9458417530131687E-2</v>
      </c>
      <c r="D1737" s="25">
        <f>'Daily Returns'!D1737</f>
        <v>6.9965653224789235E-4</v>
      </c>
      <c r="E1737" s="25">
        <f>'Daily Returns'!E1737</f>
        <v>-5.0325015726557405E-4</v>
      </c>
    </row>
    <row r="1738" spans="1:5" ht="15" customHeight="1" x14ac:dyDescent="0.3">
      <c r="A1738" s="26">
        <f>'Daily Returns'!F1738</f>
        <v>-2.3520836170448289E-3</v>
      </c>
      <c r="B1738" s="26">
        <f>'Daily Returns'!B1738</f>
        <v>-2.8803621026642005E-3</v>
      </c>
      <c r="C1738" s="26">
        <f>'Daily Returns'!C1738</f>
        <v>3.2739324093731064E-3</v>
      </c>
      <c r="D1738" s="26">
        <f>'Daily Returns'!D1738</f>
        <v>-1.9068200597470285E-2</v>
      </c>
      <c r="E1738" s="26">
        <f>'Daily Returns'!E1738</f>
        <v>-3.9776780094826575E-2</v>
      </c>
    </row>
    <row r="1739" spans="1:5" ht="15" customHeight="1" x14ac:dyDescent="0.3">
      <c r="A1739" s="25">
        <f>'Daily Returns'!F1739</f>
        <v>-1.6695926619982131E-3</v>
      </c>
      <c r="B1739" s="25">
        <f>'Daily Returns'!B1739</f>
        <v>6.7058702156194312E-3</v>
      </c>
      <c r="C1739" s="25">
        <f>'Daily Returns'!C1739</f>
        <v>-1.8519665079960487E-2</v>
      </c>
      <c r="D1739" s="25">
        <f>'Daily Returns'!D1739</f>
        <v>-1.7494978293267783E-2</v>
      </c>
      <c r="E1739" s="25">
        <f>'Daily Returns'!E1739</f>
        <v>6.4671181996942021E-3</v>
      </c>
    </row>
    <row r="1740" spans="1:5" ht="15" customHeight="1" x14ac:dyDescent="0.3">
      <c r="A1740" s="26">
        <f>'Daily Returns'!F1740</f>
        <v>1.0939657414015553E-2</v>
      </c>
      <c r="B1740" s="26">
        <f>'Daily Returns'!B1740</f>
        <v>-1.8446402951423715E-3</v>
      </c>
      <c r="C1740" s="26">
        <f>'Daily Returns'!C1740</f>
        <v>-2.3403639494151932E-2</v>
      </c>
      <c r="D1740" s="26">
        <f>'Daily Returns'!D1740</f>
        <v>1.727890259183542E-2</v>
      </c>
      <c r="E1740" s="26">
        <f>'Daily Returns'!E1740</f>
        <v>-8.6397777102418666E-3</v>
      </c>
    </row>
    <row r="1741" spans="1:5" ht="15" customHeight="1" x14ac:dyDescent="0.3">
      <c r="A1741" s="25">
        <f>'Daily Returns'!F1741</f>
        <v>6.3919918724134831E-3</v>
      </c>
      <c r="B1741" s="25">
        <f>'Daily Returns'!B1741</f>
        <v>1.2320328542094338E-2</v>
      </c>
      <c r="C1741" s="25">
        <f>'Daily Returns'!C1741</f>
        <v>-3.642360200774377E-2</v>
      </c>
      <c r="D1741" s="25">
        <f>'Daily Returns'!D1741</f>
        <v>-8.2982171799027629E-3</v>
      </c>
      <c r="E1741" s="25">
        <f>'Daily Returns'!E1741</f>
        <v>-1.6773232898309592E-2</v>
      </c>
    </row>
    <row r="1742" spans="1:5" ht="15" customHeight="1" x14ac:dyDescent="0.3">
      <c r="A1742" s="26">
        <f>'Daily Returns'!F1742</f>
        <v>4.1461566337924532E-3</v>
      </c>
      <c r="B1742" s="26">
        <f>'Daily Returns'!B1742</f>
        <v>1.7241379310345001E-3</v>
      </c>
      <c r="C1742" s="26">
        <f>'Daily Returns'!C1742</f>
        <v>1.434176541335608E-2</v>
      </c>
      <c r="D1742" s="26">
        <f>'Daily Returns'!D1742</f>
        <v>1.7650519709747677E-3</v>
      </c>
      <c r="E1742" s="26">
        <f>'Daily Returns'!E1742</f>
        <v>2.378513206538686E-2</v>
      </c>
    </row>
    <row r="1743" spans="1:5" ht="15" customHeight="1" x14ac:dyDescent="0.3">
      <c r="A1743" s="25">
        <f>'Daily Returns'!F1743</f>
        <v>1.5607910715787505E-3</v>
      </c>
      <c r="B1743" s="25">
        <f>'Daily Returns'!B1743</f>
        <v>1.2655664675508759E-2</v>
      </c>
      <c r="C1743" s="25">
        <f>'Daily Returns'!C1743</f>
        <v>1.6117745848106001E-2</v>
      </c>
      <c r="D1743" s="25">
        <f>'Daily Returns'!D1743</f>
        <v>2.0882276168101878E-3</v>
      </c>
      <c r="E1743" s="25">
        <f>'Daily Returns'!E1743</f>
        <v>-1.7533173809005879E-2</v>
      </c>
    </row>
    <row r="1744" spans="1:5" ht="15" customHeight="1" x14ac:dyDescent="0.3">
      <c r="A1744" s="26">
        <f>'Daily Returns'!F1744</f>
        <v>-8.3183918200645315E-3</v>
      </c>
      <c r="B1744" s="26">
        <f>'Daily Returns'!B1744</f>
        <v>1.7596480703859281E-2</v>
      </c>
      <c r="C1744" s="26">
        <f>'Daily Returns'!C1744</f>
        <v>-4.8703410386490131E-3</v>
      </c>
      <c r="D1744" s="26">
        <f>'Daily Returns'!D1744</f>
        <v>-1.3675436311539981E-3</v>
      </c>
      <c r="E1744" s="26">
        <f>'Daily Returns'!E1744</f>
        <v>2.302718979718405E-3</v>
      </c>
    </row>
    <row r="1745" spans="1:5" ht="15" customHeight="1" x14ac:dyDescent="0.3">
      <c r="A1745" s="25">
        <f>'Daily Returns'!F1745</f>
        <v>-8.2407610786829951E-3</v>
      </c>
      <c r="B1745" s="25">
        <f>'Daily Returns'!B1745</f>
        <v>-1.9944979367262736E-2</v>
      </c>
      <c r="C1745" s="25">
        <f>'Daily Returns'!C1745</f>
        <v>-4.6135214624873523E-4</v>
      </c>
      <c r="D1745" s="25">
        <f>'Daily Returns'!D1745</f>
        <v>1.5780893381154328E-2</v>
      </c>
      <c r="E1745" s="25">
        <f>'Daily Returns'!E1745</f>
        <v>-2.2930105151541917E-2</v>
      </c>
    </row>
    <row r="1746" spans="1:5" ht="15" customHeight="1" x14ac:dyDescent="0.3">
      <c r="A1746" s="26">
        <f>'Daily Returns'!F1746</f>
        <v>1.8153873218972531E-3</v>
      </c>
      <c r="B1746" s="26">
        <f>'Daily Returns'!B1746</f>
        <v>1.3032581453634057E-2</v>
      </c>
      <c r="C1746" s="26">
        <f>'Daily Returns'!C1746</f>
        <v>3.1547973921572395E-2</v>
      </c>
      <c r="D1746" s="26">
        <f>'Daily Returns'!D1746</f>
        <v>-7.1900879501829908E-3</v>
      </c>
      <c r="E1746" s="26">
        <f>'Daily Returns'!E1746</f>
        <v>6.8279448338231553E-3</v>
      </c>
    </row>
    <row r="1747" spans="1:5" ht="15" customHeight="1" x14ac:dyDescent="0.3">
      <c r="A1747" s="25">
        <f>'Daily Returns'!F1747</f>
        <v>1.2100053818085453E-2</v>
      </c>
      <c r="B1747" s="25">
        <f>'Daily Returns'!B1747</f>
        <v>2.5037110341415154E-2</v>
      </c>
      <c r="C1747" s="25">
        <f>'Daily Returns'!C1747</f>
        <v>-1.2726194781999168E-2</v>
      </c>
      <c r="D1747" s="25">
        <f>'Daily Returns'!D1747</f>
        <v>-1.7070805043647039E-2</v>
      </c>
      <c r="E1747" s="25">
        <f>'Daily Returns'!E1747</f>
        <v>-2.6138507140932334E-2</v>
      </c>
    </row>
    <row r="1748" spans="1:5" ht="15" customHeight="1" x14ac:dyDescent="0.3">
      <c r="A1748" s="26">
        <f>'Daily Returns'!F1748</f>
        <v>-1.1143636864646337E-2</v>
      </c>
      <c r="B1748" s="26">
        <f>'Daily Returns'!B1748</f>
        <v>-1.3129947866383466E-2</v>
      </c>
      <c r="C1748" s="26">
        <f>'Daily Returns'!C1748</f>
        <v>-2.0304108409435886E-2</v>
      </c>
      <c r="D1748" s="26">
        <f>'Daily Returns'!D1748</f>
        <v>-3.5852904414183207E-2</v>
      </c>
      <c r="E1748" s="26">
        <f>'Daily Returns'!E1748</f>
        <v>4.6578122117690041E-3</v>
      </c>
    </row>
    <row r="1749" spans="1:5" ht="15" customHeight="1" x14ac:dyDescent="0.3">
      <c r="A1749" s="25">
        <f>'Daily Returns'!F1749</f>
        <v>4.0630043751514406E-3</v>
      </c>
      <c r="B1749" s="25">
        <f>'Daily Returns'!B1749</f>
        <v>-9.7828213656868672E-5</v>
      </c>
      <c r="C1749" s="25">
        <f>'Daily Returns'!C1749</f>
        <v>2.8450489209631952E-3</v>
      </c>
      <c r="D1749" s="25">
        <f>'Daily Returns'!D1749</f>
        <v>-1.4328602620087879E-3</v>
      </c>
      <c r="E1749" s="25">
        <f>'Daily Returns'!E1749</f>
        <v>2.7082855175579687E-3</v>
      </c>
    </row>
    <row r="1750" spans="1:5" ht="15" customHeight="1" x14ac:dyDescent="0.3">
      <c r="A1750" s="26">
        <f>'Daily Returns'!F1750</f>
        <v>4.8625849713904729E-3</v>
      </c>
      <c r="B1750" s="26">
        <f>'Daily Returns'!B1750</f>
        <v>-4.6962136777222363E-3</v>
      </c>
      <c r="C1750" s="26">
        <f>'Daily Returns'!C1750</f>
        <v>1.0286926838269121E-2</v>
      </c>
      <c r="D1750" s="26">
        <f>'Daily Returns'!D1750</f>
        <v>-3.7581141100101328E-3</v>
      </c>
      <c r="E1750" s="26">
        <f>'Daily Returns'!E1750</f>
        <v>1.4374656656290124E-2</v>
      </c>
    </row>
    <row r="1751" spans="1:5" ht="15" customHeight="1" x14ac:dyDescent="0.3">
      <c r="A1751" s="25">
        <f>'Daily Returns'!F1751</f>
        <v>-2.5699471647898067E-3</v>
      </c>
      <c r="B1751" s="25">
        <f>'Daily Returns'!B1751</f>
        <v>6.4877617222058055E-3</v>
      </c>
      <c r="C1751" s="25">
        <f>'Daily Returns'!C1751</f>
        <v>-4.6382965770208574E-3</v>
      </c>
      <c r="D1751" s="25">
        <f>'Daily Returns'!D1751</f>
        <v>1.9890260631001213E-2</v>
      </c>
      <c r="E1751" s="25">
        <f>'Daily Returns'!E1751</f>
        <v>-2.4054517555736132E-2</v>
      </c>
    </row>
    <row r="1752" spans="1:5" ht="15" customHeight="1" x14ac:dyDescent="0.3">
      <c r="A1752" s="26">
        <f>'Daily Returns'!F1752</f>
        <v>-9.9182623873689865E-4</v>
      </c>
      <c r="B1752" s="26">
        <f>'Daily Returns'!B1752</f>
        <v>7.5202656509424362E-3</v>
      </c>
      <c r="C1752" s="26">
        <f>'Daily Returns'!C1752</f>
        <v>-2.4561054768285087E-2</v>
      </c>
      <c r="D1752" s="26">
        <f>'Daily Returns'!D1752</f>
        <v>-1.0692669804976296E-2</v>
      </c>
      <c r="E1752" s="26">
        <f>'Daily Returns'!E1752</f>
        <v>-7.7687861271676616E-3</v>
      </c>
    </row>
    <row r="1753" spans="1:5" ht="15" customHeight="1" x14ac:dyDescent="0.3">
      <c r="A1753" s="25">
        <f>'Daily Returns'!F1753</f>
        <v>7.6181731343841876E-3</v>
      </c>
      <c r="B1753" s="25">
        <f>'Daily Returns'!B1753</f>
        <v>-9.0151221403644115E-3</v>
      </c>
      <c r="C1753" s="25">
        <f>'Daily Returns'!C1753</f>
        <v>-1.2936575119137103E-2</v>
      </c>
      <c r="D1753" s="25">
        <f>'Daily Returns'!D1753</f>
        <v>1.6518251648426199E-2</v>
      </c>
      <c r="E1753" s="25">
        <f>'Daily Returns'!E1753</f>
        <v>-1.5099967376613604E-2</v>
      </c>
    </row>
    <row r="1754" spans="1:5" ht="15" customHeight="1" x14ac:dyDescent="0.3">
      <c r="A1754" s="26">
        <f>'Daily Returns'!F1754</f>
        <v>-8.532734946459725E-3</v>
      </c>
      <c r="B1754" s="26">
        <f>'Daily Returns'!B1754</f>
        <v>1.8585542404382191E-2</v>
      </c>
      <c r="C1754" s="26">
        <f>'Daily Returns'!C1754</f>
        <v>1.2677325731437558E-2</v>
      </c>
      <c r="D1754" s="26">
        <f>'Daily Returns'!D1754</f>
        <v>-4.2129196201684867E-3</v>
      </c>
      <c r="E1754" s="26">
        <f>'Daily Returns'!E1754</f>
        <v>1.4053849429801726E-2</v>
      </c>
    </row>
    <row r="1755" spans="1:5" ht="15" customHeight="1" x14ac:dyDescent="0.3">
      <c r="A1755" s="25">
        <f>'Daily Returns'!F1755</f>
        <v>1.6117947021171648E-2</v>
      </c>
      <c r="B1755" s="25">
        <f>'Daily Returns'!B1755</f>
        <v>-1.1620090271775605E-2</v>
      </c>
      <c r="C1755" s="25">
        <f>'Daily Returns'!C1755</f>
        <v>1.3204736140516071E-2</v>
      </c>
      <c r="D1755" s="25">
        <f>'Daily Returns'!D1755</f>
        <v>2.753340944194476E-2</v>
      </c>
      <c r="E1755" s="25">
        <f>'Daily Returns'!E1755</f>
        <v>-3.2197853476434932E-2</v>
      </c>
    </row>
    <row r="1756" spans="1:5" ht="15" customHeight="1" x14ac:dyDescent="0.3">
      <c r="A1756" s="26">
        <f>'Daily Returns'!F1756</f>
        <v>-1.9442599182660999E-2</v>
      </c>
      <c r="B1756" s="26">
        <f>'Daily Returns'!B1756</f>
        <v>-1.5546055188495587E-3</v>
      </c>
      <c r="C1756" s="26">
        <f>'Daily Returns'!C1756</f>
        <v>-2.887458015385343E-2</v>
      </c>
      <c r="D1756" s="26">
        <f>'Daily Returns'!D1756</f>
        <v>-1.4966342069145756E-2</v>
      </c>
      <c r="E1756" s="26">
        <f>'Daily Returns'!E1756</f>
        <v>-6.9431051108968063E-3</v>
      </c>
    </row>
    <row r="1757" spans="1:5" ht="15" customHeight="1" x14ac:dyDescent="0.3">
      <c r="A1757" s="25">
        <f>'Daily Returns'!F1757</f>
        <v>7.8270602831189903E-3</v>
      </c>
      <c r="B1757" s="25">
        <f>'Daily Returns'!B1757</f>
        <v>1.4499805371739926E-2</v>
      </c>
      <c r="C1757" s="25">
        <f>'Daily Returns'!C1757</f>
        <v>-2.0970968178956377E-2</v>
      </c>
      <c r="D1757" s="25">
        <f>'Daily Returns'!D1757</f>
        <v>-5.9049893842886567E-3</v>
      </c>
      <c r="E1757" s="25">
        <f>'Daily Returns'!E1757</f>
        <v>9.6620703049134816E-3</v>
      </c>
    </row>
    <row r="1758" spans="1:5" ht="15" customHeight="1" x14ac:dyDescent="0.3">
      <c r="A1758" s="26">
        <f>'Daily Returns'!F1758</f>
        <v>8.2107204005733864E-3</v>
      </c>
      <c r="B1758" s="26">
        <f>'Daily Returns'!B1758</f>
        <v>2.7338129496402824E-2</v>
      </c>
      <c r="C1758" s="26">
        <f>'Daily Returns'!C1758</f>
        <v>-1.6780421891470602E-2</v>
      </c>
      <c r="D1758" s="26">
        <f>'Daily Returns'!D1758</f>
        <v>1.107922311953545E-2</v>
      </c>
      <c r="E1758" s="26">
        <f>'Daily Returns'!E1758</f>
        <v>3.7509016590526628E-3</v>
      </c>
    </row>
    <row r="1759" spans="1:5" ht="15" customHeight="1" x14ac:dyDescent="0.3">
      <c r="A1759" s="25">
        <f>'Daily Returns'!F1759</f>
        <v>1.6042160768261135E-2</v>
      </c>
      <c r="B1759" s="25">
        <f>'Daily Returns'!B1759</f>
        <v>-6.7226890756302421E-3</v>
      </c>
      <c r="C1759" s="25">
        <f>'Daily Returns'!C1759</f>
        <v>1.49018958522921E-4</v>
      </c>
      <c r="D1759" s="25">
        <f>'Daily Returns'!D1759</f>
        <v>1.9143177767509255E-2</v>
      </c>
      <c r="E1759" s="25">
        <f>'Daily Returns'!E1759</f>
        <v>-2.850572509941067E-2</v>
      </c>
    </row>
    <row r="1760" spans="1:5" ht="15" customHeight="1" x14ac:dyDescent="0.3">
      <c r="A1760" s="26">
        <f>'Daily Returns'!F1760</f>
        <v>-2.2773969616763663E-2</v>
      </c>
      <c r="B1760" s="26">
        <f>'Daily Returns'!B1760</f>
        <v>1.1092310584696436E-2</v>
      </c>
      <c r="C1760" s="26">
        <f>'Daily Returns'!C1760</f>
        <v>3.9517250513211054E-2</v>
      </c>
      <c r="D1760" s="26">
        <f>'Daily Returns'!D1760</f>
        <v>1.3666688257011554E-2</v>
      </c>
      <c r="E1760" s="26">
        <f>'Daily Returns'!E1760</f>
        <v>2.1501134234145305E-2</v>
      </c>
    </row>
    <row r="1761" spans="1:5" ht="15" customHeight="1" x14ac:dyDescent="0.3">
      <c r="A1761" s="25">
        <f>'Daily Returns'!F1761</f>
        <v>-1.1682322297485802E-2</v>
      </c>
      <c r="B1761" s="25">
        <f>'Daily Returns'!B1761</f>
        <v>3.4399404983265578E-3</v>
      </c>
      <c r="C1761" s="25">
        <f>'Daily Returns'!C1761</f>
        <v>-4.4472934019206866E-3</v>
      </c>
      <c r="D1761" s="25">
        <f>'Daily Returns'!D1761</f>
        <v>-2.0638977635782683E-2</v>
      </c>
      <c r="E1761" s="25">
        <f>'Daily Returns'!E1761</f>
        <v>1.5931254224196801E-3</v>
      </c>
    </row>
    <row r="1762" spans="1:5" ht="15" customHeight="1" x14ac:dyDescent="0.3">
      <c r="A1762" s="26">
        <f>'Daily Returns'!F1762</f>
        <v>1.2597580220523284E-2</v>
      </c>
      <c r="B1762" s="26">
        <f>'Daily Returns'!B1762</f>
        <v>-2.1680718984527038E-2</v>
      </c>
      <c r="C1762" s="26">
        <f>'Daily Returns'!C1762</f>
        <v>1.6916819637908147E-3</v>
      </c>
      <c r="D1762" s="26">
        <f>'Daily Returns'!D1762</f>
        <v>1.755072747439158E-2</v>
      </c>
      <c r="E1762" s="26">
        <f>'Daily Returns'!E1762</f>
        <v>1.9328095628283564E-2</v>
      </c>
    </row>
    <row r="1763" spans="1:5" ht="15" customHeight="1" x14ac:dyDescent="0.3">
      <c r="A1763" s="25">
        <f>'Daily Returns'!F1763</f>
        <v>-8.491722150479105E-3</v>
      </c>
      <c r="B1763" s="25">
        <f>'Daily Returns'!B1763</f>
        <v>-1.2880007576475038E-2</v>
      </c>
      <c r="C1763" s="25">
        <f>'Daily Returns'!C1763</f>
        <v>-1.3462690142531961E-2</v>
      </c>
      <c r="D1763" s="25">
        <f>'Daily Returns'!D1763</f>
        <v>2.5647601949212645E-4</v>
      </c>
      <c r="E1763" s="25">
        <f>'Daily Returns'!E1763</f>
        <v>-7.5184414601853766E-3</v>
      </c>
    </row>
    <row r="1764" spans="1:5" ht="15" customHeight="1" x14ac:dyDescent="0.3">
      <c r="A1764" s="26">
        <f>'Daily Returns'!F1764</f>
        <v>2.658431263621933E-5</v>
      </c>
      <c r="B1764" s="26">
        <f>'Daily Returns'!B1764</f>
        <v>-1.6406025136716951E-2</v>
      </c>
      <c r="C1764" s="26">
        <f>'Daily Returns'!C1764</f>
        <v>4.6192199046532094E-2</v>
      </c>
      <c r="D1764" s="26">
        <f>'Daily Returns'!D1764</f>
        <v>-2.525641025641024E-2</v>
      </c>
      <c r="E1764" s="26">
        <f>'Daily Returns'!E1764</f>
        <v>1.1434560960503555E-3</v>
      </c>
    </row>
    <row r="1765" spans="1:5" ht="15" customHeight="1" x14ac:dyDescent="0.3">
      <c r="A1765" s="25">
        <f>'Daily Returns'!F1765</f>
        <v>1.2544139047896426E-2</v>
      </c>
      <c r="B1765" s="25">
        <f>'Daily Returns'!B1765</f>
        <v>-6.632852126414286E-3</v>
      </c>
      <c r="C1765" s="25">
        <f>'Daily Returns'!C1765</f>
        <v>-1.0018877266819371E-2</v>
      </c>
      <c r="D1765" s="25">
        <f>'Daily Returns'!D1765</f>
        <v>-8.4177298434828431E-3</v>
      </c>
      <c r="E1765" s="25">
        <f>'Daily Returns'!E1765</f>
        <v>4.1878836910483773E-3</v>
      </c>
    </row>
    <row r="1766" spans="1:5" ht="15" customHeight="1" x14ac:dyDescent="0.3">
      <c r="A1766" s="26">
        <f>'Daily Returns'!F1766</f>
        <v>-1.1748013073081416E-2</v>
      </c>
      <c r="B1766" s="26">
        <f>'Daily Returns'!B1766</f>
        <v>-5.498821681068365E-3</v>
      </c>
      <c r="C1766" s="26">
        <f>'Daily Returns'!C1766</f>
        <v>-8.4322567032142325E-3</v>
      </c>
      <c r="D1766" s="26">
        <f>'Daily Returns'!D1766</f>
        <v>-5.1067780872795475E-3</v>
      </c>
      <c r="E1766" s="26">
        <f>'Daily Returns'!E1766</f>
        <v>-7.7721435003079778E-3</v>
      </c>
    </row>
    <row r="1767" spans="1:5" ht="15" customHeight="1" x14ac:dyDescent="0.3">
      <c r="A1767" s="25">
        <f>'Daily Returns'!F1767</f>
        <v>-1.1477453550849356E-2</v>
      </c>
      <c r="B1767" s="25">
        <f>'Daily Returns'!B1767</f>
        <v>7.8988941548181573E-4</v>
      </c>
      <c r="C1767" s="25">
        <f>'Daily Returns'!C1767</f>
        <v>3.3495688907804102E-3</v>
      </c>
      <c r="D1767" s="25">
        <f>'Daily Returns'!D1767</f>
        <v>-1.213252449836673E-2</v>
      </c>
      <c r="E1767" s="25">
        <f>'Daily Returns'!E1767</f>
        <v>4.2269666141280957E-2</v>
      </c>
    </row>
    <row r="1768" spans="1:5" ht="15" customHeight="1" x14ac:dyDescent="0.3">
      <c r="A1768" s="26">
        <f>'Daily Returns'!F1768</f>
        <v>-1.0842411161905414E-2</v>
      </c>
      <c r="B1768" s="26">
        <f>'Daily Returns'!B1768</f>
        <v>1.7955801104972448E-2</v>
      </c>
      <c r="C1768" s="26">
        <f>'Daily Returns'!C1768</f>
        <v>-2.2763870015003119E-2</v>
      </c>
      <c r="D1768" s="26">
        <f>'Daily Returns'!D1768</f>
        <v>2.0919090356974118E-2</v>
      </c>
      <c r="E1768" s="26">
        <f>'Daily Returns'!E1768</f>
        <v>-4.674182018146871E-3</v>
      </c>
    </row>
    <row r="1769" spans="1:5" ht="15" customHeight="1" x14ac:dyDescent="0.3">
      <c r="A1769" s="25">
        <f>'Daily Returns'!F1769</f>
        <v>-1.2086390724050539E-4</v>
      </c>
      <c r="B1769" s="25">
        <f>'Daily Returns'!B1769</f>
        <v>6.2027524714090548E-3</v>
      </c>
      <c r="C1769" s="25">
        <f>'Daily Returns'!C1769</f>
        <v>1.4862268806919121E-2</v>
      </c>
      <c r="D1769" s="25">
        <f>'Daily Returns'!D1769</f>
        <v>8.8571617423491532E-3</v>
      </c>
      <c r="E1769" s="25">
        <f>'Daily Returns'!E1769</f>
        <v>6.860036832412565E-3</v>
      </c>
    </row>
    <row r="1770" spans="1:5" ht="15" customHeight="1" x14ac:dyDescent="0.3">
      <c r="A1770" s="26">
        <f>'Daily Returns'!F1770</f>
        <v>-8.126632734102187E-3</v>
      </c>
      <c r="B1770" s="26">
        <f>'Daily Returns'!B1770</f>
        <v>3.7083413600462425E-2</v>
      </c>
      <c r="C1770" s="26">
        <f>'Daily Returns'!C1770</f>
        <v>4.4749639626800249E-4</v>
      </c>
      <c r="D1770" s="26">
        <f>'Daily Returns'!D1770</f>
        <v>1.8345017362248649E-2</v>
      </c>
      <c r="E1770" s="26">
        <f>'Daily Returns'!E1770</f>
        <v>-1.166034112213641E-2</v>
      </c>
    </row>
    <row r="1771" spans="1:5" ht="15" customHeight="1" x14ac:dyDescent="0.3">
      <c r="A1771" s="25">
        <f>'Daily Returns'!F1771</f>
        <v>9.767641329148152E-4</v>
      </c>
      <c r="B1771" s="25">
        <f>'Daily Returns'!B1771</f>
        <v>-3.0649205906937709E-3</v>
      </c>
      <c r="C1771" s="25">
        <f>'Daily Returns'!C1771</f>
        <v>-1.4269937338943741E-2</v>
      </c>
      <c r="D1771" s="25">
        <f>'Daily Returns'!D1771</f>
        <v>-1.3446567586694996E-2</v>
      </c>
      <c r="E1771" s="25">
        <f>'Daily Returns'!E1771</f>
        <v>-1.0039789025631478E-2</v>
      </c>
    </row>
    <row r="1772" spans="1:5" ht="15" customHeight="1" x14ac:dyDescent="0.3">
      <c r="A1772" s="26">
        <f>'Daily Returns'!F1772</f>
        <v>-9.3375191177657278E-4</v>
      </c>
      <c r="B1772" s="26">
        <f>'Daily Returns'!B1772</f>
        <v>1.127259176448662E-2</v>
      </c>
      <c r="C1772" s="26">
        <f>'Daily Returns'!C1772</f>
        <v>-9.9147070161910503E-3</v>
      </c>
      <c r="D1772" s="26">
        <f>'Daily Returns'!D1772</f>
        <v>-2.5890178687883129E-2</v>
      </c>
      <c r="E1772" s="26">
        <f>'Daily Returns'!E1772</f>
        <v>-2.2900406599056368E-3</v>
      </c>
    </row>
    <row r="1773" spans="1:5" ht="15" customHeight="1" x14ac:dyDescent="0.3">
      <c r="A1773" s="25">
        <f>'Daily Returns'!F1773</f>
        <v>6.0259116618593287E-3</v>
      </c>
      <c r="B1773" s="25">
        <f>'Daily Returns'!B1773</f>
        <v>6.0801473975126358E-3</v>
      </c>
      <c r="C1773" s="25">
        <f>'Daily Returns'!C1773</f>
        <v>-3.2812151446938852E-2</v>
      </c>
      <c r="D1773" s="25">
        <f>'Daily Returns'!D1773</f>
        <v>7.4981589341902959E-3</v>
      </c>
      <c r="E1773" s="25">
        <f>'Daily Returns'!E1773</f>
        <v>-1.3022297170695153E-2</v>
      </c>
    </row>
    <row r="1774" spans="1:5" ht="15" customHeight="1" x14ac:dyDescent="0.3">
      <c r="A1774" s="26">
        <f>'Daily Returns'!F1774</f>
        <v>-7.137885936382515E-3</v>
      </c>
      <c r="B1774" s="26">
        <f>'Daily Returns'!B1774</f>
        <v>2.1151909165827328E-2</v>
      </c>
      <c r="C1774" s="26">
        <f>'Daily Returns'!C1774</f>
        <v>-9.2005116054767171E-3</v>
      </c>
      <c r="D1774" s="26">
        <f>'Daily Returns'!D1774</f>
        <v>9.3029437171896043E-4</v>
      </c>
      <c r="E1774" s="26">
        <f>'Daily Returns'!E1774</f>
        <v>-1.7465590887517698E-2</v>
      </c>
    </row>
    <row r="1775" spans="1:5" ht="15" customHeight="1" x14ac:dyDescent="0.3">
      <c r="A1775" s="25">
        <f>'Daily Returns'!F1775</f>
        <v>6.5997476015491729E-3</v>
      </c>
      <c r="B1775" s="25">
        <f>'Daily Returns'!B1775</f>
        <v>-4.9318507890961007E-3</v>
      </c>
      <c r="C1775" s="25">
        <f>'Daily Returns'!C1775</f>
        <v>-3.9526645250580847E-2</v>
      </c>
      <c r="D1775" s="25">
        <f>'Daily Returns'!D1775</f>
        <v>1.400783376485437E-2</v>
      </c>
      <c r="E1775" s="25">
        <f>'Daily Returns'!E1775</f>
        <v>1.1593082793932019E-3</v>
      </c>
    </row>
    <row r="1776" spans="1:5" ht="15" customHeight="1" x14ac:dyDescent="0.3">
      <c r="A1776" s="26">
        <f>'Daily Returns'!F1776</f>
        <v>9.9528142844522126E-3</v>
      </c>
      <c r="B1776" s="26">
        <f>'Daily Returns'!B1776</f>
        <v>1.2075335676308942E-2</v>
      </c>
      <c r="C1776" s="26">
        <f>'Daily Returns'!C1776</f>
        <v>-7.3502194489980651E-3</v>
      </c>
      <c r="D1776" s="26">
        <f>'Daily Returns'!D1776</f>
        <v>1.0802671205970782E-2</v>
      </c>
      <c r="E1776" s="26">
        <f>'Daily Returns'!E1776</f>
        <v>-7.3820322300492194E-3</v>
      </c>
    </row>
    <row r="1777" spans="1:5" ht="15" customHeight="1" x14ac:dyDescent="0.3">
      <c r="A1777" s="25">
        <f>'Daily Returns'!F1777</f>
        <v>1.0436732442241798E-2</v>
      </c>
      <c r="B1777" s="25">
        <f>'Daily Returns'!B1777</f>
        <v>2.2883091443326446E-2</v>
      </c>
      <c r="C1777" s="25">
        <f>'Daily Returns'!C1777</f>
        <v>-8.1459975850557177E-3</v>
      </c>
      <c r="D1777" s="25">
        <f>'Daily Returns'!D1777</f>
        <v>2.8499255133106172E-3</v>
      </c>
      <c r="E1777" s="25">
        <f>'Daily Returns'!E1777</f>
        <v>4.0684392164487458E-2</v>
      </c>
    </row>
    <row r="1778" spans="1:5" ht="15" customHeight="1" x14ac:dyDescent="0.3">
      <c r="A1778" s="26">
        <f>'Daily Returns'!F1778</f>
        <v>5.3329045807618772E-3</v>
      </c>
      <c r="B1778" s="26">
        <f>'Daily Returns'!B1778</f>
        <v>-9.6622562674094654E-3</v>
      </c>
      <c r="C1778" s="26">
        <f>'Daily Returns'!C1778</f>
        <v>-9.7928200904985972E-3</v>
      </c>
      <c r="D1778" s="26">
        <f>'Daily Returns'!D1778</f>
        <v>1.2981980236388238E-2</v>
      </c>
      <c r="E1778" s="26">
        <f>'Daily Returns'!E1778</f>
        <v>-2.9892573563754616E-3</v>
      </c>
    </row>
    <row r="1779" spans="1:5" ht="15" customHeight="1" x14ac:dyDescent="0.3">
      <c r="A1779" s="25">
        <f>'Daily Returns'!F1779</f>
        <v>-4.526644342954184E-3</v>
      </c>
      <c r="B1779" s="25">
        <f>'Daily Returns'!B1779</f>
        <v>-7.9106970203031738E-4</v>
      </c>
      <c r="C1779" s="25">
        <f>'Daily Returns'!C1779</f>
        <v>-9.6862697239660997E-3</v>
      </c>
      <c r="D1779" s="25">
        <f>'Daily Returns'!D1779</f>
        <v>1.5939811272634532E-3</v>
      </c>
      <c r="E1779" s="25">
        <f>'Daily Returns'!E1779</f>
        <v>-1.1992879227958411E-2</v>
      </c>
    </row>
    <row r="1780" spans="1:5" ht="15" customHeight="1" x14ac:dyDescent="0.3">
      <c r="A1780" s="26">
        <f>'Daily Returns'!F1780</f>
        <v>1.536731994450263E-3</v>
      </c>
      <c r="B1780" s="26">
        <f>'Daily Returns'!B1780</f>
        <v>7.3011963406051919E-3</v>
      </c>
      <c r="C1780" s="26">
        <f>'Daily Returns'!C1780</f>
        <v>-1.4253895517074559E-2</v>
      </c>
      <c r="D1780" s="26">
        <f>'Daily Returns'!D1780</f>
        <v>3.628493220446834E-3</v>
      </c>
      <c r="E1780" s="26">
        <f>'Daily Returns'!E1780</f>
        <v>1.2091038406827799E-2</v>
      </c>
    </row>
    <row r="1781" spans="1:5" ht="15" customHeight="1" x14ac:dyDescent="0.3">
      <c r="A1781" s="25">
        <f>'Daily Returns'!F1781</f>
        <v>-1.5533725773234211E-2</v>
      </c>
      <c r="B1781" s="25">
        <f>'Daily Returns'!B1781</f>
        <v>-5.6763601432189819E-3</v>
      </c>
      <c r="C1781" s="25">
        <f>'Daily Returns'!C1781</f>
        <v>2.2359069336728772E-2</v>
      </c>
      <c r="D1781" s="25">
        <f>'Daily Returns'!D1781</f>
        <v>3.1586959279462069E-2</v>
      </c>
      <c r="E1781" s="25">
        <f>'Daily Returns'!E1781</f>
        <v>3.3544155539939217E-2</v>
      </c>
    </row>
    <row r="1782" spans="1:5" ht="15" customHeight="1" x14ac:dyDescent="0.3">
      <c r="A1782" s="26">
        <f>'Daily Returns'!F1782</f>
        <v>3.817279121749167E-3</v>
      </c>
      <c r="B1782" s="26">
        <f>'Daily Returns'!B1782</f>
        <v>-1.1768838924995639E-2</v>
      </c>
      <c r="C1782" s="26">
        <f>'Daily Returns'!C1782</f>
        <v>2.5982319160884719E-2</v>
      </c>
      <c r="D1782" s="26">
        <f>'Daily Returns'!D1782</f>
        <v>2.072060993605512E-2</v>
      </c>
      <c r="E1782" s="26">
        <f>'Daily Returns'!E1782</f>
        <v>-2.9826390462807724E-2</v>
      </c>
    </row>
    <row r="1783" spans="1:5" ht="15" customHeight="1" x14ac:dyDescent="0.3">
      <c r="A1783" s="25">
        <f>'Daily Returns'!F1783</f>
        <v>1.0621059144884721E-2</v>
      </c>
      <c r="B1783" s="25">
        <f>'Daily Returns'!B1783</f>
        <v>2.5684322787060083E-2</v>
      </c>
      <c r="C1783" s="25">
        <f>'Daily Returns'!C1783</f>
        <v>-2.3969171143412614E-3</v>
      </c>
      <c r="D1783" s="25">
        <f>'Daily Returns'!D1783</f>
        <v>-1.6203843141979386E-2</v>
      </c>
      <c r="E1783" s="25">
        <f>'Daily Returns'!E1783</f>
        <v>2.3688267999813079E-2</v>
      </c>
    </row>
    <row r="1784" spans="1:5" ht="15" customHeight="1" x14ac:dyDescent="0.3">
      <c r="A1784" s="26">
        <f>'Daily Returns'!F1784</f>
        <v>-7.0874821611759771E-3</v>
      </c>
      <c r="B1784" s="26">
        <f>'Daily Returns'!B1784</f>
        <v>-2.8593709383935386E-3</v>
      </c>
      <c r="C1784" s="26">
        <f>'Daily Returns'!C1784</f>
        <v>2.0770095310577993E-2</v>
      </c>
      <c r="D1784" s="26">
        <f>'Daily Returns'!D1784</f>
        <v>-2.4491795248591724E-2</v>
      </c>
      <c r="E1784" s="26">
        <f>'Daily Returns'!E1784</f>
        <v>-1.9534459151072575E-2</v>
      </c>
    </row>
    <row r="1785" spans="1:5" ht="15" customHeight="1" x14ac:dyDescent="0.3">
      <c r="A1785" s="25">
        <f>'Daily Returns'!F1785</f>
        <v>1.6142039359738083E-2</v>
      </c>
      <c r="B1785" s="25">
        <f>'Daily Returns'!B1785</f>
        <v>2.433090024330898E-2</v>
      </c>
      <c r="C1785" s="25">
        <f>'Daily Returns'!C1785</f>
        <v>-4.8116102855755329E-3</v>
      </c>
      <c r="D1785" s="25">
        <f>'Daily Returns'!D1785</f>
        <v>2.1780065277429067E-2</v>
      </c>
      <c r="E1785" s="25">
        <f>'Daily Returns'!E1785</f>
        <v>-8.8446140955218584E-3</v>
      </c>
    </row>
    <row r="1786" spans="1:5" ht="15" customHeight="1" x14ac:dyDescent="0.3">
      <c r="A1786" s="26">
        <f>'Daily Returns'!F1786</f>
        <v>9.8028696616607892E-3</v>
      </c>
      <c r="B1786" s="26">
        <f>'Daily Returns'!B1786</f>
        <v>-6.7017305734644733E-3</v>
      </c>
      <c r="C1786" s="26">
        <f>'Daily Returns'!C1786</f>
        <v>-4.7390474863012377E-3</v>
      </c>
      <c r="D1786" s="26">
        <f>'Daily Returns'!D1786</f>
        <v>-6.5114564776706328E-3</v>
      </c>
      <c r="E1786" s="26">
        <f>'Daily Returns'!E1786</f>
        <v>-2.5784332143527995E-2</v>
      </c>
    </row>
    <row r="1787" spans="1:5" ht="15" customHeight="1" x14ac:dyDescent="0.3">
      <c r="A1787" s="25">
        <f>'Daily Returns'!F1787</f>
        <v>2.2628986144964804E-2</v>
      </c>
      <c r="B1787" s="25">
        <f>'Daily Returns'!B1787</f>
        <v>-2.5621316935690252E-3</v>
      </c>
      <c r="C1787" s="25">
        <f>'Daily Returns'!C1787</f>
        <v>-1.4022250037200085E-2</v>
      </c>
      <c r="D1787" s="25">
        <f>'Daily Returns'!D1787</f>
        <v>-1.6694490818028927E-3</v>
      </c>
      <c r="E1787" s="25">
        <f>'Daily Returns'!E1787</f>
        <v>-8.3883719809092656E-3</v>
      </c>
    </row>
    <row r="1788" spans="1:5" ht="15" customHeight="1" x14ac:dyDescent="0.3">
      <c r="A1788" s="26">
        <f>'Daily Returns'!F1788</f>
        <v>-1.2353954063386114E-2</v>
      </c>
      <c r="B1788" s="26">
        <f>'Daily Returns'!B1788</f>
        <v>1.1387961298056325E-2</v>
      </c>
      <c r="C1788" s="26">
        <f>'Daily Returns'!C1788</f>
        <v>1.2894491544231758E-2</v>
      </c>
      <c r="D1788" s="26">
        <f>'Daily Returns'!D1788</f>
        <v>-7.3083116561377852E-3</v>
      </c>
      <c r="E1788" s="26">
        <f>'Daily Returns'!E1788</f>
        <v>-2.5766930818221651E-2</v>
      </c>
    </row>
    <row r="1789" spans="1:5" ht="15" customHeight="1" x14ac:dyDescent="0.3">
      <c r="A1789" s="25">
        <f>'Daily Returns'!F1789</f>
        <v>1.2210603270886469E-3</v>
      </c>
      <c r="B1789" s="25">
        <f>'Daily Returns'!B1789</f>
        <v>-2.5397900440231238E-3</v>
      </c>
      <c r="C1789" s="25">
        <f>'Daily Returns'!C1789</f>
        <v>1.149893731238644E-2</v>
      </c>
      <c r="D1789" s="25">
        <f>'Daily Returns'!D1789</f>
        <v>5.5527826303967201E-3</v>
      </c>
      <c r="E1789" s="25">
        <f>'Daily Returns'!E1789</f>
        <v>-1.1028494435849991E-2</v>
      </c>
    </row>
    <row r="1790" spans="1:5" ht="15" customHeight="1" x14ac:dyDescent="0.3">
      <c r="A1790" s="26">
        <f>'Daily Returns'!F1790</f>
        <v>-7.157152412702727E-3</v>
      </c>
      <c r="B1790" s="26">
        <f>'Daily Returns'!B1790</f>
        <v>-1.2137158377185476E-2</v>
      </c>
      <c r="C1790" s="26">
        <f>'Daily Returns'!C1790</f>
        <v>-2.2168885577010588E-2</v>
      </c>
      <c r="D1790" s="26">
        <f>'Daily Returns'!D1790</f>
        <v>-6.0805360799155543E-3</v>
      </c>
      <c r="E1790" s="26">
        <f>'Daily Returns'!E1790</f>
        <v>-5.8532647088505229E-3</v>
      </c>
    </row>
    <row r="1791" spans="1:5" ht="15" customHeight="1" x14ac:dyDescent="0.3">
      <c r="A1791" s="25">
        <f>'Daily Returns'!F1791</f>
        <v>-4.3455704361637405E-3</v>
      </c>
      <c r="B1791" s="25">
        <f>'Daily Returns'!B1791</f>
        <v>-9.7087378640776309E-3</v>
      </c>
      <c r="C1791" s="25">
        <f>'Daily Returns'!C1791</f>
        <v>3.4160087194619617E-3</v>
      </c>
      <c r="D1791" s="25">
        <f>'Daily Returns'!D1791</f>
        <v>-1.8353205568387525E-2</v>
      </c>
      <c r="E1791" s="25">
        <f>'Daily Returns'!E1791</f>
        <v>-2.2840320779617149E-3</v>
      </c>
    </row>
    <row r="1792" spans="1:5" ht="15" customHeight="1" x14ac:dyDescent="0.3">
      <c r="A1792" s="26">
        <f>'Daily Returns'!F1792</f>
        <v>9.0766422373787879E-3</v>
      </c>
      <c r="B1792" s="26">
        <f>'Daily Returns'!B1792</f>
        <v>4.0777372896060975E-3</v>
      </c>
      <c r="C1792" s="26">
        <f>'Daily Returns'!C1792</f>
        <v>-8.5219871684484166E-3</v>
      </c>
      <c r="D1792" s="26">
        <f>'Daily Returns'!D1792</f>
        <v>-2.7726550079491343E-2</v>
      </c>
      <c r="E1792" s="26">
        <f>'Daily Returns'!E1792</f>
        <v>5.2398636617998736E-3</v>
      </c>
    </row>
    <row r="1793" spans="1:5" ht="15" customHeight="1" x14ac:dyDescent="0.3">
      <c r="A1793" s="25">
        <f>'Daily Returns'!F1793</f>
        <v>1.3441450649259151E-2</v>
      </c>
      <c r="B1793" s="25">
        <f>'Daily Returns'!B1793</f>
        <v>-8.9000259224056091E-3</v>
      </c>
      <c r="C1793" s="25">
        <f>'Daily Returns'!C1793</f>
        <v>-1.5315552032350096E-2</v>
      </c>
      <c r="D1793" s="25">
        <f>'Daily Returns'!D1793</f>
        <v>-3.7281705801556604E-2</v>
      </c>
      <c r="E1793" s="25">
        <f>'Daily Returns'!E1793</f>
        <v>5.465587044534476E-3</v>
      </c>
    </row>
    <row r="1794" spans="1:5" ht="15" customHeight="1" x14ac:dyDescent="0.3">
      <c r="A1794" s="26">
        <f>'Daily Returns'!F1794</f>
        <v>6.4397138281660848E-5</v>
      </c>
      <c r="B1794" s="26">
        <f>'Daily Returns'!B1794</f>
        <v>1.5693112467305371E-3</v>
      </c>
      <c r="C1794" s="26">
        <f>'Daily Returns'!C1794</f>
        <v>1.4472827266813975E-4</v>
      </c>
      <c r="D1794" s="26">
        <f>'Daily Returns'!D1794</f>
        <v>-1.6237516135606946E-2</v>
      </c>
      <c r="E1794" s="26">
        <f>'Daily Returns'!E1794</f>
        <v>-1.0066438494061658E-3</v>
      </c>
    </row>
    <row r="1795" spans="1:5" ht="15" customHeight="1" x14ac:dyDescent="0.3">
      <c r="A1795" s="25">
        <f>'Daily Returns'!F1795</f>
        <v>-3.4508618399413556E-3</v>
      </c>
      <c r="B1795" s="25">
        <f>'Daily Returns'!B1795</f>
        <v>-3.0988857938718684E-2</v>
      </c>
      <c r="C1795" s="25">
        <f>'Daily Returns'!C1795</f>
        <v>-3.3251031039722254E-2</v>
      </c>
      <c r="D1795" s="25">
        <f>'Daily Returns'!D1795</f>
        <v>1.9751381215469509E-2</v>
      </c>
      <c r="E1795" s="25">
        <f>'Daily Returns'!E1795</f>
        <v>2.4989923417976664E-2</v>
      </c>
    </row>
    <row r="1796" spans="1:5" ht="15" customHeight="1" x14ac:dyDescent="0.3">
      <c r="A1796" s="26">
        <f>'Daily Returns'!F1796</f>
        <v>-1.1963212728817441E-2</v>
      </c>
      <c r="B1796" s="26">
        <f>'Daily Returns'!B1796</f>
        <v>-7.3661516349262778E-3</v>
      </c>
      <c r="C1796" s="26">
        <f>'Daily Returns'!C1796</f>
        <v>-7.0585593803062664E-3</v>
      </c>
      <c r="D1796" s="26">
        <f>'Daily Returns'!D1796</f>
        <v>-1.4425030475416467E-2</v>
      </c>
      <c r="E1796" s="26">
        <f>'Daily Returns'!E1796</f>
        <v>3.6374360990956011E-3</v>
      </c>
    </row>
    <row r="1797" spans="1:5" ht="15" customHeight="1" x14ac:dyDescent="0.3">
      <c r="A1797" s="25">
        <f>'Daily Returns'!F1797</f>
        <v>-2.0460886243217532E-4</v>
      </c>
      <c r="B1797" s="25">
        <f>'Daily Returns'!B1797</f>
        <v>-2.2624434389140274E-3</v>
      </c>
      <c r="C1797" s="25">
        <f>'Daily Returns'!C1797</f>
        <v>3.3923137077550819E-2</v>
      </c>
      <c r="D1797" s="25">
        <f>'Daily Returns'!D1797</f>
        <v>6.8714354428577653E-5</v>
      </c>
      <c r="E1797" s="25">
        <f>'Daily Returns'!E1797</f>
        <v>2.3263786854736016E-2</v>
      </c>
    </row>
    <row r="1798" spans="1:5" ht="15" customHeight="1" x14ac:dyDescent="0.3">
      <c r="A1798" s="26">
        <f>'Daily Returns'!F1798</f>
        <v>3.4750459986000043E-3</v>
      </c>
      <c r="B1798" s="26">
        <f>'Daily Returns'!B1798</f>
        <v>-6.7120181405895228E-3</v>
      </c>
      <c r="C1798" s="26">
        <f>'Daily Returns'!C1798</f>
        <v>8.2788472491172448E-3</v>
      </c>
      <c r="D1798" s="26">
        <f>'Daily Returns'!D1798</f>
        <v>1.8070633502817065E-2</v>
      </c>
      <c r="E1798" s="26">
        <f>'Daily Returns'!E1798</f>
        <v>2.9675010769157351E-3</v>
      </c>
    </row>
    <row r="1799" spans="1:5" ht="15" customHeight="1" x14ac:dyDescent="0.3">
      <c r="A1799" s="25">
        <f>'Daily Returns'!F1799</f>
        <v>7.4892468230311213E-3</v>
      </c>
      <c r="B1799" s="25">
        <f>'Daily Returns'!B1799</f>
        <v>-1.3514747511642809E-2</v>
      </c>
      <c r="C1799" s="25">
        <f>'Daily Returns'!C1799</f>
        <v>-1.9431339587513329E-2</v>
      </c>
      <c r="D1799" s="25">
        <f>'Daily Returns'!D1799</f>
        <v>2.1056894108119086E-2</v>
      </c>
      <c r="E1799" s="25">
        <f>'Daily Returns'!E1799</f>
        <v>-1.1596277738010053E-2</v>
      </c>
    </row>
    <row r="1800" spans="1:5" ht="15" customHeight="1" x14ac:dyDescent="0.3">
      <c r="A1800" s="26">
        <f>'Daily Returns'!F1800</f>
        <v>1.0957679342822997E-2</v>
      </c>
      <c r="B1800" s="26">
        <f>'Daily Returns'!B1800</f>
        <v>-1.1848560585022689E-2</v>
      </c>
      <c r="C1800" s="26">
        <f>'Daily Returns'!C1800</f>
        <v>1.0355220468957288E-2</v>
      </c>
      <c r="D1800" s="26">
        <f>'Daily Returns'!D1800</f>
        <v>-8.3944741886442052E-3</v>
      </c>
      <c r="E1800" s="26">
        <f>'Daily Returns'!E1800</f>
        <v>-2.520278099652375E-2</v>
      </c>
    </row>
    <row r="1801" spans="1:5" ht="15" customHeight="1" x14ac:dyDescent="0.3">
      <c r="A1801" s="25">
        <f>'Daily Returns'!F1801</f>
        <v>-5.9824435893314617E-3</v>
      </c>
      <c r="B1801" s="25">
        <f>'Daily Returns'!B1801</f>
        <v>1.2177985948477327E-3</v>
      </c>
      <c r="C1801" s="25">
        <f>'Daily Returns'!C1801</f>
        <v>2.1574628601663108E-3</v>
      </c>
      <c r="D1801" s="25">
        <f>'Daily Returns'!D1801</f>
        <v>1.1598453539527933E-2</v>
      </c>
      <c r="E1801" s="25">
        <f>'Daily Returns'!E1801</f>
        <v>-5.2303120356612193E-2</v>
      </c>
    </row>
    <row r="1802" spans="1:5" ht="15" customHeight="1" x14ac:dyDescent="0.3">
      <c r="A1802" s="26">
        <f>'Daily Returns'!F1802</f>
        <v>-7.3272244576919974E-3</v>
      </c>
      <c r="B1802" s="26">
        <f>'Daily Returns'!B1802</f>
        <v>2.0958083832335415E-2</v>
      </c>
      <c r="C1802" s="26">
        <f>'Daily Returns'!C1802</f>
        <v>-5.0657224002330819E-3</v>
      </c>
      <c r="D1802" s="26">
        <f>'Daily Returns'!D1802</f>
        <v>-5.4691618344753831E-3</v>
      </c>
      <c r="E1802" s="26">
        <f>'Daily Returns'!E1802</f>
        <v>-7.6826591407964818E-3</v>
      </c>
    </row>
    <row r="1803" spans="1:5" ht="15" customHeight="1" x14ac:dyDescent="0.3">
      <c r="A1803" s="25">
        <f>'Daily Returns'!F1803</f>
        <v>1.5432835702011432E-2</v>
      </c>
      <c r="B1803" s="25">
        <f>'Daily Returns'!B1803</f>
        <v>-1.9061583577712593E-2</v>
      </c>
      <c r="C1803" s="25">
        <f>'Daily Returns'!C1803</f>
        <v>-9.7347197379675787E-3</v>
      </c>
      <c r="D1803" s="25">
        <f>'Daily Returns'!D1803</f>
        <v>-3.014642549526278E-2</v>
      </c>
      <c r="E1803" s="25">
        <f>'Daily Returns'!E1803</f>
        <v>-2.1383051561594788E-2</v>
      </c>
    </row>
    <row r="1804" spans="1:5" ht="15" customHeight="1" x14ac:dyDescent="0.3">
      <c r="A1804" s="26">
        <f>'Daily Returns'!F1804</f>
        <v>3.3630982563697944E-3</v>
      </c>
      <c r="B1804" s="26">
        <f>'Daily Returns'!B1804</f>
        <v>-3.5500747384156358E-3</v>
      </c>
      <c r="C1804" s="26">
        <f>'Daily Returns'!C1804</f>
        <v>6.0516189235507081E-4</v>
      </c>
      <c r="D1804" s="26">
        <f>'Daily Returns'!D1804</f>
        <v>1.5439267659516266E-2</v>
      </c>
      <c r="E1804" s="26">
        <f>'Daily Returns'!E1804</f>
        <v>5.3818416662132848E-5</v>
      </c>
    </row>
    <row r="1805" spans="1:5" ht="15" customHeight="1" x14ac:dyDescent="0.3">
      <c r="A1805" s="25">
        <f>'Daily Returns'!F1805</f>
        <v>-1.9081785515913444E-2</v>
      </c>
      <c r="B1805" s="25">
        <f>'Daily Returns'!B1805</f>
        <v>1.3875867241702644E-2</v>
      </c>
      <c r="C1805" s="25">
        <f>'Daily Returns'!C1805</f>
        <v>-9.8521712634233038E-3</v>
      </c>
      <c r="D1805" s="25">
        <f>'Daily Returns'!D1805</f>
        <v>2.1528525296018678E-3</v>
      </c>
      <c r="E1805" s="25">
        <f>'Daily Returns'!E1805</f>
        <v>2.4701323861801763E-2</v>
      </c>
    </row>
    <row r="1806" spans="1:5" ht="15" customHeight="1" x14ac:dyDescent="0.3">
      <c r="A1806" s="26">
        <f>'Daily Returns'!F1806</f>
        <v>1.8546114707189962E-2</v>
      </c>
      <c r="B1806" s="26">
        <f>'Daily Returns'!B1806</f>
        <v>4.9935269095617374E-3</v>
      </c>
      <c r="C1806" s="26">
        <f>'Daily Returns'!C1806</f>
        <v>-2.4572430385884992E-3</v>
      </c>
      <c r="D1806" s="26">
        <f>'Daily Returns'!D1806</f>
        <v>-1.3426423200859291E-2</v>
      </c>
      <c r="E1806" s="26">
        <f>'Daily Returns'!E1806</f>
        <v>-4.2224673073893139E-2</v>
      </c>
    </row>
    <row r="1807" spans="1:5" ht="15" customHeight="1" x14ac:dyDescent="0.3">
      <c r="A1807" s="25">
        <f>'Daily Returns'!F1807</f>
        <v>-7.3942942332553292E-3</v>
      </c>
      <c r="B1807" s="25">
        <f>'Daily Returns'!B1807</f>
        <v>-1.0121457489879798E-3</v>
      </c>
      <c r="C1807" s="25">
        <f>'Daily Returns'!C1807</f>
        <v>1.3639274379385108E-2</v>
      </c>
      <c r="D1807" s="25">
        <f>'Daily Returns'!D1807</f>
        <v>3.6744692433314644E-3</v>
      </c>
      <c r="E1807" s="25">
        <f>'Daily Returns'!E1807</f>
        <v>1.3160059220266522E-2</v>
      </c>
    </row>
    <row r="1808" spans="1:5" ht="15" customHeight="1" x14ac:dyDescent="0.3">
      <c r="A1808" s="26">
        <f>'Daily Returns'!F1808</f>
        <v>9.5500455345029472E-3</v>
      </c>
      <c r="B1808" s="26">
        <f>'Daily Returns'!B1808</f>
        <v>-5.8948144054525777E-3</v>
      </c>
      <c r="C1808" s="26">
        <f>'Daily Returns'!C1808</f>
        <v>1.4982085133658174E-2</v>
      </c>
      <c r="D1808" s="26">
        <f>'Daily Returns'!D1808</f>
        <v>5.627118644067881E-3</v>
      </c>
      <c r="E1808" s="26">
        <f>'Daily Returns'!E1808</f>
        <v>-2.8143096823077429E-2</v>
      </c>
    </row>
    <row r="1809" spans="1:5" ht="15" customHeight="1" x14ac:dyDescent="0.3">
      <c r="A1809" s="25">
        <f>'Daily Returns'!F1809</f>
        <v>-3.3710691543268043E-3</v>
      </c>
      <c r="B1809" s="25">
        <f>'Daily Returns'!B1809</f>
        <v>4.6326322616508064E-4</v>
      </c>
      <c r="C1809" s="25">
        <f>'Daily Returns'!C1809</f>
        <v>-2.2275428426045282E-2</v>
      </c>
      <c r="D1809" s="25">
        <f>'Daily Returns'!D1809</f>
        <v>3.0337760399109324E-3</v>
      </c>
      <c r="E1809" s="25">
        <f>'Daily Returns'!E1809</f>
        <v>-3.4526925432978722E-2</v>
      </c>
    </row>
    <row r="1810" spans="1:5" ht="15" customHeight="1" x14ac:dyDescent="0.3">
      <c r="A1810" s="26">
        <f>'Daily Returns'!F1810</f>
        <v>9.8590133114412532E-4</v>
      </c>
      <c r="B1810" s="26">
        <f>'Daily Returns'!B1810</f>
        <v>-1.1113169105390307E-3</v>
      </c>
      <c r="C1810" s="26">
        <f>'Daily Returns'!C1810</f>
        <v>-7.6624613740388162E-3</v>
      </c>
      <c r="D1810" s="26">
        <f>'Daily Returns'!D1810</f>
        <v>-1.4854147062777309E-2</v>
      </c>
      <c r="E1810" s="26">
        <f>'Daily Returns'!E1810</f>
        <v>4.2740958643363886E-2</v>
      </c>
    </row>
    <row r="1811" spans="1:5" ht="15" customHeight="1" x14ac:dyDescent="0.3">
      <c r="A1811" s="25">
        <f>'Daily Returns'!F1811</f>
        <v>1.9272765494155349E-2</v>
      </c>
      <c r="B1811" s="25">
        <f>'Daily Returns'!B1811</f>
        <v>-2.9946226590024144E-2</v>
      </c>
      <c r="C1811" s="25">
        <f>'Daily Returns'!C1811</f>
        <v>2.8938545393245887E-2</v>
      </c>
      <c r="D1811" s="25">
        <f>'Daily Returns'!D1811</f>
        <v>-2.3879375042641354E-3</v>
      </c>
      <c r="E1811" s="25">
        <f>'Daily Returns'!E1811</f>
        <v>1.4824648744330163E-2</v>
      </c>
    </row>
    <row r="1812" spans="1:5" ht="15" customHeight="1" x14ac:dyDescent="0.3">
      <c r="A1812" s="26">
        <f>'Daily Returns'!F1812</f>
        <v>-2.0294821417894834E-2</v>
      </c>
      <c r="B1812" s="26">
        <f>'Daily Returns'!B1812</f>
        <v>-9.557488292076843E-3</v>
      </c>
      <c r="C1812" s="26">
        <f>'Daily Returns'!C1812</f>
        <v>3.2279644664506425E-2</v>
      </c>
      <c r="D1812" s="26">
        <f>'Daily Returns'!D1812</f>
        <v>5.2660374777732883E-3</v>
      </c>
      <c r="E1812" s="26">
        <f>'Daily Returns'!E1812</f>
        <v>-5.5761473890766473E-2</v>
      </c>
    </row>
    <row r="1813" spans="1:5" ht="15" customHeight="1" x14ac:dyDescent="0.3">
      <c r="A1813" s="25">
        <f>'Daily Returns'!F1813</f>
        <v>-3.2831437108817637E-3</v>
      </c>
      <c r="B1813" s="25">
        <f>'Daily Returns'!B1813</f>
        <v>-2.6729711473511494E-2</v>
      </c>
      <c r="C1813" s="25">
        <f>'Daily Returns'!C1813</f>
        <v>7.1199008945064743E-3</v>
      </c>
      <c r="D1813" s="25">
        <f>'Daily Returns'!D1813</f>
        <v>1.224573100210887E-2</v>
      </c>
      <c r="E1813" s="25">
        <f>'Daily Returns'!E1813</f>
        <v>2.5861571321364765E-2</v>
      </c>
    </row>
    <row r="1814" spans="1:5" ht="15" customHeight="1" x14ac:dyDescent="0.3">
      <c r="A1814" s="26">
        <f>'Daily Returns'!F1814</f>
        <v>-7.8660292205854007E-3</v>
      </c>
      <c r="B1814" s="26">
        <f>'Daily Returns'!B1814</f>
        <v>1.8243109260360931E-2</v>
      </c>
      <c r="C1814" s="26">
        <f>'Daily Returns'!C1814</f>
        <v>2.8983033040920328E-2</v>
      </c>
      <c r="D1814" s="26">
        <f>'Daily Returns'!D1814</f>
        <v>-3.0243968008601967E-3</v>
      </c>
      <c r="E1814" s="26">
        <f>'Daily Returns'!E1814</f>
        <v>-3.8264588374318093E-3</v>
      </c>
    </row>
    <row r="1815" spans="1:5" ht="15" customHeight="1" x14ac:dyDescent="0.3">
      <c r="A1815" s="25">
        <f>'Daily Returns'!F1815</f>
        <v>-2.7606891305131231E-3</v>
      </c>
      <c r="B1815" s="25">
        <f>'Daily Returns'!B1815</f>
        <v>1.1684518013631965E-2</v>
      </c>
      <c r="C1815" s="25">
        <f>'Daily Returns'!C1815</f>
        <v>2.190883372684151E-2</v>
      </c>
      <c r="D1815" s="25">
        <f>'Daily Returns'!D1815</f>
        <v>-1.6650937036537677E-2</v>
      </c>
      <c r="E1815" s="25">
        <f>'Daily Returns'!E1815</f>
        <v>2.8695701293566134E-2</v>
      </c>
    </row>
    <row r="1816" spans="1:5" ht="15" customHeight="1" x14ac:dyDescent="0.3">
      <c r="A1816" s="26">
        <f>'Daily Returns'!F1816</f>
        <v>-3.2102276114395873E-3</v>
      </c>
      <c r="B1816" s="26">
        <f>'Daily Returns'!B1816</f>
        <v>-1.0587102983638194E-2</v>
      </c>
      <c r="C1816" s="26">
        <f>'Daily Returns'!C1816</f>
        <v>-1.7359448827092699E-3</v>
      </c>
      <c r="D1816" s="26">
        <f>'Daily Returns'!D1816</f>
        <v>7.0610817851511692E-3</v>
      </c>
      <c r="E1816" s="26">
        <f>'Daily Returns'!E1816</f>
        <v>-1.7022678600845765E-2</v>
      </c>
    </row>
    <row r="1817" spans="1:5" ht="15" customHeight="1" x14ac:dyDescent="0.3">
      <c r="A1817" s="25">
        <f>'Daily Returns'!F1817</f>
        <v>1.0835972680149858E-2</v>
      </c>
      <c r="B1817" s="25">
        <f>'Daily Returns'!B1817</f>
        <v>1.147859922178995E-2</v>
      </c>
      <c r="C1817" s="25">
        <f>'Daily Returns'!C1817</f>
        <v>-3.4616635668354288E-2</v>
      </c>
      <c r="D1817" s="25">
        <f>'Daily Returns'!D1817</f>
        <v>1.98774676650782E-2</v>
      </c>
      <c r="E1817" s="25">
        <f>'Daily Returns'!E1817</f>
        <v>4.1897100720630137E-3</v>
      </c>
    </row>
    <row r="1818" spans="1:5" ht="15" customHeight="1" x14ac:dyDescent="0.3">
      <c r="A1818" s="26">
        <f>'Daily Returns'!F1818</f>
        <v>5.2286182233442398E-3</v>
      </c>
      <c r="B1818" s="26">
        <f>'Daily Returns'!B1818</f>
        <v>3.4237353337180247E-2</v>
      </c>
      <c r="C1818" s="26">
        <f>'Daily Returns'!C1818</f>
        <v>-4.8380756554075902E-4</v>
      </c>
      <c r="D1818" s="26">
        <f>'Daily Returns'!D1818</f>
        <v>-8.9440662127887021E-3</v>
      </c>
      <c r="E1818" s="26">
        <f>'Daily Returns'!E1818</f>
        <v>2.6702269692924913E-3</v>
      </c>
    </row>
    <row r="1819" spans="1:5" ht="15" customHeight="1" x14ac:dyDescent="0.3">
      <c r="A1819" s="25">
        <f>'Daily Returns'!F1819</f>
        <v>-4.9949570235265734E-3</v>
      </c>
      <c r="B1819" s="25">
        <f>'Daily Returns'!B1819</f>
        <v>-8.3689789845639347E-3</v>
      </c>
      <c r="C1819" s="25">
        <f>'Daily Returns'!C1819</f>
        <v>-2.2019577760010296E-2</v>
      </c>
      <c r="D1819" s="25">
        <f>'Daily Returns'!D1819</f>
        <v>8.3512931034483377E-3</v>
      </c>
      <c r="E1819" s="25">
        <f>'Daily Returns'!E1819</f>
        <v>-3.8670661340434967E-2</v>
      </c>
    </row>
    <row r="1820" spans="1:5" ht="15" customHeight="1" x14ac:dyDescent="0.3">
      <c r="A1820" s="26">
        <f>'Daily Returns'!F1820</f>
        <v>1.7434437535033473E-2</v>
      </c>
      <c r="B1820" s="26">
        <f>'Daily Returns'!B1820</f>
        <v>1.8379594898724622E-2</v>
      </c>
      <c r="C1820" s="26">
        <f>'Daily Returns'!C1820</f>
        <v>3.0005744840690988E-3</v>
      </c>
      <c r="D1820" s="26">
        <f>'Daily Returns'!D1820</f>
        <v>1.6898209991985047E-2</v>
      </c>
      <c r="E1820" s="26">
        <f>'Daily Returns'!E1820</f>
        <v>2.943383159231205E-3</v>
      </c>
    </row>
    <row r="1821" spans="1:5" ht="15" customHeight="1" x14ac:dyDescent="0.3">
      <c r="A1821" s="25">
        <f>'Daily Returns'!F1821</f>
        <v>9.9065947005855179E-3</v>
      </c>
      <c r="B1821" s="25">
        <f>'Daily Returns'!B1821</f>
        <v>5.3406998158380525E-3</v>
      </c>
      <c r="C1821" s="25">
        <f>'Daily Returns'!C1821</f>
        <v>3.1396358092955323E-2</v>
      </c>
      <c r="D1821" s="25">
        <f>'Daily Returns'!D1821</f>
        <v>1.7077175697865314E-2</v>
      </c>
      <c r="E1821" s="25">
        <f>'Daily Returns'!E1821</f>
        <v>1.5536885717573879E-2</v>
      </c>
    </row>
    <row r="1822" spans="1:5" ht="15" customHeight="1" x14ac:dyDescent="0.3">
      <c r="A1822" s="26">
        <f>'Daily Returns'!F1822</f>
        <v>-9.6484089372696671E-3</v>
      </c>
      <c r="B1822" s="26">
        <f>'Daily Returns'!B1822</f>
        <v>-3.022531599194106E-3</v>
      </c>
      <c r="C1822" s="26">
        <f>'Daily Returns'!C1822</f>
        <v>4.9808838292147673E-3</v>
      </c>
      <c r="D1822" s="26">
        <f>'Daily Returns'!D1822</f>
        <v>2.1569260574749782E-2</v>
      </c>
      <c r="E1822" s="26">
        <f>'Daily Returns'!E1822</f>
        <v>-1.762239347234806E-2</v>
      </c>
    </row>
    <row r="1823" spans="1:5" ht="15" customHeight="1" x14ac:dyDescent="0.3">
      <c r="A1823" s="25">
        <f>'Daily Returns'!F1823</f>
        <v>-3.8938997661741338E-3</v>
      </c>
      <c r="B1823" s="25">
        <f>'Daily Returns'!B1823</f>
        <v>-1.4974735875057377E-2</v>
      </c>
      <c r="C1823" s="25">
        <f>'Daily Returns'!C1823</f>
        <v>-1.3253365411181746E-2</v>
      </c>
      <c r="D1823" s="25">
        <f>'Daily Returns'!D1823</f>
        <v>4.8675643213857405E-3</v>
      </c>
      <c r="E1823" s="25">
        <f>'Daily Returns'!E1823</f>
        <v>1.0382419103651052E-2</v>
      </c>
    </row>
    <row r="1824" spans="1:5" ht="15" customHeight="1" x14ac:dyDescent="0.3">
      <c r="A1824" s="26">
        <f>'Daily Returns'!F1824</f>
        <v>-7.3347205425529074E-3</v>
      </c>
      <c r="B1824" s="26">
        <f>'Daily Returns'!B1824</f>
        <v>-7.368028352919157E-3</v>
      </c>
      <c r="C1824" s="26">
        <f>'Daily Returns'!C1824</f>
        <v>-2.0030756904149599E-2</v>
      </c>
      <c r="D1824" s="26">
        <f>'Daily Returns'!D1824</f>
        <v>2.2521389028686362E-2</v>
      </c>
      <c r="E1824" s="26">
        <f>'Daily Returns'!E1824</f>
        <v>1.2901752583204997E-2</v>
      </c>
    </row>
    <row r="1825" spans="1:6" ht="15" customHeight="1" x14ac:dyDescent="0.3">
      <c r="A1825" s="25">
        <f>'Daily Returns'!F1825</f>
        <v>2.7783086264738382E-3</v>
      </c>
      <c r="B1825" s="25">
        <f>'Daily Returns'!B1825</f>
        <v>-5.1677158695857496E-3</v>
      </c>
      <c r="C1825" s="25">
        <f>'Daily Returns'!C1825</f>
        <v>-3.4027420623931222E-2</v>
      </c>
      <c r="D1825" s="25">
        <f>'Daily Returns'!D1825</f>
        <v>2.171773102005661E-2</v>
      </c>
      <c r="E1825" s="25">
        <f>'Daily Returns'!E1825</f>
        <v>9.0176407597360414E-4</v>
      </c>
    </row>
    <row r="1826" spans="1:6" ht="15" customHeight="1" x14ac:dyDescent="0.3">
      <c r="A1826" s="26">
        <f>'Daily Returns'!F1826</f>
        <v>-4.0110303334169725E-3</v>
      </c>
      <c r="B1826" s="26">
        <f>'Daily Returns'!B1826</f>
        <v>-3.1828485077446074E-2</v>
      </c>
      <c r="C1826" s="26">
        <f>'Daily Returns'!C1826</f>
        <v>-3.3023590228985475E-2</v>
      </c>
      <c r="D1826" s="26">
        <f>'Daily Returns'!D1826</f>
        <v>-1.2645270066839251E-2</v>
      </c>
      <c r="E1826" s="26">
        <f>'Daily Returns'!E1826</f>
        <v>2.190438650824926E-2</v>
      </c>
    </row>
    <row r="1827" spans="1:6" ht="15" customHeight="1" x14ac:dyDescent="0.3">
      <c r="A1827" s="25">
        <f>'Daily Returns'!F1827</f>
        <v>8.8130142007174905E-3</v>
      </c>
      <c r="B1827" s="25">
        <f>'Daily Returns'!B1827</f>
        <v>7.7065652131498583E-3</v>
      </c>
      <c r="C1827" s="25">
        <f>'Daily Returns'!C1827</f>
        <v>2.9290100943551726E-2</v>
      </c>
      <c r="D1827" s="25">
        <f>'Daily Returns'!D1827</f>
        <v>5.3058486308471342E-3</v>
      </c>
      <c r="E1827" s="25">
        <f>'Daily Returns'!E1827</f>
        <v>1.256336786422747E-2</v>
      </c>
    </row>
    <row r="1828" spans="1:6" ht="15" customHeight="1" x14ac:dyDescent="0.3">
      <c r="A1828" s="26">
        <f>'Daily Returns'!F1828</f>
        <v>0</v>
      </c>
      <c r="B1828" s="26">
        <f>'Daily Returns'!B1828</f>
        <v>0</v>
      </c>
      <c r="C1828" s="26">
        <f>'Daily Returns'!C1828</f>
        <v>0</v>
      </c>
      <c r="D1828" s="26">
        <f>'Daily Returns'!D1828</f>
        <v>0</v>
      </c>
      <c r="E1828" s="26">
        <f>'Daily Returns'!E1828</f>
        <v>0</v>
      </c>
    </row>
    <row r="1830" spans="1:6" ht="36" customHeight="1" x14ac:dyDescent="0.3">
      <c r="A1830" s="85" t="s">
        <v>133</v>
      </c>
      <c r="B1830" s="85"/>
      <c r="C1830" s="85"/>
      <c r="D1830" s="85"/>
      <c r="E1830" s="85"/>
      <c r="F1830" s="85"/>
    </row>
  </sheetData>
  <mergeCells count="2">
    <mergeCell ref="A1:F1"/>
    <mergeCell ref="A1830:F183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Raw Price Data</vt:lpstr>
      <vt:lpstr>Daily Returns</vt:lpstr>
      <vt:lpstr>Summary Statistics</vt:lpstr>
      <vt:lpstr>Beta &amp; Regression</vt:lpstr>
      <vt:lpstr>Portfolio Analysis</vt:lpstr>
      <vt:lpstr>SML &amp; Valuation</vt:lpstr>
      <vt:lpstr>Scatter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(FA24-BBD-108) MUHAMMAD ABDULLAH TIWANA</cp:lastModifiedBy>
  <cp:revision>1</cp:revision>
  <dcterms:created xsi:type="dcterms:W3CDTF">2026-04-24T09:42:29Z</dcterms:created>
  <dcterms:modified xsi:type="dcterms:W3CDTF">2026-04-26T09:50:23Z</dcterms:modified>
  <dc:language>en-US</dc:language>
</cp:coreProperties>
</file>